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8_4_2026_Redo_front/30gps/"/>
    </mc:Choice>
  </mc:AlternateContent>
  <xr:revisionPtr revIDLastSave="0" documentId="13_ncr:1_{8A07D3EC-F447-5F43-9ADB-7DCB6BC602FE}" xr6:coauthVersionLast="47" xr6:coauthVersionMax="47" xr10:uidLastSave="{00000000-0000-0000-0000-000000000000}"/>
  <bookViews>
    <workbookView xWindow="1500" yWindow="1400" windowWidth="27640" windowHeight="16680" xr2:uid="{B7B35A59-9554-BF42-9D30-2B9A3E9D602B}"/>
  </bookViews>
  <sheets>
    <sheet name="Results" sheetId="1" r:id="rId1"/>
    <sheet name="1mps" sheetId="3" r:id="rId2"/>
    <sheet name="2mps" sheetId="4" r:id="rId3"/>
    <sheet name="3mps" sheetId="5" r:id="rId4"/>
    <sheet name="4mps" sheetId="6" r:id="rId5"/>
    <sheet name="5mps" sheetId="7" r:id="rId6"/>
    <sheet name="6mps" sheetId="8" r:id="rId7"/>
    <sheet name="7mps" sheetId="9" r:id="rId8"/>
    <sheet name="8mps" sheetId="10" r:id="rId9"/>
  </sheets>
  <externalReferences>
    <externalReference r:id="rId10"/>
  </externalReferences>
  <definedNames>
    <definedName name="ExternalData_1" localSheetId="1" hidden="1">'1mps'!$A$1:$O$18</definedName>
    <definedName name="ExternalData_1" localSheetId="2" hidden="1">'2mps'!$A$1:$O$44</definedName>
    <definedName name="ExternalData_1" localSheetId="3" hidden="1">'3mps'!$A$1:$O$72</definedName>
    <definedName name="ExternalData_1" localSheetId="4" hidden="1">'4mps'!$A$1:$O$67</definedName>
    <definedName name="ExternalData_1" localSheetId="5" hidden="1">'5mps'!$A$1:$O$88</definedName>
    <definedName name="ExternalData_1" localSheetId="6" hidden="1">'6mps'!$A$1:$O$38</definedName>
    <definedName name="ExternalData_1" localSheetId="7" hidden="1">'7mps'!$A$1:$O$80</definedName>
    <definedName name="ExternalData_1" localSheetId="8" hidden="1">'8mps'!$A$1:$O$120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0" l="1"/>
  <c r="W2" i="9"/>
  <c r="W2" i="8"/>
  <c r="W2" i="7"/>
  <c r="W2" i="6"/>
  <c r="W2" i="5"/>
  <c r="W2" i="4"/>
  <c r="W2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P68" i="5"/>
  <c r="P69" i="5"/>
  <c r="P70" i="5"/>
  <c r="P71" i="5"/>
  <c r="P72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114" i="10"/>
  <c r="P115" i="10"/>
  <c r="P116" i="10"/>
  <c r="P117" i="10"/>
  <c r="P118" i="10"/>
  <c r="P119" i="10"/>
  <c r="P120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P2" i="10"/>
  <c r="U18" i="3" a="1"/>
  <c r="T16" i="3" a="1"/>
  <c r="R13" i="3" a="1"/>
  <c r="Q11" i="3" a="1"/>
  <c r="U6" i="3" a="1"/>
  <c r="T4" i="3" a="1"/>
  <c r="T17" i="3" a="1"/>
  <c r="R14" i="3" a="1"/>
  <c r="Q12" i="3" a="1"/>
  <c r="U7" i="3" a="1"/>
  <c r="T18" i="3" a="1"/>
  <c r="R15" i="3" a="1"/>
  <c r="Q13" i="3" a="1"/>
  <c r="U8" i="3" a="1"/>
  <c r="T6" i="3" a="1"/>
  <c r="R3" i="3" a="1"/>
  <c r="R2" i="3" a="1"/>
  <c r="R17" i="3" a="1"/>
  <c r="Q15" i="3" a="1"/>
  <c r="T8" i="3" a="1"/>
  <c r="R16" i="3" a="1"/>
  <c r="Q14" i="3" a="1"/>
  <c r="U9" i="3" a="1"/>
  <c r="T7" i="3" a="1"/>
  <c r="R4" i="3" a="1"/>
  <c r="U10" i="3" a="1"/>
  <c r="R5" i="3" a="1"/>
  <c r="Q3" i="3" a="1"/>
  <c r="Q2" i="3" a="1"/>
  <c r="T5" i="3" a="1"/>
  <c r="R18" i="3" a="1"/>
  <c r="Q16" i="3" a="1"/>
  <c r="U11" i="3" a="1"/>
  <c r="T9" i="3" a="1"/>
  <c r="R6" i="3" a="1"/>
  <c r="Q4" i="3" a="1"/>
  <c r="U15" i="3" a="1"/>
  <c r="Q17" i="3" a="1"/>
  <c r="U12" i="3" a="1"/>
  <c r="T10" i="3" a="1"/>
  <c r="R7" i="3" a="1"/>
  <c r="Q5" i="3" a="1"/>
  <c r="T13" i="3" a="1"/>
  <c r="Q18" i="3" a="1"/>
  <c r="U13" i="3" a="1"/>
  <c r="T11" i="3" a="1"/>
  <c r="R8" i="3" a="1"/>
  <c r="Q6" i="3" a="1"/>
  <c r="R10" i="3" a="1"/>
  <c r="U3" i="3" a="1"/>
  <c r="U2" i="3" a="1"/>
  <c r="U14" i="3" a="1"/>
  <c r="T12" i="3" a="1"/>
  <c r="R9" i="3" a="1"/>
  <c r="Q7" i="3" a="1"/>
  <c r="Q8" i="3" a="1"/>
  <c r="U16" i="3" a="1"/>
  <c r="T14" i="3" a="1"/>
  <c r="R11" i="3" a="1"/>
  <c r="Q9" i="3" a="1"/>
  <c r="U4" i="3" a="1"/>
  <c r="U17" i="3" a="1"/>
  <c r="T15" i="3" a="1"/>
  <c r="R12" i="3" a="1"/>
  <c r="Q10" i="3" a="1"/>
  <c r="U5" i="3" a="1"/>
  <c r="T3" i="3" a="1"/>
  <c r="T2" i="3" a="1"/>
  <c r="T44" i="4" a="1"/>
  <c r="R41" i="4" a="1"/>
  <c r="Q39" i="4" a="1"/>
  <c r="U34" i="4" a="1"/>
  <c r="T32" i="4" a="1"/>
  <c r="R29" i="4" a="1"/>
  <c r="Q27" i="4" a="1"/>
  <c r="U22" i="4" a="1"/>
  <c r="T20" i="4" a="1"/>
  <c r="R17" i="4" a="1"/>
  <c r="Q15" i="4" a="1"/>
  <c r="U10" i="4" a="1"/>
  <c r="T8" i="4" a="1"/>
  <c r="R5" i="4" a="1"/>
  <c r="Q3" i="4" a="1"/>
  <c r="Q2" i="4" a="1"/>
  <c r="Q19" i="4" a="1"/>
  <c r="R42" i="4" a="1"/>
  <c r="Q40" i="4" a="1"/>
  <c r="U35" i="4" a="1"/>
  <c r="T33" i="4" a="1"/>
  <c r="R30" i="4" a="1"/>
  <c r="Q28" i="4" a="1"/>
  <c r="U23" i="4" a="1"/>
  <c r="T21" i="4" a="1"/>
  <c r="R18" i="4" a="1"/>
  <c r="Q16" i="4" a="1"/>
  <c r="U11" i="4" a="1"/>
  <c r="T9" i="4" a="1"/>
  <c r="R6" i="4" a="1"/>
  <c r="Q4" i="4" a="1"/>
  <c r="Q6" i="4" a="1"/>
  <c r="T24" i="4" a="1"/>
  <c r="R43" i="4" a="1"/>
  <c r="Q41" i="4" a="1"/>
  <c r="U36" i="4" a="1"/>
  <c r="T34" i="4" a="1"/>
  <c r="R31" i="4" a="1"/>
  <c r="Q29" i="4" a="1"/>
  <c r="U24" i="4" a="1"/>
  <c r="T22" i="4" a="1"/>
  <c r="R19" i="4" a="1"/>
  <c r="Q17" i="4" a="1"/>
  <c r="U12" i="4" a="1"/>
  <c r="T10" i="4" a="1"/>
  <c r="R7" i="4" a="1"/>
  <c r="Q5" i="4" a="1"/>
  <c r="R33" i="4" a="1"/>
  <c r="Q31" i="4" a="1"/>
  <c r="U26" i="4" a="1"/>
  <c r="R21" i="4" a="1"/>
  <c r="T15" i="4" a="1"/>
  <c r="U5" i="4" a="1"/>
  <c r="R44" i="4" a="1"/>
  <c r="Q42" i="4" a="1"/>
  <c r="U37" i="4" a="1"/>
  <c r="T35" i="4" a="1"/>
  <c r="R32" i="4" a="1"/>
  <c r="Q30" i="4" a="1"/>
  <c r="U25" i="4" a="1"/>
  <c r="T23" i="4" a="1"/>
  <c r="R20" i="4" a="1"/>
  <c r="Q18" i="4" a="1"/>
  <c r="U13" i="4" a="1"/>
  <c r="T11" i="4" a="1"/>
  <c r="R8" i="4" a="1"/>
  <c r="U14" i="4" a="1"/>
  <c r="T12" i="4" a="1"/>
  <c r="R9" i="4" a="1"/>
  <c r="Q7" i="4" a="1"/>
  <c r="T37" i="4" a="1"/>
  <c r="U15" i="4" a="1"/>
  <c r="T13" i="4" a="1"/>
  <c r="R10" i="4" a="1"/>
  <c r="Q8" i="4" a="1"/>
  <c r="U3" i="4" a="1"/>
  <c r="U2" i="4" a="1"/>
  <c r="T27" i="4" a="1"/>
  <c r="Q22" i="4" a="1"/>
  <c r="Q10" i="4" a="1"/>
  <c r="T2" i="4" a="1"/>
  <c r="Q43" i="4" a="1"/>
  <c r="U38" i="4" a="1"/>
  <c r="T36" i="4" a="1"/>
  <c r="U41" i="4" a="1"/>
  <c r="T39" i="4" a="1"/>
  <c r="R36" i="4" a="1"/>
  <c r="Q34" i="4" a="1"/>
  <c r="U29" i="4" a="1"/>
  <c r="R24" i="4" a="1"/>
  <c r="U17" i="4" a="1"/>
  <c r="R12" i="4" a="1"/>
  <c r="T3" i="4" a="1"/>
  <c r="Q44" i="4" a="1"/>
  <c r="U39" i="4" a="1"/>
  <c r="R34" i="4" a="1"/>
  <c r="Q32" i="4" a="1"/>
  <c r="U27" i="4" a="1"/>
  <c r="T25" i="4" a="1"/>
  <c r="R22" i="4" a="1"/>
  <c r="Q20" i="4" a="1"/>
  <c r="U40" i="4" a="1"/>
  <c r="T38" i="4" a="1"/>
  <c r="R35" i="4" a="1"/>
  <c r="Q33" i="4" a="1"/>
  <c r="U28" i="4" a="1"/>
  <c r="T26" i="4" a="1"/>
  <c r="R23" i="4" a="1"/>
  <c r="Q21" i="4" a="1"/>
  <c r="U16" i="4" a="1"/>
  <c r="T14" i="4" a="1"/>
  <c r="R11" i="4" a="1"/>
  <c r="Q9" i="4" a="1"/>
  <c r="U4" i="4" a="1"/>
  <c r="U42" i="4" a="1"/>
  <c r="T40" i="4" a="1"/>
  <c r="R37" i="4" a="1"/>
  <c r="Q35" i="4" a="1"/>
  <c r="U30" i="4" a="1"/>
  <c r="T28" i="4" a="1"/>
  <c r="R25" i="4" a="1"/>
  <c r="Q23" i="4" a="1"/>
  <c r="U18" i="4" a="1"/>
  <c r="T16" i="4" a="1"/>
  <c r="R13" i="4" a="1"/>
  <c r="Q11" i="4" a="1"/>
  <c r="U6" i="4" a="1"/>
  <c r="T4" i="4" a="1"/>
  <c r="U43" i="4" a="1"/>
  <c r="T41" i="4" a="1"/>
  <c r="R38" i="4" a="1"/>
  <c r="Q36" i="4" a="1"/>
  <c r="U31" i="4" a="1"/>
  <c r="T29" i="4" a="1"/>
  <c r="R26" i="4" a="1"/>
  <c r="Q24" i="4" a="1"/>
  <c r="U19" i="4" a="1"/>
  <c r="T17" i="4" a="1"/>
  <c r="R14" i="4" a="1"/>
  <c r="Q12" i="4" a="1"/>
  <c r="U7" i="4" a="1"/>
  <c r="T5" i="4" a="1"/>
  <c r="R4" i="4" a="1"/>
  <c r="U44" i="4" a="1"/>
  <c r="T42" i="4" a="1"/>
  <c r="R39" i="4" a="1"/>
  <c r="Q37" i="4" a="1"/>
  <c r="U32" i="4" a="1"/>
  <c r="T30" i="4" a="1"/>
  <c r="R27" i="4" a="1"/>
  <c r="Q25" i="4" a="1"/>
  <c r="U20" i="4" a="1"/>
  <c r="T18" i="4" a="1"/>
  <c r="R15" i="4" a="1"/>
  <c r="Q13" i="4" a="1"/>
  <c r="U8" i="4" a="1"/>
  <c r="T6" i="4" a="1"/>
  <c r="R3" i="4" a="1"/>
  <c r="R2" i="4" a="1"/>
  <c r="T43" i="4" a="1"/>
  <c r="R40" i="4" a="1"/>
  <c r="Q38" i="4" a="1"/>
  <c r="U33" i="4" a="1"/>
  <c r="T31" i="4" a="1"/>
  <c r="R28" i="4" a="1"/>
  <c r="Q26" i="4" a="1"/>
  <c r="U21" i="4" a="1"/>
  <c r="T19" i="4" a="1"/>
  <c r="R16" i="4" a="1"/>
  <c r="Q14" i="4" a="1"/>
  <c r="U9" i="4" a="1"/>
  <c r="T7" i="4" a="1"/>
  <c r="Q69" i="5" a="1"/>
  <c r="R71" i="5" a="1"/>
  <c r="Q70" i="5" a="1"/>
  <c r="Q68" i="5" a="1"/>
  <c r="R70" i="5" a="1"/>
  <c r="R69" i="5" a="1"/>
  <c r="T72" i="5" a="1"/>
  <c r="Q71" i="5" a="1"/>
  <c r="R72" i="5" a="1"/>
  <c r="R68" i="5" a="1"/>
  <c r="T71" i="5" a="1"/>
  <c r="T70" i="5" a="1"/>
  <c r="U72" i="5" a="1"/>
  <c r="T69" i="5" a="1"/>
  <c r="U71" i="5" a="1"/>
  <c r="T68" i="5" a="1"/>
  <c r="U70" i="5" a="1"/>
  <c r="Q72" i="5" a="1"/>
  <c r="U69" i="5" a="1"/>
  <c r="U68" i="5" a="1"/>
  <c r="U65" i="5" a="1"/>
  <c r="T63" i="5" a="1"/>
  <c r="R60" i="5" a="1"/>
  <c r="Q58" i="5" a="1"/>
  <c r="U53" i="5" a="1"/>
  <c r="T51" i="5" a="1"/>
  <c r="R48" i="5" a="1"/>
  <c r="Q46" i="5" a="1"/>
  <c r="U41" i="5" a="1"/>
  <c r="T39" i="5" a="1"/>
  <c r="R36" i="5" a="1"/>
  <c r="Q34" i="5" a="1"/>
  <c r="U29" i="5" a="1"/>
  <c r="T27" i="5" a="1"/>
  <c r="R24" i="5" a="1"/>
  <c r="Q22" i="5" a="1"/>
  <c r="U17" i="5" a="1"/>
  <c r="T15" i="5" a="1"/>
  <c r="R12" i="5" a="1"/>
  <c r="Q10" i="5" a="1"/>
  <c r="U5" i="5" a="1"/>
  <c r="T3" i="5" a="1"/>
  <c r="T2" i="5" a="1"/>
  <c r="Q2" i="5" a="1"/>
  <c r="U66" i="5" a="1"/>
  <c r="T64" i="5" a="1"/>
  <c r="R61" i="5" a="1"/>
  <c r="Q59" i="5" a="1"/>
  <c r="U54" i="5" a="1"/>
  <c r="T52" i="5" a="1"/>
  <c r="R49" i="5" a="1"/>
  <c r="Q47" i="5" a="1"/>
  <c r="U42" i="5" a="1"/>
  <c r="T40" i="5" a="1"/>
  <c r="R37" i="5" a="1"/>
  <c r="Q35" i="5" a="1"/>
  <c r="U30" i="5" a="1"/>
  <c r="T28" i="5" a="1"/>
  <c r="R25" i="5" a="1"/>
  <c r="Q23" i="5" a="1"/>
  <c r="U18" i="5" a="1"/>
  <c r="T16" i="5" a="1"/>
  <c r="R13" i="5" a="1"/>
  <c r="Q11" i="5" a="1"/>
  <c r="U6" i="5" a="1"/>
  <c r="T4" i="5" a="1"/>
  <c r="T18" i="5" a="1"/>
  <c r="T31" i="5" a="1"/>
  <c r="T19" i="5" a="1"/>
  <c r="U9" i="5" a="1"/>
  <c r="R4" i="5" a="1"/>
  <c r="T8" i="5" a="1"/>
  <c r="Q3" i="5" a="1"/>
  <c r="Q30" i="5" a="1"/>
  <c r="R20" i="5" a="1"/>
  <c r="U13" i="5" a="1"/>
  <c r="U67" i="5" a="1"/>
  <c r="T65" i="5" a="1"/>
  <c r="R62" i="5" a="1"/>
  <c r="Q60" i="5" a="1"/>
  <c r="U55" i="5" a="1"/>
  <c r="T53" i="5" a="1"/>
  <c r="R50" i="5" a="1"/>
  <c r="Q48" i="5" a="1"/>
  <c r="U43" i="5" a="1"/>
  <c r="T41" i="5" a="1"/>
  <c r="R38" i="5" a="1"/>
  <c r="Q36" i="5" a="1"/>
  <c r="U31" i="5" a="1"/>
  <c r="T29" i="5" a="1"/>
  <c r="R26" i="5" a="1"/>
  <c r="Q24" i="5" a="1"/>
  <c r="U19" i="5" a="1"/>
  <c r="T17" i="5" a="1"/>
  <c r="R14" i="5" a="1"/>
  <c r="Q12" i="5" a="1"/>
  <c r="U7" i="5" a="1"/>
  <c r="T5" i="5" a="1"/>
  <c r="U20" i="5" a="1"/>
  <c r="R15" i="5" a="1"/>
  <c r="Q13" i="5" a="1"/>
  <c r="U8" i="5" a="1"/>
  <c r="T6" i="5" a="1"/>
  <c r="R3" i="5" a="1"/>
  <c r="R2" i="5" a="1"/>
  <c r="Q38" i="5" a="1"/>
  <c r="R28" i="5" a="1"/>
  <c r="T66" i="5" a="1"/>
  <c r="R63" i="5" a="1"/>
  <c r="Q61" i="5" a="1"/>
  <c r="U56" i="5" a="1"/>
  <c r="T54" i="5" a="1"/>
  <c r="R51" i="5" a="1"/>
  <c r="Q49" i="5" a="1"/>
  <c r="U44" i="5" a="1"/>
  <c r="T42" i="5" a="1"/>
  <c r="R39" i="5" a="1"/>
  <c r="Q37" i="5" a="1"/>
  <c r="U32" i="5" a="1"/>
  <c r="T30" i="5" a="1"/>
  <c r="R27" i="5" a="1"/>
  <c r="Q25" i="5" a="1"/>
  <c r="Q26" i="5" a="1"/>
  <c r="U21" i="5" a="1"/>
  <c r="R16" i="5" a="1"/>
  <c r="U22" i="5" a="1"/>
  <c r="R17" i="5" a="1"/>
  <c r="U10" i="5" a="1"/>
  <c r="R5" i="5" a="1"/>
  <c r="Q42" i="5" a="1"/>
  <c r="U25" i="5" a="1"/>
  <c r="T67" i="5" a="1"/>
  <c r="R64" i="5" a="1"/>
  <c r="Q62" i="5" a="1"/>
  <c r="U57" i="5" a="1"/>
  <c r="T55" i="5" a="1"/>
  <c r="R52" i="5" a="1"/>
  <c r="Q50" i="5" a="1"/>
  <c r="U45" i="5" a="1"/>
  <c r="T43" i="5" a="1"/>
  <c r="R40" i="5" a="1"/>
  <c r="U33" i="5" a="1"/>
  <c r="Q14" i="5" a="1"/>
  <c r="T7" i="5" a="1"/>
  <c r="Q15" i="5" a="1"/>
  <c r="U37" i="5" a="1"/>
  <c r="R65" i="5" a="1"/>
  <c r="Q63" i="5" a="1"/>
  <c r="U58" i="5" a="1"/>
  <c r="T56" i="5" a="1"/>
  <c r="R53" i="5" a="1"/>
  <c r="Q51" i="5" a="1"/>
  <c r="U46" i="5" a="1"/>
  <c r="T44" i="5" a="1"/>
  <c r="R41" i="5" a="1"/>
  <c r="Q39" i="5" a="1"/>
  <c r="U34" i="5" a="1"/>
  <c r="T32" i="5" a="1"/>
  <c r="R29" i="5" a="1"/>
  <c r="Q27" i="5" a="1"/>
  <c r="T20" i="5" a="1"/>
  <c r="Q18" i="5" a="1"/>
  <c r="R8" i="5" a="1"/>
  <c r="Q6" i="5" a="1"/>
  <c r="R66" i="5" a="1"/>
  <c r="Q64" i="5" a="1"/>
  <c r="U59" i="5" a="1"/>
  <c r="T57" i="5" a="1"/>
  <c r="R54" i="5" a="1"/>
  <c r="Q52" i="5" a="1"/>
  <c r="U47" i="5" a="1"/>
  <c r="T45" i="5" a="1"/>
  <c r="R42" i="5" a="1"/>
  <c r="Q40" i="5" a="1"/>
  <c r="U35" i="5" a="1"/>
  <c r="T33" i="5" a="1"/>
  <c r="R30" i="5" a="1"/>
  <c r="Q28" i="5" a="1"/>
  <c r="U23" i="5" a="1"/>
  <c r="T21" i="5" a="1"/>
  <c r="R18" i="5" a="1"/>
  <c r="Q16" i="5" a="1"/>
  <c r="U11" i="5" a="1"/>
  <c r="T9" i="5" a="1"/>
  <c r="R6" i="5" a="1"/>
  <c r="Q4" i="5" a="1"/>
  <c r="T10" i="5" a="1"/>
  <c r="Q5" i="5" a="1"/>
  <c r="R44" i="5" a="1"/>
  <c r="T35" i="5" a="1"/>
  <c r="R32" i="5" a="1"/>
  <c r="T23" i="5" a="1"/>
  <c r="T11" i="5" a="1"/>
  <c r="U4" i="5" a="1"/>
  <c r="R67" i="5" a="1"/>
  <c r="Q65" i="5" a="1"/>
  <c r="U60" i="5" a="1"/>
  <c r="T58" i="5" a="1"/>
  <c r="R55" i="5" a="1"/>
  <c r="Q53" i="5" a="1"/>
  <c r="U48" i="5" a="1"/>
  <c r="T46" i="5" a="1"/>
  <c r="R43" i="5" a="1"/>
  <c r="Q41" i="5" a="1"/>
  <c r="U36" i="5" a="1"/>
  <c r="T34" i="5" a="1"/>
  <c r="R31" i="5" a="1"/>
  <c r="Q29" i="5" a="1"/>
  <c r="U24" i="5" a="1"/>
  <c r="T22" i="5" a="1"/>
  <c r="R19" i="5" a="1"/>
  <c r="Q17" i="5" a="1"/>
  <c r="U12" i="5" a="1"/>
  <c r="R7" i="5" a="1"/>
  <c r="T47" i="5" a="1"/>
  <c r="Q66" i="5" a="1"/>
  <c r="U61" i="5" a="1"/>
  <c r="T59" i="5" a="1"/>
  <c r="R56" i="5" a="1"/>
  <c r="Q54" i="5" a="1"/>
  <c r="U49" i="5" a="1"/>
  <c r="Q67" i="5" a="1"/>
  <c r="U62" i="5" a="1"/>
  <c r="T60" i="5" a="1"/>
  <c r="R57" i="5" a="1"/>
  <c r="Q55" i="5" a="1"/>
  <c r="U50" i="5" a="1"/>
  <c r="T48" i="5" a="1"/>
  <c r="R45" i="5" a="1"/>
  <c r="Q43" i="5" a="1"/>
  <c r="U38" i="5" a="1"/>
  <c r="T36" i="5" a="1"/>
  <c r="R33" i="5" a="1"/>
  <c r="Q31" i="5" a="1"/>
  <c r="U26" i="5" a="1"/>
  <c r="T24" i="5" a="1"/>
  <c r="R21" i="5" a="1"/>
  <c r="Q19" i="5" a="1"/>
  <c r="U14" i="5" a="1"/>
  <c r="T12" i="5" a="1"/>
  <c r="R9" i="5" a="1"/>
  <c r="Q7" i="5" a="1"/>
  <c r="U2" i="5" a="1"/>
  <c r="R35" i="5" a="1"/>
  <c r="Q33" i="5" a="1"/>
  <c r="U63" i="5" a="1"/>
  <c r="T61" i="5" a="1"/>
  <c r="R58" i="5" a="1"/>
  <c r="Q56" i="5" a="1"/>
  <c r="U51" i="5" a="1"/>
  <c r="T49" i="5" a="1"/>
  <c r="R46" i="5" a="1"/>
  <c r="Q44" i="5" a="1"/>
  <c r="U39" i="5" a="1"/>
  <c r="T37" i="5" a="1"/>
  <c r="R34" i="5" a="1"/>
  <c r="Q32" i="5" a="1"/>
  <c r="U27" i="5" a="1"/>
  <c r="T25" i="5" a="1"/>
  <c r="R22" i="5" a="1"/>
  <c r="Q20" i="5" a="1"/>
  <c r="U15" i="5" a="1"/>
  <c r="T13" i="5" a="1"/>
  <c r="R10" i="5" a="1"/>
  <c r="Q8" i="5" a="1"/>
  <c r="U3" i="5" a="1"/>
  <c r="U64" i="5" a="1"/>
  <c r="T62" i="5" a="1"/>
  <c r="R59" i="5" a="1"/>
  <c r="Q57" i="5" a="1"/>
  <c r="U52" i="5" a="1"/>
  <c r="T50" i="5" a="1"/>
  <c r="R47" i="5" a="1"/>
  <c r="Q45" i="5" a="1"/>
  <c r="U40" i="5" a="1"/>
  <c r="T38" i="5" a="1"/>
  <c r="U28" i="5" a="1"/>
  <c r="T26" i="5" a="1"/>
  <c r="R23" i="5" a="1"/>
  <c r="Q21" i="5" a="1"/>
  <c r="U16" i="5" a="1"/>
  <c r="T14" i="5" a="1"/>
  <c r="R11" i="5" a="1"/>
  <c r="Q9" i="5" a="1"/>
  <c r="Q67" i="6" a="1"/>
  <c r="U62" i="6" a="1"/>
  <c r="T60" i="6" a="1"/>
  <c r="R57" i="6" a="1"/>
  <c r="Q55" i="6" a="1"/>
  <c r="U50" i="6" a="1"/>
  <c r="T48" i="6" a="1"/>
  <c r="R45" i="6" a="1"/>
  <c r="Q43" i="6" a="1"/>
  <c r="U38" i="6" a="1"/>
  <c r="T36" i="6" a="1"/>
  <c r="R33" i="6" a="1"/>
  <c r="Q31" i="6" a="1"/>
  <c r="U26" i="6" a="1"/>
  <c r="T24" i="6" a="1"/>
  <c r="R21" i="6" a="1"/>
  <c r="Q19" i="6" a="1"/>
  <c r="U14" i="6" a="1"/>
  <c r="T12" i="6" a="1"/>
  <c r="R9" i="6" a="1"/>
  <c r="Q7" i="6" a="1"/>
  <c r="Q8" i="6" a="1"/>
  <c r="U3" i="6" a="1"/>
  <c r="U2" i="6" a="1"/>
  <c r="Q4" i="6" a="1"/>
  <c r="Q53" i="6" a="1"/>
  <c r="T34" i="6" a="1"/>
  <c r="T22" i="6" a="1"/>
  <c r="U63" i="6" a="1"/>
  <c r="T61" i="6" a="1"/>
  <c r="R58" i="6" a="1"/>
  <c r="Q56" i="6" a="1"/>
  <c r="U51" i="6" a="1"/>
  <c r="T49" i="6" a="1"/>
  <c r="R46" i="6" a="1"/>
  <c r="Q44" i="6" a="1"/>
  <c r="U39" i="6" a="1"/>
  <c r="T37" i="6" a="1"/>
  <c r="R34" i="6" a="1"/>
  <c r="Q32" i="6" a="1"/>
  <c r="U27" i="6" a="1"/>
  <c r="T25" i="6" a="1"/>
  <c r="R22" i="6" a="1"/>
  <c r="Q20" i="6" a="1"/>
  <c r="U15" i="6" a="1"/>
  <c r="T13" i="6" a="1"/>
  <c r="R10" i="6" a="1"/>
  <c r="U64" i="6" a="1"/>
  <c r="T62" i="6" a="1"/>
  <c r="R59" i="6" a="1"/>
  <c r="Q57" i="6" a="1"/>
  <c r="U52" i="6" a="1"/>
  <c r="T50" i="6" a="1"/>
  <c r="R47" i="6" a="1"/>
  <c r="Q45" i="6" a="1"/>
  <c r="U40" i="6" a="1"/>
  <c r="T38" i="6" a="1"/>
  <c r="R35" i="6" a="1"/>
  <c r="Q33" i="6" a="1"/>
  <c r="U28" i="6" a="1"/>
  <c r="T26" i="6" a="1"/>
  <c r="R23" i="6" a="1"/>
  <c r="Q21" i="6" a="1"/>
  <c r="U16" i="6" a="1"/>
  <c r="T14" i="6" a="1"/>
  <c r="R11" i="6" a="1"/>
  <c r="Q9" i="6" a="1"/>
  <c r="U4" i="6" a="1"/>
  <c r="T3" i="6" a="1"/>
  <c r="T2" i="6" a="1"/>
  <c r="R6" i="6" a="1"/>
  <c r="T46" i="6" a="1"/>
  <c r="R43" i="6" a="1"/>
  <c r="U36" i="6" a="1"/>
  <c r="R19" i="6" a="1"/>
  <c r="U12" i="6" a="1"/>
  <c r="U65" i="6" a="1"/>
  <c r="T63" i="6" a="1"/>
  <c r="R60" i="6" a="1"/>
  <c r="Q58" i="6" a="1"/>
  <c r="U53" i="6" a="1"/>
  <c r="T51" i="6" a="1"/>
  <c r="R48" i="6" a="1"/>
  <c r="Q46" i="6" a="1"/>
  <c r="U41" i="6" a="1"/>
  <c r="T39" i="6" a="1"/>
  <c r="R36" i="6" a="1"/>
  <c r="Q34" i="6" a="1"/>
  <c r="U29" i="6" a="1"/>
  <c r="T27" i="6" a="1"/>
  <c r="R24" i="6" a="1"/>
  <c r="Q22" i="6" a="1"/>
  <c r="U17" i="6" a="1"/>
  <c r="T15" i="6" a="1"/>
  <c r="R12" i="6" a="1"/>
  <c r="Q10" i="6" a="1"/>
  <c r="U5" i="6" a="1"/>
  <c r="U66" i="6" a="1"/>
  <c r="T64" i="6" a="1"/>
  <c r="R61" i="6" a="1"/>
  <c r="Q59" i="6" a="1"/>
  <c r="U54" i="6" a="1"/>
  <c r="T52" i="6" a="1"/>
  <c r="R49" i="6" a="1"/>
  <c r="Q47" i="6" a="1"/>
  <c r="U42" i="6" a="1"/>
  <c r="T40" i="6" a="1"/>
  <c r="R37" i="6" a="1"/>
  <c r="Q35" i="6" a="1"/>
  <c r="U30" i="6" a="1"/>
  <c r="T28" i="6" a="1"/>
  <c r="R25" i="6" a="1"/>
  <c r="Q23" i="6" a="1"/>
  <c r="U18" i="6" a="1"/>
  <c r="T16" i="6" a="1"/>
  <c r="R13" i="6" a="1"/>
  <c r="Q11" i="6" a="1"/>
  <c r="U6" i="6" a="1"/>
  <c r="T4" i="6" a="1"/>
  <c r="U48" i="6" a="1"/>
  <c r="Q17" i="6" a="1"/>
  <c r="U67" i="6" a="1"/>
  <c r="T65" i="6" a="1"/>
  <c r="R62" i="6" a="1"/>
  <c r="Q60" i="6" a="1"/>
  <c r="U55" i="6" a="1"/>
  <c r="T53" i="6" a="1"/>
  <c r="R50" i="6" a="1"/>
  <c r="Q48" i="6" a="1"/>
  <c r="U43" i="6" a="1"/>
  <c r="T41" i="6" a="1"/>
  <c r="R38" i="6" a="1"/>
  <c r="Q36" i="6" a="1"/>
  <c r="U31" i="6" a="1"/>
  <c r="T29" i="6" a="1"/>
  <c r="R26" i="6" a="1"/>
  <c r="Q24" i="6" a="1"/>
  <c r="U19" i="6" a="1"/>
  <c r="T17" i="6" a="1"/>
  <c r="R14" i="6" a="1"/>
  <c r="Q12" i="6" a="1"/>
  <c r="U7" i="6" a="1"/>
  <c r="T5" i="6" a="1"/>
  <c r="R7" i="6" a="1"/>
  <c r="T66" i="6" a="1"/>
  <c r="R63" i="6" a="1"/>
  <c r="Q61" i="6" a="1"/>
  <c r="U56" i="6" a="1"/>
  <c r="T54" i="6" a="1"/>
  <c r="R51" i="6" a="1"/>
  <c r="Q49" i="6" a="1"/>
  <c r="U44" i="6" a="1"/>
  <c r="T42" i="6" a="1"/>
  <c r="R39" i="6" a="1"/>
  <c r="Q37" i="6" a="1"/>
  <c r="U32" i="6" a="1"/>
  <c r="T30" i="6" a="1"/>
  <c r="R27" i="6" a="1"/>
  <c r="Q25" i="6" a="1"/>
  <c r="U20" i="6" a="1"/>
  <c r="T18" i="6" a="1"/>
  <c r="R15" i="6" a="1"/>
  <c r="Q13" i="6" a="1"/>
  <c r="U8" i="6" a="1"/>
  <c r="T6" i="6" a="1"/>
  <c r="R3" i="6" a="1"/>
  <c r="R2" i="6" a="1"/>
  <c r="R31" i="6" a="1"/>
  <c r="T67" i="6" a="1"/>
  <c r="R64" i="6" a="1"/>
  <c r="Q62" i="6" a="1"/>
  <c r="U57" i="6" a="1"/>
  <c r="T55" i="6" a="1"/>
  <c r="R52" i="6" a="1"/>
  <c r="Q50" i="6" a="1"/>
  <c r="U45" i="6" a="1"/>
  <c r="T43" i="6" a="1"/>
  <c r="R40" i="6" a="1"/>
  <c r="Q38" i="6" a="1"/>
  <c r="U33" i="6" a="1"/>
  <c r="T31" i="6" a="1"/>
  <c r="R28" i="6" a="1"/>
  <c r="Q26" i="6" a="1"/>
  <c r="U21" i="6" a="1"/>
  <c r="T19" i="6" a="1"/>
  <c r="R16" i="6" a="1"/>
  <c r="Q14" i="6" a="1"/>
  <c r="U9" i="6" a="1"/>
  <c r="T7" i="6" a="1"/>
  <c r="R4" i="6" a="1"/>
  <c r="Q3" i="6" a="1"/>
  <c r="Q16" i="6" a="1"/>
  <c r="U11" i="6" a="1"/>
  <c r="T9" i="6" a="1"/>
  <c r="Q41" i="6" a="1"/>
  <c r="Q29" i="6" a="1"/>
  <c r="T10" i="6" a="1"/>
  <c r="R65" i="6" a="1"/>
  <c r="Q63" i="6" a="1"/>
  <c r="U58" i="6" a="1"/>
  <c r="T56" i="6" a="1"/>
  <c r="R53" i="6" a="1"/>
  <c r="Q51" i="6" a="1"/>
  <c r="U46" i="6" a="1"/>
  <c r="T44" i="6" a="1"/>
  <c r="R41" i="6" a="1"/>
  <c r="Q39" i="6" a="1"/>
  <c r="U34" i="6" a="1"/>
  <c r="T32" i="6" a="1"/>
  <c r="R29" i="6" a="1"/>
  <c r="Q27" i="6" a="1"/>
  <c r="U22" i="6" a="1"/>
  <c r="T20" i="6" a="1"/>
  <c r="R17" i="6" a="1"/>
  <c r="Q15" i="6" a="1"/>
  <c r="U10" i="6" a="1"/>
  <c r="T8" i="6" a="1"/>
  <c r="R5" i="6" a="1"/>
  <c r="Q2" i="6" a="1"/>
  <c r="R66" i="6" a="1"/>
  <c r="Q64" i="6" a="1"/>
  <c r="U59" i="6" a="1"/>
  <c r="T57" i="6" a="1"/>
  <c r="R54" i="6" a="1"/>
  <c r="Q52" i="6" a="1"/>
  <c r="U47" i="6" a="1"/>
  <c r="T45" i="6" a="1"/>
  <c r="R42" i="6" a="1"/>
  <c r="Q40" i="6" a="1"/>
  <c r="U35" i="6" a="1"/>
  <c r="T33" i="6" a="1"/>
  <c r="R30" i="6" a="1"/>
  <c r="Q28" i="6" a="1"/>
  <c r="U23" i="6" a="1"/>
  <c r="T21" i="6" a="1"/>
  <c r="R18" i="6" a="1"/>
  <c r="R67" i="6" a="1"/>
  <c r="Q65" i="6" a="1"/>
  <c r="U60" i="6" a="1"/>
  <c r="T58" i="6" a="1"/>
  <c r="R55" i="6" a="1"/>
  <c r="Q66" i="6" a="1"/>
  <c r="U61" i="6" a="1"/>
  <c r="T59" i="6" a="1"/>
  <c r="R56" i="6" a="1"/>
  <c r="Q54" i="6" a="1"/>
  <c r="U49" i="6" a="1"/>
  <c r="T47" i="6" a="1"/>
  <c r="R44" i="6" a="1"/>
  <c r="Q42" i="6" a="1"/>
  <c r="U37" i="6" a="1"/>
  <c r="T35" i="6" a="1"/>
  <c r="R32" i="6" a="1"/>
  <c r="Q30" i="6" a="1"/>
  <c r="U25" i="6" a="1"/>
  <c r="T23" i="6" a="1"/>
  <c r="R20" i="6" a="1"/>
  <c r="Q18" i="6" a="1"/>
  <c r="U13" i="6" a="1"/>
  <c r="T11" i="6" a="1"/>
  <c r="R8" i="6" a="1"/>
  <c r="Q6" i="6" a="1"/>
  <c r="U24" i="6" a="1"/>
  <c r="Q5" i="6" a="1"/>
  <c r="Q40" i="7" a="1"/>
  <c r="R42" i="7" a="1"/>
  <c r="T45" i="7" a="1"/>
  <c r="U47" i="7" a="1"/>
  <c r="Q52" i="7" a="1"/>
  <c r="R54" i="7" a="1"/>
  <c r="T57" i="7" a="1"/>
  <c r="U59" i="7" a="1"/>
  <c r="Q64" i="7" a="1"/>
  <c r="R66" i="7" a="1"/>
  <c r="T69" i="7" a="1"/>
  <c r="U71" i="7" a="1"/>
  <c r="Q76" i="7" a="1"/>
  <c r="R78" i="7" a="1"/>
  <c r="T81" i="7" a="1"/>
  <c r="U83" i="7" a="1"/>
  <c r="Q88" i="7" a="1"/>
  <c r="U70" i="7" a="1"/>
  <c r="Q75" i="7" a="1"/>
  <c r="Q39" i="7" a="1"/>
  <c r="R41" i="7" a="1"/>
  <c r="T44" i="7" a="1"/>
  <c r="U46" i="7" a="1"/>
  <c r="Q51" i="7" a="1"/>
  <c r="R53" i="7" a="1"/>
  <c r="T56" i="7" a="1"/>
  <c r="U58" i="7" a="1"/>
  <c r="Q63" i="7" a="1"/>
  <c r="R65" i="7" a="1"/>
  <c r="T68" i="7" a="1"/>
  <c r="R77" i="7" a="1"/>
  <c r="U82" i="7" a="1"/>
  <c r="R40" i="7" a="1"/>
  <c r="T43" i="7" a="1"/>
  <c r="U45" i="7" a="1"/>
  <c r="Q50" i="7" a="1"/>
  <c r="R52" i="7" a="1"/>
  <c r="T55" i="7" a="1"/>
  <c r="U57" i="7" a="1"/>
  <c r="Q62" i="7" a="1"/>
  <c r="R64" i="7" a="1"/>
  <c r="T67" i="7" a="1"/>
  <c r="U69" i="7" a="1"/>
  <c r="Q74" i="7" a="1"/>
  <c r="R76" i="7" a="1"/>
  <c r="T79" i="7" a="1"/>
  <c r="U81" i="7" a="1"/>
  <c r="Q86" i="7" a="1"/>
  <c r="R88" i="7" a="1"/>
  <c r="U78" i="7" a="1"/>
  <c r="U77" i="7" a="1"/>
  <c r="Q82" i="7" a="1"/>
  <c r="T87" i="7" a="1"/>
  <c r="U87" i="7" a="1"/>
  <c r="R39" i="7" a="1"/>
  <c r="T42" i="7" a="1"/>
  <c r="U44" i="7" a="1"/>
  <c r="Q49" i="7" a="1"/>
  <c r="R51" i="7" a="1"/>
  <c r="T54" i="7" a="1"/>
  <c r="U56" i="7" a="1"/>
  <c r="Q61" i="7" a="1"/>
  <c r="R63" i="7" a="1"/>
  <c r="T66" i="7" a="1"/>
  <c r="U68" i="7" a="1"/>
  <c r="Q73" i="7" a="1"/>
  <c r="R75" i="7" a="1"/>
  <c r="T78" i="7" a="1"/>
  <c r="U80" i="7" a="1"/>
  <c r="Q85" i="7" a="1"/>
  <c r="R87" i="7" a="1"/>
  <c r="Q83" i="7" a="1"/>
  <c r="U86" i="7" a="1"/>
  <c r="T41" i="7" a="1"/>
  <c r="U43" i="7" a="1"/>
  <c r="Q48" i="7" a="1"/>
  <c r="R50" i="7" a="1"/>
  <c r="T53" i="7" a="1"/>
  <c r="U55" i="7" a="1"/>
  <c r="Q60" i="7" a="1"/>
  <c r="R62" i="7" a="1"/>
  <c r="T65" i="7" a="1"/>
  <c r="U67" i="7" a="1"/>
  <c r="Q72" i="7" a="1"/>
  <c r="R74" i="7" a="1"/>
  <c r="T77" i="7" a="1"/>
  <c r="U79" i="7" a="1"/>
  <c r="Q84" i="7" a="1"/>
  <c r="R86" i="7" a="1"/>
  <c r="R85" i="7" a="1"/>
  <c r="T88" i="7" a="1"/>
  <c r="T40" i="7" a="1"/>
  <c r="U42" i="7" a="1"/>
  <c r="Q47" i="7" a="1"/>
  <c r="R49" i="7" a="1"/>
  <c r="T52" i="7" a="1"/>
  <c r="U54" i="7" a="1"/>
  <c r="Q59" i="7" a="1"/>
  <c r="R61" i="7" a="1"/>
  <c r="T64" i="7" a="1"/>
  <c r="U66" i="7" a="1"/>
  <c r="Q71" i="7" a="1"/>
  <c r="R73" i="7" a="1"/>
  <c r="T76" i="7" a="1"/>
  <c r="R84" i="7" a="1"/>
  <c r="T84" i="7" a="1"/>
  <c r="T39" i="7" a="1"/>
  <c r="U41" i="7" a="1"/>
  <c r="Q46" i="7" a="1"/>
  <c r="R48" i="7" a="1"/>
  <c r="T51" i="7" a="1"/>
  <c r="U53" i="7" a="1"/>
  <c r="Q58" i="7" a="1"/>
  <c r="R60" i="7" a="1"/>
  <c r="T63" i="7" a="1"/>
  <c r="U65" i="7" a="1"/>
  <c r="Q70" i="7" a="1"/>
  <c r="R72" i="7" a="1"/>
  <c r="T75" i="7" a="1"/>
  <c r="U40" i="7" a="1"/>
  <c r="Q45" i="7" a="1"/>
  <c r="R47" i="7" a="1"/>
  <c r="T50" i="7" a="1"/>
  <c r="U52" i="7" a="1"/>
  <c r="Q57" i="7" a="1"/>
  <c r="R59" i="7" a="1"/>
  <c r="T62" i="7" a="1"/>
  <c r="U64" i="7" a="1"/>
  <c r="Q69" i="7" a="1"/>
  <c r="R71" i="7" a="1"/>
  <c r="T74" i="7" a="1"/>
  <c r="U76" i="7" a="1"/>
  <c r="Q81" i="7" a="1"/>
  <c r="R83" i="7" a="1"/>
  <c r="T86" i="7" a="1"/>
  <c r="U88" i="7" a="1"/>
  <c r="U75" i="7" a="1"/>
  <c r="Q80" i="7" a="1"/>
  <c r="U39" i="7" a="1"/>
  <c r="Q44" i="7" a="1"/>
  <c r="R46" i="7" a="1"/>
  <c r="T49" i="7" a="1"/>
  <c r="U51" i="7" a="1"/>
  <c r="Q56" i="7" a="1"/>
  <c r="R58" i="7" a="1"/>
  <c r="T61" i="7" a="1"/>
  <c r="U63" i="7" a="1"/>
  <c r="Q68" i="7" a="1"/>
  <c r="R70" i="7" a="1"/>
  <c r="T73" i="7" a="1"/>
  <c r="R82" i="7" a="1"/>
  <c r="T85" i="7" a="1"/>
  <c r="Q43" i="7" a="1"/>
  <c r="R45" i="7" a="1"/>
  <c r="T48" i="7" a="1"/>
  <c r="U50" i="7" a="1"/>
  <c r="Q55" i="7" a="1"/>
  <c r="R57" i="7" a="1"/>
  <c r="T60" i="7" a="1"/>
  <c r="U62" i="7" a="1"/>
  <c r="Q67" i="7" a="1"/>
  <c r="R69" i="7" a="1"/>
  <c r="T72" i="7" a="1"/>
  <c r="U74" i="7" a="1"/>
  <c r="Q79" i="7" a="1"/>
  <c r="R81" i="7" a="1"/>
  <c r="Q42" i="7" a="1"/>
  <c r="R44" i="7" a="1"/>
  <c r="T47" i="7" a="1"/>
  <c r="U49" i="7" a="1"/>
  <c r="Q54" i="7" a="1"/>
  <c r="R56" i="7" a="1"/>
  <c r="T59" i="7" a="1"/>
  <c r="U61" i="7" a="1"/>
  <c r="Q66" i="7" a="1"/>
  <c r="R68" i="7" a="1"/>
  <c r="T71" i="7" a="1"/>
  <c r="U73" i="7" a="1"/>
  <c r="Q78" i="7" a="1"/>
  <c r="R80" i="7" a="1"/>
  <c r="T83" i="7" a="1"/>
  <c r="U85" i="7" a="1"/>
  <c r="T80" i="7" a="1"/>
  <c r="Q87" i="7" a="1"/>
  <c r="Q41" i="7" a="1"/>
  <c r="R43" i="7" a="1"/>
  <c r="T46" i="7" a="1"/>
  <c r="U48" i="7" a="1"/>
  <c r="Q53" i="7" a="1"/>
  <c r="R55" i="7" a="1"/>
  <c r="T58" i="7" a="1"/>
  <c r="U60" i="7" a="1"/>
  <c r="Q65" i="7" a="1"/>
  <c r="R67" i="7" a="1"/>
  <c r="T70" i="7" a="1"/>
  <c r="U72" i="7" a="1"/>
  <c r="Q77" i="7" a="1"/>
  <c r="R79" i="7" a="1"/>
  <c r="T82" i="7" a="1"/>
  <c r="U84" i="7" a="1"/>
  <c r="U36" i="7" a="1"/>
  <c r="T34" i="7" a="1"/>
  <c r="R31" i="7" a="1"/>
  <c r="Q29" i="7" a="1"/>
  <c r="U24" i="7" a="1"/>
  <c r="T22" i="7" a="1"/>
  <c r="R19" i="7" a="1"/>
  <c r="Q17" i="7" a="1"/>
  <c r="U12" i="7" a="1"/>
  <c r="T10" i="7" a="1"/>
  <c r="R7" i="7" a="1"/>
  <c r="Q5" i="7" a="1"/>
  <c r="Q20" i="7" a="1"/>
  <c r="U15" i="7" a="1"/>
  <c r="T13" i="7" a="1"/>
  <c r="R10" i="7" a="1"/>
  <c r="Q8" i="7" a="1"/>
  <c r="U37" i="7" a="1"/>
  <c r="T35" i="7" a="1"/>
  <c r="R32" i="7" a="1"/>
  <c r="Q30" i="7" a="1"/>
  <c r="U25" i="7" a="1"/>
  <c r="T23" i="7" a="1"/>
  <c r="R20" i="7" a="1"/>
  <c r="Q18" i="7" a="1"/>
  <c r="U13" i="7" a="1"/>
  <c r="T11" i="7" a="1"/>
  <c r="R8" i="7" a="1"/>
  <c r="Q6" i="7" a="1"/>
  <c r="U38" i="7" a="1"/>
  <c r="T36" i="7" a="1"/>
  <c r="R33" i="7" a="1"/>
  <c r="Q31" i="7" a="1"/>
  <c r="U26" i="7" a="1"/>
  <c r="T24" i="7" a="1"/>
  <c r="R21" i="7" a="1"/>
  <c r="Q19" i="7" a="1"/>
  <c r="U14" i="7" a="1"/>
  <c r="T12" i="7" a="1"/>
  <c r="R9" i="7" a="1"/>
  <c r="Q7" i="7" a="1"/>
  <c r="T37" i="7" a="1"/>
  <c r="R34" i="7" a="1"/>
  <c r="Q32" i="7" a="1"/>
  <c r="U27" i="7" a="1"/>
  <c r="T25" i="7" a="1"/>
  <c r="R22" i="7" a="1"/>
  <c r="T38" i="7" a="1"/>
  <c r="R35" i="7" a="1"/>
  <c r="Q33" i="7" a="1"/>
  <c r="U28" i="7" a="1"/>
  <c r="T26" i="7" a="1"/>
  <c r="R23" i="7" a="1"/>
  <c r="Q21" i="7" a="1"/>
  <c r="U16" i="7" a="1"/>
  <c r="T14" i="7" a="1"/>
  <c r="R11" i="7" a="1"/>
  <c r="Q9" i="7" a="1"/>
  <c r="R36" i="7" a="1"/>
  <c r="Q34" i="7" a="1"/>
  <c r="U29" i="7" a="1"/>
  <c r="T27" i="7" a="1"/>
  <c r="R24" i="7" a="1"/>
  <c r="Q22" i="7" a="1"/>
  <c r="U17" i="7" a="1"/>
  <c r="T15" i="7" a="1"/>
  <c r="R12" i="7" a="1"/>
  <c r="Q10" i="7" a="1"/>
  <c r="U5" i="7" a="1"/>
  <c r="T3" i="7" a="1"/>
  <c r="T2" i="7" a="1"/>
  <c r="R37" i="7" a="1"/>
  <c r="Q35" i="7" a="1"/>
  <c r="U30" i="7" a="1"/>
  <c r="T28" i="7" a="1"/>
  <c r="R25" i="7" a="1"/>
  <c r="Q23" i="7" a="1"/>
  <c r="U18" i="7" a="1"/>
  <c r="T16" i="7" a="1"/>
  <c r="R13" i="7" a="1"/>
  <c r="Q11" i="7" a="1"/>
  <c r="U6" i="7" a="1"/>
  <c r="T4" i="7" a="1"/>
  <c r="R27" i="7" a="1"/>
  <c r="T18" i="7" a="1"/>
  <c r="Q13" i="7" a="1"/>
  <c r="T6" i="7" a="1"/>
  <c r="R2" i="7" a="1"/>
  <c r="R38" i="7" a="1"/>
  <c r="Q36" i="7" a="1"/>
  <c r="U31" i="7" a="1"/>
  <c r="T29" i="7" a="1"/>
  <c r="R26" i="7" a="1"/>
  <c r="Q24" i="7" a="1"/>
  <c r="U19" i="7" a="1"/>
  <c r="T17" i="7" a="1"/>
  <c r="R14" i="7" a="1"/>
  <c r="Q12" i="7" a="1"/>
  <c r="U7" i="7" a="1"/>
  <c r="T5" i="7" a="1"/>
  <c r="T30" i="7" a="1"/>
  <c r="Q25" i="7" a="1"/>
  <c r="U20" i="7" a="1"/>
  <c r="R15" i="7" a="1"/>
  <c r="U8" i="7" a="1"/>
  <c r="R3" i="7" a="1"/>
  <c r="Q37" i="7" a="1"/>
  <c r="U32" i="7" a="1"/>
  <c r="Q38" i="7" a="1"/>
  <c r="U33" i="7" a="1"/>
  <c r="T31" i="7" a="1"/>
  <c r="R28" i="7" a="1"/>
  <c r="Q26" i="7" a="1"/>
  <c r="U21" i="7" a="1"/>
  <c r="T19" i="7" a="1"/>
  <c r="R16" i="7" a="1"/>
  <c r="Q14" i="7" a="1"/>
  <c r="U9" i="7" a="1"/>
  <c r="T7" i="7" a="1"/>
  <c r="R4" i="7" a="1"/>
  <c r="U4" i="7" a="1"/>
  <c r="U34" i="7" a="1"/>
  <c r="T32" i="7" a="1"/>
  <c r="R29" i="7" a="1"/>
  <c r="Q27" i="7" a="1"/>
  <c r="U22" i="7" a="1"/>
  <c r="T20" i="7" a="1"/>
  <c r="R17" i="7" a="1"/>
  <c r="Q15" i="7" a="1"/>
  <c r="U10" i="7" a="1"/>
  <c r="T8" i="7" a="1"/>
  <c r="R5" i="7" a="1"/>
  <c r="Q3" i="7" a="1"/>
  <c r="Q2" i="7" a="1"/>
  <c r="R6" i="7" a="1"/>
  <c r="Q4" i="7" a="1"/>
  <c r="U3" i="7" a="1"/>
  <c r="U2" i="7" a="1"/>
  <c r="U35" i="7" a="1"/>
  <c r="T33" i="7" a="1"/>
  <c r="R30" i="7" a="1"/>
  <c r="Q28" i="7" a="1"/>
  <c r="U23" i="7" a="1"/>
  <c r="T21" i="7" a="1"/>
  <c r="R18" i="7" a="1"/>
  <c r="Q16" i="7" a="1"/>
  <c r="U11" i="7" a="1"/>
  <c r="T9" i="7" a="1"/>
  <c r="R37" i="8" a="1"/>
  <c r="Q35" i="8" a="1"/>
  <c r="U30" i="8" a="1"/>
  <c r="T28" i="8" a="1"/>
  <c r="R25" i="8" a="1"/>
  <c r="Q23" i="8" a="1"/>
  <c r="U18" i="8" a="1"/>
  <c r="T16" i="8" a="1"/>
  <c r="R13" i="8" a="1"/>
  <c r="Q11" i="8" a="1"/>
  <c r="U6" i="8" a="1"/>
  <c r="T4" i="8" a="1"/>
  <c r="R2" i="8" a="1"/>
  <c r="U21" i="8" a="1"/>
  <c r="R16" i="8" a="1"/>
  <c r="R38" i="8" a="1"/>
  <c r="Q36" i="8" a="1"/>
  <c r="U31" i="8" a="1"/>
  <c r="T29" i="8" a="1"/>
  <c r="R26" i="8" a="1"/>
  <c r="Q24" i="8" a="1"/>
  <c r="U19" i="8" a="1"/>
  <c r="T17" i="8" a="1"/>
  <c r="R14" i="8" a="1"/>
  <c r="Q12" i="8" a="1"/>
  <c r="U7" i="8" a="1"/>
  <c r="T5" i="8" a="1"/>
  <c r="T19" i="8" a="1"/>
  <c r="Q14" i="8" a="1"/>
  <c r="Q37" i="8" a="1"/>
  <c r="U32" i="8" a="1"/>
  <c r="T30" i="8" a="1"/>
  <c r="R27" i="8" a="1"/>
  <c r="Q25" i="8" a="1"/>
  <c r="U20" i="8" a="1"/>
  <c r="T18" i="8" a="1"/>
  <c r="R15" i="8" a="1"/>
  <c r="Q13" i="8" a="1"/>
  <c r="U8" i="8" a="1"/>
  <c r="T6" i="8" a="1"/>
  <c r="R3" i="8" a="1"/>
  <c r="U9" i="8" a="1"/>
  <c r="R4" i="8" a="1"/>
  <c r="T14" i="8" a="1"/>
  <c r="Q38" i="8" a="1"/>
  <c r="U33" i="8" a="1"/>
  <c r="T31" i="8" a="1"/>
  <c r="R28" i="8" a="1"/>
  <c r="Q26" i="8" a="1"/>
  <c r="U28" i="8" a="1"/>
  <c r="U34" i="8" a="1"/>
  <c r="T32" i="8" a="1"/>
  <c r="R29" i="8" a="1"/>
  <c r="Q27" i="8" a="1"/>
  <c r="U22" i="8" a="1"/>
  <c r="T20" i="8" a="1"/>
  <c r="R17" i="8" a="1"/>
  <c r="Q15" i="8" a="1"/>
  <c r="U10" i="8" a="1"/>
  <c r="T8" i="8" a="1"/>
  <c r="R5" i="8" a="1"/>
  <c r="Q3" i="8" a="1"/>
  <c r="U35" i="8" a="1"/>
  <c r="T33" i="8" a="1"/>
  <c r="R30" i="8" a="1"/>
  <c r="Q28" i="8" a="1"/>
  <c r="U23" i="8" a="1"/>
  <c r="T21" i="8" a="1"/>
  <c r="R18" i="8" a="1"/>
  <c r="Q16" i="8" a="1"/>
  <c r="U11" i="8" a="1"/>
  <c r="T9" i="8" a="1"/>
  <c r="R6" i="8" a="1"/>
  <c r="Q4" i="8" a="1"/>
  <c r="Q6" i="8" a="1"/>
  <c r="R35" i="8" a="1"/>
  <c r="R11" i="8" a="1"/>
  <c r="U36" i="8" a="1"/>
  <c r="T34" i="8" a="1"/>
  <c r="R31" i="8" a="1"/>
  <c r="Q29" i="8" a="1"/>
  <c r="U24" i="8" a="1"/>
  <c r="T22" i="8" a="1"/>
  <c r="R19" i="8" a="1"/>
  <c r="Q17" i="8" a="1"/>
  <c r="U12" i="8" a="1"/>
  <c r="T10" i="8" a="1"/>
  <c r="R7" i="8" a="1"/>
  <c r="Q5" i="8" a="1"/>
  <c r="Q33" i="8" a="1"/>
  <c r="T26" i="8" a="1"/>
  <c r="R23" i="8" a="1"/>
  <c r="U16" i="8" a="1"/>
  <c r="Q9" i="8" a="1"/>
  <c r="U4" i="8" a="1"/>
  <c r="U37" i="8" a="1"/>
  <c r="T35" i="8" a="1"/>
  <c r="R32" i="8" a="1"/>
  <c r="Q30" i="8" a="1"/>
  <c r="U25" i="8" a="1"/>
  <c r="T23" i="8" a="1"/>
  <c r="R20" i="8" a="1"/>
  <c r="Q18" i="8" a="1"/>
  <c r="U13" i="8" a="1"/>
  <c r="T11" i="8" a="1"/>
  <c r="R8" i="8" a="1"/>
  <c r="U38" i="8" a="1"/>
  <c r="T36" i="8" a="1"/>
  <c r="R33" i="8" a="1"/>
  <c r="Q31" i="8" a="1"/>
  <c r="U26" i="8" a="1"/>
  <c r="T24" i="8" a="1"/>
  <c r="R21" i="8" a="1"/>
  <c r="Q19" i="8" a="1"/>
  <c r="U14" i="8" a="1"/>
  <c r="T12" i="8" a="1"/>
  <c r="R9" i="8" a="1"/>
  <c r="Q7" i="8" a="1"/>
  <c r="Q20" i="8" a="1"/>
  <c r="U15" i="8" a="1"/>
  <c r="T13" i="8" a="1"/>
  <c r="R10" i="8" a="1"/>
  <c r="Q8" i="8" a="1"/>
  <c r="U3" i="8" a="1"/>
  <c r="U2" i="8" a="1"/>
  <c r="T37" i="8" a="1"/>
  <c r="R34" i="8" a="1"/>
  <c r="Q32" i="8" a="1"/>
  <c r="U27" i="8" a="1"/>
  <c r="T25" i="8" a="1"/>
  <c r="R22" i="8" a="1"/>
  <c r="T38" i="8" a="1"/>
  <c r="Q21" i="8" a="1"/>
  <c r="R36" i="8" a="1"/>
  <c r="Q34" i="8" a="1"/>
  <c r="U29" i="8" a="1"/>
  <c r="T27" i="8" a="1"/>
  <c r="R24" i="8" a="1"/>
  <c r="Q22" i="8" a="1"/>
  <c r="U17" i="8" a="1"/>
  <c r="T15" i="8" a="1"/>
  <c r="R12" i="8" a="1"/>
  <c r="Q10" i="8" a="1"/>
  <c r="U5" i="8" a="1"/>
  <c r="T3" i="8" a="1"/>
  <c r="T2" i="8" a="1"/>
  <c r="T7" i="8" a="1"/>
  <c r="Q2" i="8" a="1"/>
  <c r="R78" i="9" a="1"/>
  <c r="Q76" i="9" a="1"/>
  <c r="U77" i="9" a="1"/>
  <c r="T75" i="9" a="1"/>
  <c r="R72" i="9" a="1"/>
  <c r="Q70" i="9" a="1"/>
  <c r="U65" i="9" a="1"/>
  <c r="T63" i="9" a="1"/>
  <c r="R60" i="9" a="1"/>
  <c r="Q58" i="9" a="1"/>
  <c r="U53" i="9" a="1"/>
  <c r="T51" i="9" a="1"/>
  <c r="R48" i="9" a="1"/>
  <c r="Q46" i="9" a="1"/>
  <c r="U41" i="9" a="1"/>
  <c r="T39" i="9" a="1"/>
  <c r="R36" i="9" a="1"/>
  <c r="Q34" i="9" a="1"/>
  <c r="U29" i="9" a="1"/>
  <c r="T27" i="9" a="1"/>
  <c r="R24" i="9" a="1"/>
  <c r="Q22" i="9" a="1"/>
  <c r="U17" i="9" a="1"/>
  <c r="T15" i="9" a="1"/>
  <c r="R12" i="9" a="1"/>
  <c r="Q10" i="9" a="1"/>
  <c r="U5" i="9" a="1"/>
  <c r="T3" i="9" a="1"/>
  <c r="U78" i="9" a="1"/>
  <c r="T76" i="9" a="1"/>
  <c r="R73" i="9" a="1"/>
  <c r="Q71" i="9" a="1"/>
  <c r="U66" i="9" a="1"/>
  <c r="T64" i="9" a="1"/>
  <c r="R61" i="9" a="1"/>
  <c r="Q59" i="9" a="1"/>
  <c r="U54" i="9" a="1"/>
  <c r="T52" i="9" a="1"/>
  <c r="R49" i="9" a="1"/>
  <c r="Q47" i="9" a="1"/>
  <c r="U42" i="9" a="1"/>
  <c r="T40" i="9" a="1"/>
  <c r="R37" i="9" a="1"/>
  <c r="Q35" i="9" a="1"/>
  <c r="U30" i="9" a="1"/>
  <c r="T28" i="9" a="1"/>
  <c r="U80" i="9" a="1"/>
  <c r="T78" i="9" a="1"/>
  <c r="R75" i="9" a="1"/>
  <c r="Q73" i="9" a="1"/>
  <c r="U68" i="9" a="1"/>
  <c r="T66" i="9" a="1"/>
  <c r="R63" i="9" a="1"/>
  <c r="T79" i="9" a="1"/>
  <c r="R76" i="9" a="1"/>
  <c r="Q74" i="9" a="1"/>
  <c r="T80" i="9" a="1"/>
  <c r="T73" i="9" a="1"/>
  <c r="Q68" i="9" a="1"/>
  <c r="Q65" i="9" a="1"/>
  <c r="T70" i="9" a="1"/>
  <c r="R69" i="9" a="1"/>
  <c r="Q62" i="9" a="1"/>
  <c r="T59" i="9" a="1"/>
  <c r="R58" i="9" a="1"/>
  <c r="Q57" i="9" a="1"/>
  <c r="U55" i="9" a="1"/>
  <c r="R44" i="9" a="1"/>
  <c r="T41" i="9" a="1"/>
  <c r="R40" i="9" a="1"/>
  <c r="U37" i="9" a="1"/>
  <c r="Q30" i="9" a="1"/>
  <c r="R26" i="9" a="1"/>
  <c r="Q25" i="9" a="1"/>
  <c r="U22" i="9" a="1"/>
  <c r="T21" i="9" a="1"/>
  <c r="R19" i="9" a="1"/>
  <c r="Q18" i="9" a="1"/>
  <c r="U15" i="9" a="1"/>
  <c r="R80" i="9" a="1"/>
  <c r="U76" i="9" a="1"/>
  <c r="U67" i="9" a="1"/>
  <c r="R66" i="9" a="1"/>
  <c r="U60" i="9" a="1"/>
  <c r="Q53" i="9" a="1"/>
  <c r="T50" i="9" a="1"/>
  <c r="Q49" i="9" a="1"/>
  <c r="T46" i="9" a="1"/>
  <c r="U33" i="9" a="1"/>
  <c r="T32" i="9" a="1"/>
  <c r="R31" i="9" a="1"/>
  <c r="U28" i="9" a="1"/>
  <c r="T8" i="9" a="1"/>
  <c r="U2" i="9" a="1"/>
  <c r="U74" i="9" a="1"/>
  <c r="U71" i="9" a="1"/>
  <c r="Q69" i="9" a="1"/>
  <c r="T67" i="9" a="1"/>
  <c r="T55" i="9" a="1"/>
  <c r="R54" i="9" a="1"/>
  <c r="Q80" i="9" a="1"/>
  <c r="T74" i="9" a="1"/>
  <c r="T71" i="9" a="1"/>
  <c r="U61" i="9" a="1"/>
  <c r="Q54" i="9" a="1"/>
  <c r="Q50" i="9" a="1"/>
  <c r="T47" i="9" a="1"/>
  <c r="R46" i="9" a="1"/>
  <c r="Q45" i="9" a="1"/>
  <c r="U43" i="9" a="1"/>
  <c r="R32" i="9" a="1"/>
  <c r="U79" i="9" a="1"/>
  <c r="R74" i="9" a="1"/>
  <c r="U72" i="9" a="1"/>
  <c r="R67" i="9" a="1"/>
  <c r="R64" i="9" a="1"/>
  <c r="U57" i="9" a="1"/>
  <c r="T56" i="9" a="1"/>
  <c r="R55" i="9" a="1"/>
  <c r="U52" i="9" a="1"/>
  <c r="R51" i="9" a="1"/>
  <c r="U48" i="9" a="1"/>
  <c r="Q41" i="9" a="1"/>
  <c r="T38" i="9" a="1"/>
  <c r="Q37" i="9" a="1"/>
  <c r="T34" i="9" a="1"/>
  <c r="R22" i="9" a="1"/>
  <c r="Q21" i="9" a="1"/>
  <c r="U18" i="9" a="1"/>
  <c r="T17" i="9" a="1"/>
  <c r="R9" i="9" a="1"/>
  <c r="T4" i="9" a="1"/>
  <c r="T68" i="9" a="1"/>
  <c r="T61" i="9" a="1"/>
  <c r="Q60" i="9" a="1"/>
  <c r="T43" i="9" a="1"/>
  <c r="R42" i="9" a="1"/>
  <c r="U39" i="9" a="1"/>
  <c r="R38" i="9" a="1"/>
  <c r="U35" i="9" a="1"/>
  <c r="R33" i="9" a="1"/>
  <c r="Q32" i="9" a="1"/>
  <c r="Q28" i="9" a="1"/>
  <c r="U25" i="9" a="1"/>
  <c r="T24" i="9" a="1"/>
  <c r="R16" i="9" a="1"/>
  <c r="Q15" i="9" a="1"/>
  <c r="U12" i="9" a="1"/>
  <c r="T11" i="9" a="1"/>
  <c r="Q8" i="9" a="1"/>
  <c r="R3" i="9" a="1"/>
  <c r="R2" i="9" a="1"/>
  <c r="R79" i="9" a="1"/>
  <c r="T77" i="9" a="1"/>
  <c r="U75" i="9" a="1"/>
  <c r="T72" i="9" a="1"/>
  <c r="R71" i="9" a="1"/>
  <c r="U69" i="9" a="1"/>
  <c r="Q67" i="9" a="1"/>
  <c r="T65" i="9" a="1"/>
  <c r="Q64" i="9" a="1"/>
  <c r="U62" i="9" a="1"/>
  <c r="U58" i="9" a="1"/>
  <c r="T57" i="9" a="1"/>
  <c r="Q55" i="9" a="1"/>
  <c r="Q51" i="9" a="1"/>
  <c r="T48" i="9" a="1"/>
  <c r="R47" i="9" a="1"/>
  <c r="U44" i="9" a="1"/>
  <c r="R77" i="9" a="1"/>
  <c r="R56" i="9" a="1"/>
  <c r="T53" i="9" a="1"/>
  <c r="R52" i="9" a="1"/>
  <c r="U49" i="9" a="1"/>
  <c r="Q42" i="9" a="1"/>
  <c r="Q38" i="9" a="1"/>
  <c r="T35" i="9" a="1"/>
  <c r="R34" i="9" a="1"/>
  <c r="Q33" i="9" a="1"/>
  <c r="U31" i="9" a="1"/>
  <c r="U26" i="9" a="1"/>
  <c r="T25" i="9" a="1"/>
  <c r="Q23" i="9" a="1"/>
  <c r="R17" i="9" a="1"/>
  <c r="Q16" i="9" a="1"/>
  <c r="U13" i="9" a="1"/>
  <c r="Q79" i="9" a="1"/>
  <c r="Q77" i="9" a="1"/>
  <c r="U73" i="9" a="1"/>
  <c r="T69" i="9" a="1"/>
  <c r="R68" i="9" a="1"/>
  <c r="R65" i="9" a="1"/>
  <c r="T62" i="9" a="1"/>
  <c r="Q61" i="9" a="1"/>
  <c r="T58" i="9" a="1"/>
  <c r="U45" i="9" a="1"/>
  <c r="T44" i="9" a="1"/>
  <c r="Q75" i="9" a="1"/>
  <c r="Q72" i="9" a="1"/>
  <c r="U70" i="9" a="1"/>
  <c r="R62" i="9" a="1"/>
  <c r="U59" i="9" a="1"/>
  <c r="R57" i="9" a="1"/>
  <c r="Q56" i="9" a="1"/>
  <c r="Q52" i="9" a="1"/>
  <c r="T49" i="9" a="1"/>
  <c r="Q48" i="9" a="1"/>
  <c r="T31" i="9" a="1"/>
  <c r="R30" i="9" a="1"/>
  <c r="U27" i="9" a="1"/>
  <c r="T26" i="9" a="1"/>
  <c r="R25" i="9" a="1"/>
  <c r="U56" i="9" a="1"/>
  <c r="R35" i="9" a="1"/>
  <c r="U32" i="9" a="1"/>
  <c r="T12" i="9" a="1"/>
  <c r="Q11" i="9" a="1"/>
  <c r="T9" i="9" a="1"/>
  <c r="T6" i="9" a="1"/>
  <c r="Q5" i="9" a="1"/>
  <c r="Q2" i="9" a="1"/>
  <c r="T54" i="9" a="1"/>
  <c r="Q12" i="9" a="1"/>
  <c r="U4" i="9" a="1"/>
  <c r="R15" i="9" a="1"/>
  <c r="T22" i="9" a="1"/>
  <c r="Q66" i="9" a="1"/>
  <c r="U46" i="9" a="1"/>
  <c r="R43" i="9" a="1"/>
  <c r="U40" i="9" a="1"/>
  <c r="T23" i="9" a="1"/>
  <c r="U19" i="9" a="1"/>
  <c r="Q14" i="9" a="1"/>
  <c r="Q9" i="9" a="1"/>
  <c r="R6" i="9" a="1"/>
  <c r="Q3" i="9" a="1"/>
  <c r="U64" i="9" a="1"/>
  <c r="R29" i="9" a="1"/>
  <c r="T7" i="9" a="1"/>
  <c r="T42" i="9" a="1"/>
  <c r="Q19" i="9" a="1"/>
  <c r="T10" i="9" a="1"/>
  <c r="Q78" i="9" a="1"/>
  <c r="U63" i="9" a="1"/>
  <c r="R45" i="9" a="1"/>
  <c r="U36" i="9" a="1"/>
  <c r="Q17" i="9" a="1"/>
  <c r="R10" i="9" a="1"/>
  <c r="R4" i="9" a="1"/>
  <c r="Q24" i="9" a="1"/>
  <c r="T2" i="9" a="1"/>
  <c r="R41" i="9" a="1"/>
  <c r="T14" i="9" a="1"/>
  <c r="U6" i="9" a="1"/>
  <c r="R5" i="9" a="1"/>
  <c r="U21" i="9" a="1"/>
  <c r="R11" i="9" a="1"/>
  <c r="T60" i="9" a="1"/>
  <c r="U50" i="9" a="1"/>
  <c r="Q43" i="9" a="1"/>
  <c r="T37" i="9" a="1"/>
  <c r="R27" i="9" a="1"/>
  <c r="R23" i="9" a="1"/>
  <c r="R21" i="9" a="1"/>
  <c r="T19" i="9" a="1"/>
  <c r="U7" i="9" a="1"/>
  <c r="Q27" i="9" a="1"/>
  <c r="Q6" i="9" a="1"/>
  <c r="R59" i="9" a="1"/>
  <c r="T45" i="9" a="1"/>
  <c r="Q29" i="9" a="1"/>
  <c r="T13" i="9" a="1"/>
  <c r="R39" i="9" a="1"/>
  <c r="U24" i="9" a="1"/>
  <c r="R7" i="9" a="1"/>
  <c r="Q26" i="9" a="1"/>
  <c r="Q44" i="9" a="1"/>
  <c r="R28" i="9" a="1"/>
  <c r="U23" i="9" a="1"/>
  <c r="U9" i="9" a="1"/>
  <c r="U3" i="9" a="1"/>
  <c r="R50" i="9" a="1"/>
  <c r="Q40" i="9" a="1"/>
  <c r="U34" i="9" a="1"/>
  <c r="T29" i="9" a="1"/>
  <c r="U10" i="9" a="1"/>
  <c r="R20" i="9" a="1"/>
  <c r="T16" i="9" a="1"/>
  <c r="U38" i="9" a="1"/>
  <c r="U20" i="9" a="1"/>
  <c r="R14" i="9" a="1"/>
  <c r="R70" i="9" a="1"/>
  <c r="Q63" i="9" a="1"/>
  <c r="R53" i="9" a="1"/>
  <c r="Q39" i="9" a="1"/>
  <c r="T36" i="9" a="1"/>
  <c r="Q31" i="9" a="1"/>
  <c r="R13" i="9" a="1"/>
  <c r="U8" i="9" a="1"/>
  <c r="T5" i="9" a="1"/>
  <c r="Q36" i="9" a="1"/>
  <c r="T20" i="9" a="1"/>
  <c r="T18" i="9" a="1"/>
  <c r="U16" i="9" a="1"/>
  <c r="U14" i="9" a="1"/>
  <c r="Q13" i="9" a="1"/>
  <c r="U11" i="9" a="1"/>
  <c r="Q7" i="9" a="1"/>
  <c r="Q4" i="9" a="1"/>
  <c r="T33" i="9" a="1"/>
  <c r="T30" i="9" a="1"/>
  <c r="U47" i="9" a="1"/>
  <c r="R18" i="9" a="1"/>
  <c r="U51" i="9" a="1"/>
  <c r="Q20" i="9" a="1"/>
  <c r="R8" i="9" a="1"/>
  <c r="Q115" i="10" a="1"/>
  <c r="R117" i="10" a="1"/>
  <c r="T120" i="10" a="1"/>
  <c r="Q118" i="10" a="1"/>
  <c r="Q114" i="10" a="1"/>
  <c r="R116" i="10" a="1"/>
  <c r="T119" i="10" a="1"/>
  <c r="R120" i="10" a="1"/>
  <c r="R115" i="10" a="1"/>
  <c r="T118" i="10" a="1"/>
  <c r="U120" i="10" a="1"/>
  <c r="Q119" i="10" a="1"/>
  <c r="R119" i="10" a="1"/>
  <c r="R114" i="10" a="1"/>
  <c r="T117" i="10" a="1"/>
  <c r="U119" i="10" a="1"/>
  <c r="Q116" i="10" a="1"/>
  <c r="T116" i="10" a="1"/>
  <c r="U118" i="10" a="1"/>
  <c r="T115" i="10" a="1"/>
  <c r="U117" i="10" a="1"/>
  <c r="T114" i="10" a="1"/>
  <c r="U116" i="10" a="1"/>
  <c r="R118" i="10" a="1"/>
  <c r="U115" i="10" a="1"/>
  <c r="Q120" i="10" a="1"/>
  <c r="U114" i="10" a="1"/>
  <c r="Q117" i="10" a="1"/>
  <c r="U111" i="10" a="1"/>
  <c r="T109" i="10" a="1"/>
  <c r="R106" i="10" a="1"/>
  <c r="Q104" i="10" a="1"/>
  <c r="U99" i="10" a="1"/>
  <c r="T97" i="10" a="1"/>
  <c r="R94" i="10" a="1"/>
  <c r="Q92" i="10" a="1"/>
  <c r="U87" i="10" a="1"/>
  <c r="T85" i="10" a="1"/>
  <c r="R82" i="10" a="1"/>
  <c r="Q80" i="10" a="1"/>
  <c r="U75" i="10" a="1"/>
  <c r="T73" i="10" a="1"/>
  <c r="R70" i="10" a="1"/>
  <c r="Q68" i="10" a="1"/>
  <c r="U63" i="10" a="1"/>
  <c r="T61" i="10" a="1"/>
  <c r="R58" i="10" a="1"/>
  <c r="Q56" i="10" a="1"/>
  <c r="U51" i="10" a="1"/>
  <c r="T49" i="10" a="1"/>
  <c r="R46" i="10" a="1"/>
  <c r="Q44" i="10" a="1"/>
  <c r="U112" i="10" a="1"/>
  <c r="T110" i="10" a="1"/>
  <c r="R107" i="10" a="1"/>
  <c r="Q105" i="10" a="1"/>
  <c r="U100" i="10" a="1"/>
  <c r="T98" i="10" a="1"/>
  <c r="R95" i="10" a="1"/>
  <c r="Q93" i="10" a="1"/>
  <c r="U88" i="10" a="1"/>
  <c r="T86" i="10" a="1"/>
  <c r="R83" i="10" a="1"/>
  <c r="Q81" i="10" a="1"/>
  <c r="U76" i="10" a="1"/>
  <c r="T74" i="10" a="1"/>
  <c r="R71" i="10" a="1"/>
  <c r="Q69" i="10" a="1"/>
  <c r="U64" i="10" a="1"/>
  <c r="T62" i="10" a="1"/>
  <c r="R59" i="10" a="1"/>
  <c r="Q57" i="10" a="1"/>
  <c r="U52" i="10" a="1"/>
  <c r="T50" i="10" a="1"/>
  <c r="R47" i="10" a="1"/>
  <c r="Q45" i="10" a="1"/>
  <c r="U40" i="10" a="1"/>
  <c r="T38" i="10" a="1"/>
  <c r="R35" i="10" a="1"/>
  <c r="Q33" i="10" a="1"/>
  <c r="U28" i="10" a="1"/>
  <c r="T26" i="10" a="1"/>
  <c r="R23" i="10" a="1"/>
  <c r="Q21" i="10" a="1"/>
  <c r="U16" i="10" a="1"/>
  <c r="T14" i="10" a="1"/>
  <c r="R11" i="10" a="1"/>
  <c r="Q9" i="10" a="1"/>
  <c r="U4" i="10" a="1"/>
  <c r="T51" i="10" a="1"/>
  <c r="U113" i="10" a="1"/>
  <c r="T111" i="10" a="1"/>
  <c r="R108" i="10" a="1"/>
  <c r="Q106" i="10" a="1"/>
  <c r="U101" i="10" a="1"/>
  <c r="T99" i="10" a="1"/>
  <c r="R96" i="10" a="1"/>
  <c r="Q94" i="10" a="1"/>
  <c r="U89" i="10" a="1"/>
  <c r="T87" i="10" a="1"/>
  <c r="R84" i="10" a="1"/>
  <c r="Q82" i="10" a="1"/>
  <c r="U77" i="10" a="1"/>
  <c r="T75" i="10" a="1"/>
  <c r="R72" i="10" a="1"/>
  <c r="Q70" i="10" a="1"/>
  <c r="U65" i="10" a="1"/>
  <c r="T63" i="10" a="1"/>
  <c r="R60" i="10" a="1"/>
  <c r="Q58" i="10" a="1"/>
  <c r="U53" i="10" a="1"/>
  <c r="T112" i="10" a="1"/>
  <c r="R109" i="10" a="1"/>
  <c r="Q107" i="10" a="1"/>
  <c r="U102" i="10" a="1"/>
  <c r="T100" i="10" a="1"/>
  <c r="R97" i="10" a="1"/>
  <c r="Q95" i="10" a="1"/>
  <c r="U90" i="10" a="1"/>
  <c r="T88" i="10" a="1"/>
  <c r="R85" i="10" a="1"/>
  <c r="Q83" i="10" a="1"/>
  <c r="U78" i="10" a="1"/>
  <c r="T76" i="10" a="1"/>
  <c r="R73" i="10" a="1"/>
  <c r="Q71" i="10" a="1"/>
  <c r="U66" i="10" a="1"/>
  <c r="T64" i="10" a="1"/>
  <c r="R61" i="10" a="1"/>
  <c r="T113" i="10" a="1"/>
  <c r="R110" i="10" a="1"/>
  <c r="Q108" i="10" a="1"/>
  <c r="U103" i="10" a="1"/>
  <c r="T101" i="10" a="1"/>
  <c r="R98" i="10" a="1"/>
  <c r="Q96" i="10" a="1"/>
  <c r="U91" i="10" a="1"/>
  <c r="T89" i="10" a="1"/>
  <c r="R86" i="10" a="1"/>
  <c r="Q84" i="10" a="1"/>
  <c r="U79" i="10" a="1"/>
  <c r="T77" i="10" a="1"/>
  <c r="R74" i="10" a="1"/>
  <c r="Q72" i="10" a="1"/>
  <c r="U67" i="10" a="1"/>
  <c r="T65" i="10" a="1"/>
  <c r="R62" i="10" a="1"/>
  <c r="Q60" i="10" a="1"/>
  <c r="U55" i="10" a="1"/>
  <c r="T53" i="10" a="1"/>
  <c r="R50" i="10" a="1"/>
  <c r="Q48" i="10" a="1"/>
  <c r="U43" i="10" a="1"/>
  <c r="T41" i="10" a="1"/>
  <c r="R111" i="10" a="1"/>
  <c r="Q109" i="10" a="1"/>
  <c r="U104" i="10" a="1"/>
  <c r="T102" i="10" a="1"/>
  <c r="R99" i="10" a="1"/>
  <c r="Q97" i="10" a="1"/>
  <c r="U92" i="10" a="1"/>
  <c r="T90" i="10" a="1"/>
  <c r="R87" i="10" a="1"/>
  <c r="Q85" i="10" a="1"/>
  <c r="U80" i="10" a="1"/>
  <c r="T78" i="10" a="1"/>
  <c r="R75" i="10" a="1"/>
  <c r="Q73" i="10" a="1"/>
  <c r="U68" i="10" a="1"/>
  <c r="T66" i="10" a="1"/>
  <c r="R63" i="10" a="1"/>
  <c r="Q61" i="10" a="1"/>
  <c r="U56" i="10" a="1"/>
  <c r="T54" i="10" a="1"/>
  <c r="R51" i="10" a="1"/>
  <c r="Q49" i="10" a="1"/>
  <c r="U44" i="10" a="1"/>
  <c r="T42" i="10" a="1"/>
  <c r="R39" i="10" a="1"/>
  <c r="Q37" i="10" a="1"/>
  <c r="U32" i="10" a="1"/>
  <c r="T30" i="10" a="1"/>
  <c r="R27" i="10" a="1"/>
  <c r="R112" i="10" a="1"/>
  <c r="Q110" i="10" a="1"/>
  <c r="U105" i="10" a="1"/>
  <c r="T103" i="10" a="1"/>
  <c r="R100" i="10" a="1"/>
  <c r="Q98" i="10" a="1"/>
  <c r="U93" i="10" a="1"/>
  <c r="T91" i="10" a="1"/>
  <c r="R88" i="10" a="1"/>
  <c r="Q86" i="10" a="1"/>
  <c r="U81" i="10" a="1"/>
  <c r="T79" i="10" a="1"/>
  <c r="R76" i="10" a="1"/>
  <c r="Q74" i="10" a="1"/>
  <c r="U69" i="10" a="1"/>
  <c r="T67" i="10" a="1"/>
  <c r="R64" i="10" a="1"/>
  <c r="Q62" i="10" a="1"/>
  <c r="U57" i="10" a="1"/>
  <c r="R113" i="10" a="1"/>
  <c r="Q111" i="10" a="1"/>
  <c r="U106" i="10" a="1"/>
  <c r="T104" i="10" a="1"/>
  <c r="R101" i="10" a="1"/>
  <c r="Q99" i="10" a="1"/>
  <c r="U94" i="10" a="1"/>
  <c r="T92" i="10" a="1"/>
  <c r="R89" i="10" a="1"/>
  <c r="Q87" i="10" a="1"/>
  <c r="U82" i="10" a="1"/>
  <c r="T80" i="10" a="1"/>
  <c r="R77" i="10" a="1"/>
  <c r="Q75" i="10" a="1"/>
  <c r="U70" i="10" a="1"/>
  <c r="T68" i="10" a="1"/>
  <c r="R65" i="10" a="1"/>
  <c r="Q63" i="10" a="1"/>
  <c r="U58" i="10" a="1"/>
  <c r="T56" i="10" a="1"/>
  <c r="R53" i="10" a="1"/>
  <c r="Q51" i="10" a="1"/>
  <c r="U46" i="10" a="1"/>
  <c r="T44" i="10" a="1"/>
  <c r="R41" i="10" a="1"/>
  <c r="Q39" i="10" a="1"/>
  <c r="U34" i="10" a="1"/>
  <c r="T32" i="10" a="1"/>
  <c r="R29" i="10" a="1"/>
  <c r="Q27" i="10" a="1"/>
  <c r="U22" i="10" a="1"/>
  <c r="T20" i="10" a="1"/>
  <c r="R17" i="10" a="1"/>
  <c r="Q15" i="10" a="1"/>
  <c r="U10" i="10" a="1"/>
  <c r="T8" i="10" a="1"/>
  <c r="Q112" i="10" a="1"/>
  <c r="U107" i="10" a="1"/>
  <c r="T105" i="10" a="1"/>
  <c r="R102" i="10" a="1"/>
  <c r="Q100" i="10" a="1"/>
  <c r="U95" i="10" a="1"/>
  <c r="T93" i="10" a="1"/>
  <c r="R90" i="10" a="1"/>
  <c r="Q88" i="10" a="1"/>
  <c r="U83" i="10" a="1"/>
  <c r="T81" i="10" a="1"/>
  <c r="R78" i="10" a="1"/>
  <c r="Q76" i="10" a="1"/>
  <c r="U71" i="10" a="1"/>
  <c r="T69" i="10" a="1"/>
  <c r="R66" i="10" a="1"/>
  <c r="Q64" i="10" a="1"/>
  <c r="U59" i="10" a="1"/>
  <c r="T57" i="10" a="1"/>
  <c r="R54" i="10" a="1"/>
  <c r="Q52" i="10" a="1"/>
  <c r="U47" i="10" a="1"/>
  <c r="T45" i="10" a="1"/>
  <c r="R42" i="10" a="1"/>
  <c r="Q40" i="10" a="1"/>
  <c r="U35" i="10" a="1"/>
  <c r="T33" i="10" a="1"/>
  <c r="R30" i="10" a="1"/>
  <c r="Q28" i="10" a="1"/>
  <c r="U23" i="10" a="1"/>
  <c r="T21" i="10" a="1"/>
  <c r="R18" i="10" a="1"/>
  <c r="Q16" i="10" a="1"/>
  <c r="U11" i="10" a="1"/>
  <c r="T9" i="10" a="1"/>
  <c r="R6" i="10" a="1"/>
  <c r="Q4" i="10" a="1"/>
  <c r="Q113" i="10" a="1"/>
  <c r="U108" i="10" a="1"/>
  <c r="T106" i="10" a="1"/>
  <c r="R103" i="10" a="1"/>
  <c r="Q101" i="10" a="1"/>
  <c r="U96" i="10" a="1"/>
  <c r="T94" i="10" a="1"/>
  <c r="R91" i="10" a="1"/>
  <c r="Q89" i="10" a="1"/>
  <c r="U84" i="10" a="1"/>
  <c r="T82" i="10" a="1"/>
  <c r="R79" i="10" a="1"/>
  <c r="Q77" i="10" a="1"/>
  <c r="U72" i="10" a="1"/>
  <c r="T70" i="10" a="1"/>
  <c r="R67" i="10" a="1"/>
  <c r="Q65" i="10" a="1"/>
  <c r="U60" i="10" a="1"/>
  <c r="T58" i="10" a="1"/>
  <c r="R55" i="10" a="1"/>
  <c r="Q53" i="10" a="1"/>
  <c r="U48" i="10" a="1"/>
  <c r="T46" i="10" a="1"/>
  <c r="R43" i="10" a="1"/>
  <c r="Q41" i="10" a="1"/>
  <c r="U36" i="10" a="1"/>
  <c r="T34" i="10" a="1"/>
  <c r="R31" i="10" a="1"/>
  <c r="U109" i="10" a="1"/>
  <c r="T107" i="10" a="1"/>
  <c r="R104" i="10" a="1"/>
  <c r="Q102" i="10" a="1"/>
  <c r="U97" i="10" a="1"/>
  <c r="T95" i="10" a="1"/>
  <c r="R92" i="10" a="1"/>
  <c r="Q90" i="10" a="1"/>
  <c r="U85" i="10" a="1"/>
  <c r="T83" i="10" a="1"/>
  <c r="R80" i="10" a="1"/>
  <c r="Q78" i="10" a="1"/>
  <c r="U73" i="10" a="1"/>
  <c r="T71" i="10" a="1"/>
  <c r="R68" i="10" a="1"/>
  <c r="Q66" i="10" a="1"/>
  <c r="U61" i="10" a="1"/>
  <c r="T59" i="10" a="1"/>
  <c r="R56" i="10" a="1"/>
  <c r="Q54" i="10" a="1"/>
  <c r="U110" i="10" a="1"/>
  <c r="T108" i="10" a="1"/>
  <c r="R105" i="10" a="1"/>
  <c r="Q103" i="10" a="1"/>
  <c r="U98" i="10" a="1"/>
  <c r="T96" i="10" a="1"/>
  <c r="R93" i="10" a="1"/>
  <c r="Q91" i="10" a="1"/>
  <c r="U86" i="10" a="1"/>
  <c r="T84" i="10" a="1"/>
  <c r="R81" i="10" a="1"/>
  <c r="Q79" i="10" a="1"/>
  <c r="U74" i="10" a="1"/>
  <c r="T72" i="10" a="1"/>
  <c r="R69" i="10" a="1"/>
  <c r="Q67" i="10" a="1"/>
  <c r="U62" i="10" a="1"/>
  <c r="T60" i="10" a="1"/>
  <c r="R57" i="10" a="1"/>
  <c r="Q55" i="10" a="1"/>
  <c r="U50" i="10" a="1"/>
  <c r="R52" i="10" a="1"/>
  <c r="R49" i="10" a="1"/>
  <c r="R44" i="10" a="1"/>
  <c r="Q42" i="10" a="1"/>
  <c r="R40" i="10" a="1"/>
  <c r="R33" i="10" a="1"/>
  <c r="U31" i="10" a="1"/>
  <c r="R28" i="10" a="1"/>
  <c r="U26" i="10" a="1"/>
  <c r="U19" i="10" a="1"/>
  <c r="Q14" i="10" a="1"/>
  <c r="R8" i="10" a="1"/>
  <c r="Q7" i="10" a="1"/>
  <c r="U5" i="10" a="1"/>
  <c r="Q2" i="10" a="1"/>
  <c r="Q11" i="10" a="1"/>
  <c r="U9" i="10" a="1"/>
  <c r="R5" i="10" a="1"/>
  <c r="R34" i="10" a="1"/>
  <c r="Q35" i="10" a="1"/>
  <c r="T31" i="10" a="1"/>
  <c r="U29" i="10" a="1"/>
  <c r="R25" i="10" a="1"/>
  <c r="Q18" i="10" a="1"/>
  <c r="R15" i="10" a="1"/>
  <c r="T12" i="10" a="1"/>
  <c r="Q3" i="10" a="1"/>
  <c r="T5" i="10" a="1"/>
  <c r="R4" i="10" a="1"/>
  <c r="T29" i="10" a="1"/>
  <c r="Q25" i="10" a="1"/>
  <c r="T23" i="10" a="1"/>
  <c r="U20" i="10" a="1"/>
  <c r="R19" i="10" a="1"/>
  <c r="R12" i="10" a="1"/>
  <c r="U6" i="10" a="1"/>
  <c r="U17" i="10" a="1"/>
  <c r="U24" i="10" a="1"/>
  <c r="Q26" i="10" a="1"/>
  <c r="T17" i="10" a="1"/>
  <c r="Q5" i="10" a="1"/>
  <c r="T36" i="10" a="1"/>
  <c r="R22" i="10" a="1"/>
  <c r="T19" i="10" a="1"/>
  <c r="T16" i="10" a="1"/>
  <c r="Q8" i="10" a="1"/>
  <c r="U37" i="10" a="1"/>
  <c r="T55" i="10" a="1"/>
  <c r="T48" i="10" a="1"/>
  <c r="U41" i="10" a="1"/>
  <c r="R38" i="10" a="1"/>
  <c r="Q31" i="10" a="1"/>
  <c r="Q22" i="10" a="1"/>
  <c r="U13" i="10" a="1"/>
  <c r="R48" i="10" a="1"/>
  <c r="Q46" i="10" a="1"/>
  <c r="U39" i="10" a="1"/>
  <c r="Q38" i="10" a="1"/>
  <c r="R36" i="10" a="1"/>
  <c r="U27" i="10" a="1"/>
  <c r="R26" i="10" a="1"/>
  <c r="U54" i="10" a="1"/>
  <c r="T43" i="10" a="1"/>
  <c r="Q29" i="10" a="1"/>
  <c r="T13" i="10" a="1"/>
  <c r="U14" i="10" a="1"/>
  <c r="U45" i="10" a="1"/>
  <c r="Q59" i="10" a="1"/>
  <c r="Q50" i="10" a="1"/>
  <c r="Q43" i="10" a="1"/>
  <c r="Q34" i="10" a="1"/>
  <c r="T24" i="10" a="1"/>
  <c r="Q23" i="10" a="1"/>
  <c r="U21" i="10" a="1"/>
  <c r="R13" i="10" a="1"/>
  <c r="U3" i="10" a="1"/>
  <c r="T2" i="10" a="1"/>
  <c r="T28" i="10" a="1"/>
  <c r="R21" i="10" a="1"/>
  <c r="T18" i="10" a="1"/>
  <c r="R14" i="10" a="1"/>
  <c r="R2" i="10" a="1"/>
  <c r="Q24" i="10" a="1"/>
  <c r="T22" i="10" a="1"/>
  <c r="T4" i="10" a="1"/>
  <c r="R20" i="10" a="1"/>
  <c r="T47" i="10" a="1"/>
  <c r="R45" i="10" a="1"/>
  <c r="T37" i="10" a="1"/>
  <c r="Q32" i="10" a="1"/>
  <c r="Q20" i="10" a="1"/>
  <c r="U18" i="10" a="1"/>
  <c r="R10" i="10" a="1"/>
  <c r="T7" i="10" a="1"/>
  <c r="T3" i="10" a="1"/>
  <c r="Q6" i="10" a="1"/>
  <c r="T15" i="10" a="1"/>
  <c r="R7" i="10" a="1"/>
  <c r="U38" i="10" a="1"/>
  <c r="T25" i="10" a="1"/>
  <c r="U12" i="10" a="1"/>
  <c r="T39" i="10" a="1"/>
  <c r="R16" i="10" a="1"/>
  <c r="T10" i="10" a="1"/>
  <c r="Q36" i="10" a="1"/>
  <c r="U7" i="10" a="1"/>
  <c r="U49" i="10" a="1"/>
  <c r="T35" i="10" a="1"/>
  <c r="U25" i="10" a="1"/>
  <c r="R24" i="10" a="1"/>
  <c r="Q17" i="10" a="1"/>
  <c r="U15" i="10" a="1"/>
  <c r="Q13" i="10" a="1"/>
  <c r="T11" i="10" a="1"/>
  <c r="Q10" i="10" a="1"/>
  <c r="U8" i="10" a="1"/>
  <c r="T27" i="10" a="1"/>
  <c r="R32" i="10" a="1"/>
  <c r="U42" i="10" a="1"/>
  <c r="T40" i="10" a="1"/>
  <c r="R37" i="10" a="1"/>
  <c r="U33" i="10" a="1"/>
  <c r="Q30" i="10" a="1"/>
  <c r="R9" i="10" a="1"/>
  <c r="Q19" i="10" a="1"/>
  <c r="Q12" i="10" a="1"/>
  <c r="T6" i="10" a="1"/>
  <c r="U30" i="10" a="1"/>
  <c r="U2" i="10" a="1"/>
  <c r="T52" i="10" a="1"/>
  <c r="Q47" i="10" a="1"/>
  <c r="R3" i="10" a="1"/>
  <c r="T2" i="3" l="1"/>
  <c r="T3" i="3"/>
  <c r="U5" i="3"/>
  <c r="Q10" i="3"/>
  <c r="R12" i="3"/>
  <c r="T15" i="3"/>
  <c r="U17" i="3"/>
  <c r="U4" i="3"/>
  <c r="Q9" i="3"/>
  <c r="R11" i="3"/>
  <c r="T14" i="3"/>
  <c r="U16" i="3"/>
  <c r="Q8" i="3"/>
  <c r="S8" i="3" s="1"/>
  <c r="V8" i="3" s="1"/>
  <c r="Q7" i="3"/>
  <c r="S7" i="3" s="1"/>
  <c r="V7" i="3" s="1"/>
  <c r="R9" i="3"/>
  <c r="T12" i="3"/>
  <c r="U14" i="3"/>
  <c r="U2" i="3"/>
  <c r="U3" i="3"/>
  <c r="R10" i="3"/>
  <c r="Q6" i="3"/>
  <c r="S6" i="3" s="1"/>
  <c r="V6" i="3" s="1"/>
  <c r="R8" i="3"/>
  <c r="T11" i="3"/>
  <c r="U13" i="3"/>
  <c r="Q18" i="3"/>
  <c r="S18" i="3" s="1"/>
  <c r="T13" i="3"/>
  <c r="Q5" i="3"/>
  <c r="R7" i="3"/>
  <c r="T10" i="3"/>
  <c r="U12" i="3"/>
  <c r="Q17" i="3"/>
  <c r="S17" i="3" s="1"/>
  <c r="U15" i="3"/>
  <c r="Q4" i="3"/>
  <c r="R6" i="3"/>
  <c r="T9" i="3"/>
  <c r="U11" i="3"/>
  <c r="Q16" i="3"/>
  <c r="S16" i="3" s="1"/>
  <c r="V16" i="3" s="1"/>
  <c r="R18" i="3"/>
  <c r="T5" i="3"/>
  <c r="Q2" i="3"/>
  <c r="Q3" i="3"/>
  <c r="R5" i="3"/>
  <c r="U10" i="3"/>
  <c r="R4" i="3"/>
  <c r="T7" i="3"/>
  <c r="U9" i="3"/>
  <c r="Q14" i="3"/>
  <c r="R16" i="3"/>
  <c r="T8" i="3"/>
  <c r="Q15" i="3"/>
  <c r="R17" i="3"/>
  <c r="R2" i="3"/>
  <c r="R3" i="3"/>
  <c r="T6" i="3"/>
  <c r="U8" i="3"/>
  <c r="Q13" i="3"/>
  <c r="R15" i="3"/>
  <c r="T18" i="3"/>
  <c r="U7" i="3"/>
  <c r="Q12" i="3"/>
  <c r="R14" i="3"/>
  <c r="T17" i="3"/>
  <c r="T4" i="3"/>
  <c r="U6" i="3"/>
  <c r="Q11" i="3"/>
  <c r="S11" i="3" s="1"/>
  <c r="V11" i="3" s="1"/>
  <c r="R13" i="3"/>
  <c r="T16" i="3"/>
  <c r="U18" i="3"/>
  <c r="T7" i="4"/>
  <c r="U9" i="4"/>
  <c r="Q14" i="4"/>
  <c r="R16" i="4"/>
  <c r="T19" i="4"/>
  <c r="U21" i="4"/>
  <c r="Q26" i="4"/>
  <c r="R28" i="4"/>
  <c r="T31" i="4"/>
  <c r="U33" i="4"/>
  <c r="Q38" i="4"/>
  <c r="S38" i="4" s="1"/>
  <c r="V38" i="4" s="1"/>
  <c r="R40" i="4"/>
  <c r="T43" i="4"/>
  <c r="R2" i="4"/>
  <c r="R3" i="4"/>
  <c r="T6" i="4"/>
  <c r="U8" i="4"/>
  <c r="Q13" i="4"/>
  <c r="S13" i="4" s="1"/>
  <c r="R15" i="4"/>
  <c r="T18" i="4"/>
  <c r="U20" i="4"/>
  <c r="Q25" i="4"/>
  <c r="R27" i="4"/>
  <c r="T30" i="4"/>
  <c r="U32" i="4"/>
  <c r="Q37" i="4"/>
  <c r="S37" i="4" s="1"/>
  <c r="V37" i="4" s="1"/>
  <c r="R39" i="4"/>
  <c r="T42" i="4"/>
  <c r="U44" i="4"/>
  <c r="R4" i="4"/>
  <c r="T5" i="4"/>
  <c r="U7" i="4"/>
  <c r="Q12" i="4"/>
  <c r="R14" i="4"/>
  <c r="T17" i="4"/>
  <c r="U19" i="4"/>
  <c r="Q24" i="4"/>
  <c r="S24" i="4" s="1"/>
  <c r="R26" i="4"/>
  <c r="T29" i="4"/>
  <c r="U31" i="4"/>
  <c r="Q36" i="4"/>
  <c r="S36" i="4" s="1"/>
  <c r="V36" i="4" s="1"/>
  <c r="R38" i="4"/>
  <c r="T41" i="4"/>
  <c r="U43" i="4"/>
  <c r="T4" i="4"/>
  <c r="U6" i="4"/>
  <c r="Q11" i="4"/>
  <c r="R13" i="4"/>
  <c r="T16" i="4"/>
  <c r="U18" i="4"/>
  <c r="Q23" i="4"/>
  <c r="R25" i="4"/>
  <c r="T28" i="4"/>
  <c r="U30" i="4"/>
  <c r="Q35" i="4"/>
  <c r="S35" i="4" s="1"/>
  <c r="R37" i="4"/>
  <c r="T40" i="4"/>
  <c r="U42" i="4"/>
  <c r="U4" i="4"/>
  <c r="Q9" i="4"/>
  <c r="R11" i="4"/>
  <c r="T14" i="4"/>
  <c r="U16" i="4"/>
  <c r="Q21" i="4"/>
  <c r="S21" i="4" s="1"/>
  <c r="V21" i="4" s="1"/>
  <c r="R23" i="4"/>
  <c r="T26" i="4"/>
  <c r="U28" i="4"/>
  <c r="Q33" i="4"/>
  <c r="S33" i="4" s="1"/>
  <c r="R35" i="4"/>
  <c r="T38" i="4"/>
  <c r="U40" i="4"/>
  <c r="Q20" i="4"/>
  <c r="R22" i="4"/>
  <c r="T25" i="4"/>
  <c r="U27" i="4"/>
  <c r="Q32" i="4"/>
  <c r="R34" i="4"/>
  <c r="U39" i="4"/>
  <c r="Q44" i="4"/>
  <c r="T3" i="4"/>
  <c r="R12" i="4"/>
  <c r="U17" i="4"/>
  <c r="R24" i="4"/>
  <c r="U29" i="4"/>
  <c r="Q34" i="4"/>
  <c r="R36" i="4"/>
  <c r="T39" i="4"/>
  <c r="U41" i="4"/>
  <c r="T36" i="4"/>
  <c r="U38" i="4"/>
  <c r="Q43" i="4"/>
  <c r="S43" i="4" s="1"/>
  <c r="V43" i="4" s="1"/>
  <c r="T2" i="4"/>
  <c r="Q10" i="4"/>
  <c r="S10" i="4" s="1"/>
  <c r="Q22" i="4"/>
  <c r="S22" i="4" s="1"/>
  <c r="T27" i="4"/>
  <c r="U2" i="4"/>
  <c r="U3" i="4"/>
  <c r="Q8" i="4"/>
  <c r="R10" i="4"/>
  <c r="T13" i="4"/>
  <c r="U15" i="4"/>
  <c r="T37" i="4"/>
  <c r="Q7" i="4"/>
  <c r="S7" i="4" s="1"/>
  <c r="V7" i="4" s="1"/>
  <c r="R9" i="4"/>
  <c r="T12" i="4"/>
  <c r="U14" i="4"/>
  <c r="R8" i="4"/>
  <c r="T11" i="4"/>
  <c r="U13" i="4"/>
  <c r="Q18" i="4"/>
  <c r="R20" i="4"/>
  <c r="T23" i="4"/>
  <c r="U25" i="4"/>
  <c r="Q30" i="4"/>
  <c r="R32" i="4"/>
  <c r="T35" i="4"/>
  <c r="U37" i="4"/>
  <c r="Q42" i="4"/>
  <c r="S42" i="4" s="1"/>
  <c r="R44" i="4"/>
  <c r="U5" i="4"/>
  <c r="T15" i="4"/>
  <c r="R21" i="4"/>
  <c r="U26" i="4"/>
  <c r="Q31" i="4"/>
  <c r="S31" i="4" s="1"/>
  <c r="V31" i="4" s="1"/>
  <c r="R33" i="4"/>
  <c r="Q5" i="4"/>
  <c r="R7" i="4"/>
  <c r="T10" i="4"/>
  <c r="U12" i="4"/>
  <c r="Q17" i="4"/>
  <c r="S17" i="4" s="1"/>
  <c r="R19" i="4"/>
  <c r="T22" i="4"/>
  <c r="U24" i="4"/>
  <c r="Q29" i="4"/>
  <c r="R31" i="4"/>
  <c r="T34" i="4"/>
  <c r="U36" i="4"/>
  <c r="Q41" i="4"/>
  <c r="R43" i="4"/>
  <c r="T24" i="4"/>
  <c r="Q6" i="4"/>
  <c r="Q4" i="4"/>
  <c r="R6" i="4"/>
  <c r="T9" i="4"/>
  <c r="U11" i="4"/>
  <c r="Q16" i="4"/>
  <c r="S16" i="4" s="1"/>
  <c r="V16" i="4" s="1"/>
  <c r="R18" i="4"/>
  <c r="T21" i="4"/>
  <c r="U23" i="4"/>
  <c r="Q28" i="4"/>
  <c r="R30" i="4"/>
  <c r="T33" i="4"/>
  <c r="U35" i="4"/>
  <c r="Q40" i="4"/>
  <c r="R42" i="4"/>
  <c r="Q19" i="4"/>
  <c r="Q2" i="4"/>
  <c r="Q3" i="4"/>
  <c r="R5" i="4"/>
  <c r="T8" i="4"/>
  <c r="U10" i="4"/>
  <c r="Q15" i="4"/>
  <c r="R17" i="4"/>
  <c r="T20" i="4"/>
  <c r="U22" i="4"/>
  <c r="Q27" i="4"/>
  <c r="R29" i="4"/>
  <c r="T32" i="4"/>
  <c r="U34" i="4"/>
  <c r="Q39" i="4"/>
  <c r="R41" i="4"/>
  <c r="T44" i="4"/>
  <c r="U68" i="5"/>
  <c r="U69" i="5"/>
  <c r="Q72" i="5"/>
  <c r="U70" i="5"/>
  <c r="T68" i="5"/>
  <c r="U71" i="5"/>
  <c r="T69" i="5"/>
  <c r="U72" i="5"/>
  <c r="T70" i="5"/>
  <c r="T71" i="5"/>
  <c r="R68" i="5"/>
  <c r="R72" i="5"/>
  <c r="Q71" i="5"/>
  <c r="T72" i="5"/>
  <c r="R69" i="5"/>
  <c r="R70" i="5"/>
  <c r="Q68" i="5"/>
  <c r="Q70" i="5"/>
  <c r="S70" i="5" s="1"/>
  <c r="V70" i="5" s="1"/>
  <c r="R71" i="5"/>
  <c r="Q69" i="5"/>
  <c r="S69" i="5" s="1"/>
  <c r="V69" i="5" s="1"/>
  <c r="Q9" i="5"/>
  <c r="R11" i="5"/>
  <c r="T14" i="5"/>
  <c r="U16" i="5"/>
  <c r="Q21" i="5"/>
  <c r="R23" i="5"/>
  <c r="T26" i="5"/>
  <c r="U28" i="5"/>
  <c r="T38" i="5"/>
  <c r="U40" i="5"/>
  <c r="Q45" i="5"/>
  <c r="S45" i="5" s="1"/>
  <c r="V45" i="5" s="1"/>
  <c r="R47" i="5"/>
  <c r="T50" i="5"/>
  <c r="U52" i="5"/>
  <c r="Q57" i="5"/>
  <c r="R59" i="5"/>
  <c r="T62" i="5"/>
  <c r="U64" i="5"/>
  <c r="U3" i="5"/>
  <c r="Q8" i="5"/>
  <c r="S8" i="5" s="1"/>
  <c r="R10" i="5"/>
  <c r="T13" i="5"/>
  <c r="U15" i="5"/>
  <c r="Q20" i="5"/>
  <c r="S20" i="5" s="1"/>
  <c r="V20" i="5" s="1"/>
  <c r="R22" i="5"/>
  <c r="T25" i="5"/>
  <c r="U27" i="5"/>
  <c r="Q32" i="5"/>
  <c r="R34" i="5"/>
  <c r="T37" i="5"/>
  <c r="U39" i="5"/>
  <c r="Q44" i="5"/>
  <c r="R46" i="5"/>
  <c r="T49" i="5"/>
  <c r="U51" i="5"/>
  <c r="Q56" i="5"/>
  <c r="S56" i="5" s="1"/>
  <c r="V56" i="5" s="1"/>
  <c r="R58" i="5"/>
  <c r="T61" i="5"/>
  <c r="U63" i="5"/>
  <c r="Q33" i="5"/>
  <c r="R35" i="5"/>
  <c r="U2" i="5"/>
  <c r="Q7" i="5"/>
  <c r="R9" i="5"/>
  <c r="T12" i="5"/>
  <c r="U14" i="5"/>
  <c r="Q19" i="5"/>
  <c r="S19" i="5" s="1"/>
  <c r="R21" i="5"/>
  <c r="T24" i="5"/>
  <c r="U26" i="5"/>
  <c r="Q31" i="5"/>
  <c r="R33" i="5"/>
  <c r="T36" i="5"/>
  <c r="U38" i="5"/>
  <c r="Q43" i="5"/>
  <c r="R45" i="5"/>
  <c r="T48" i="5"/>
  <c r="U50" i="5"/>
  <c r="Q55" i="5"/>
  <c r="S55" i="5" s="1"/>
  <c r="R57" i="5"/>
  <c r="T60" i="5"/>
  <c r="U62" i="5"/>
  <c r="Q67" i="5"/>
  <c r="U49" i="5"/>
  <c r="Q54" i="5"/>
  <c r="S54" i="5" s="1"/>
  <c r="R56" i="5"/>
  <c r="T59" i="5"/>
  <c r="U61" i="5"/>
  <c r="Q66" i="5"/>
  <c r="T47" i="5"/>
  <c r="R7" i="5"/>
  <c r="U12" i="5"/>
  <c r="Q17" i="5"/>
  <c r="S17" i="5" s="1"/>
  <c r="R19" i="5"/>
  <c r="T22" i="5"/>
  <c r="U24" i="5"/>
  <c r="Q29" i="5"/>
  <c r="S29" i="5" s="1"/>
  <c r="R31" i="5"/>
  <c r="T34" i="5"/>
  <c r="U36" i="5"/>
  <c r="Q41" i="5"/>
  <c r="R43" i="5"/>
  <c r="T46" i="5"/>
  <c r="U48" i="5"/>
  <c r="Q53" i="5"/>
  <c r="S53" i="5" s="1"/>
  <c r="R55" i="5"/>
  <c r="T58" i="5"/>
  <c r="U60" i="5"/>
  <c r="Q65" i="5"/>
  <c r="S65" i="5" s="1"/>
  <c r="R67" i="5"/>
  <c r="U4" i="5"/>
  <c r="T11" i="5"/>
  <c r="T23" i="5"/>
  <c r="R32" i="5"/>
  <c r="T35" i="5"/>
  <c r="R44" i="5"/>
  <c r="Q5" i="5"/>
  <c r="T10" i="5"/>
  <c r="Q4" i="5"/>
  <c r="R6" i="5"/>
  <c r="T9" i="5"/>
  <c r="U11" i="5"/>
  <c r="Q16" i="5"/>
  <c r="S16" i="5" s="1"/>
  <c r="R18" i="5"/>
  <c r="T21" i="5"/>
  <c r="U23" i="5"/>
  <c r="Q28" i="5"/>
  <c r="S28" i="5" s="1"/>
  <c r="R30" i="5"/>
  <c r="T33" i="5"/>
  <c r="U35" i="5"/>
  <c r="Q40" i="5"/>
  <c r="R42" i="5"/>
  <c r="T45" i="5"/>
  <c r="U47" i="5"/>
  <c r="Q52" i="5"/>
  <c r="S52" i="5" s="1"/>
  <c r="R54" i="5"/>
  <c r="T57" i="5"/>
  <c r="U59" i="5"/>
  <c r="Q64" i="5"/>
  <c r="S64" i="5" s="1"/>
  <c r="R66" i="5"/>
  <c r="Q6" i="5"/>
  <c r="R8" i="5"/>
  <c r="Q18" i="5"/>
  <c r="T20" i="5"/>
  <c r="Q27" i="5"/>
  <c r="S27" i="5" s="1"/>
  <c r="R29" i="5"/>
  <c r="T32" i="5"/>
  <c r="U34" i="5"/>
  <c r="Q39" i="5"/>
  <c r="R41" i="5"/>
  <c r="T44" i="5"/>
  <c r="U46" i="5"/>
  <c r="Q51" i="5"/>
  <c r="R53" i="5"/>
  <c r="T56" i="5"/>
  <c r="U58" i="5"/>
  <c r="Q63" i="5"/>
  <c r="S63" i="5" s="1"/>
  <c r="R65" i="5"/>
  <c r="U37" i="5"/>
  <c r="Q15" i="5"/>
  <c r="T7" i="5"/>
  <c r="Q14" i="5"/>
  <c r="U33" i="5"/>
  <c r="R40" i="5"/>
  <c r="T43" i="5"/>
  <c r="U45" i="5"/>
  <c r="Q50" i="5"/>
  <c r="R52" i="5"/>
  <c r="T55" i="5"/>
  <c r="U57" i="5"/>
  <c r="Q62" i="5"/>
  <c r="S62" i="5" s="1"/>
  <c r="V62" i="5" s="1"/>
  <c r="R64" i="5"/>
  <c r="T67" i="5"/>
  <c r="U25" i="5"/>
  <c r="Q42" i="5"/>
  <c r="S42" i="5" s="1"/>
  <c r="V42" i="5" s="1"/>
  <c r="R5" i="5"/>
  <c r="U10" i="5"/>
  <c r="R17" i="5"/>
  <c r="U22" i="5"/>
  <c r="R16" i="5"/>
  <c r="U21" i="5"/>
  <c r="Q26" i="5"/>
  <c r="S26" i="5" s="1"/>
  <c r="V26" i="5" s="1"/>
  <c r="Q25" i="5"/>
  <c r="R27" i="5"/>
  <c r="T30" i="5"/>
  <c r="U32" i="5"/>
  <c r="Q37" i="5"/>
  <c r="S37" i="5" s="1"/>
  <c r="V37" i="5" s="1"/>
  <c r="R39" i="5"/>
  <c r="T42" i="5"/>
  <c r="U44" i="5"/>
  <c r="Q49" i="5"/>
  <c r="R51" i="5"/>
  <c r="T54" i="5"/>
  <c r="U56" i="5"/>
  <c r="Q61" i="5"/>
  <c r="R63" i="5"/>
  <c r="T66" i="5"/>
  <c r="R28" i="5"/>
  <c r="Q38" i="5"/>
  <c r="S38" i="5" s="1"/>
  <c r="V38" i="5" s="1"/>
  <c r="R2" i="5"/>
  <c r="R3" i="5"/>
  <c r="T6" i="5"/>
  <c r="U8" i="5"/>
  <c r="Q13" i="5"/>
  <c r="R15" i="5"/>
  <c r="U20" i="5"/>
  <c r="T5" i="5"/>
  <c r="U7" i="5"/>
  <c r="Q12" i="5"/>
  <c r="S12" i="5" s="1"/>
  <c r="R14" i="5"/>
  <c r="T17" i="5"/>
  <c r="U19" i="5"/>
  <c r="Q24" i="5"/>
  <c r="R26" i="5"/>
  <c r="T29" i="5"/>
  <c r="U31" i="5"/>
  <c r="Q36" i="5"/>
  <c r="S36" i="5" s="1"/>
  <c r="V36" i="5" s="1"/>
  <c r="R38" i="5"/>
  <c r="T41" i="5"/>
  <c r="U43" i="5"/>
  <c r="Q48" i="5"/>
  <c r="S48" i="5" s="1"/>
  <c r="R50" i="5"/>
  <c r="T53" i="5"/>
  <c r="U55" i="5"/>
  <c r="Q60" i="5"/>
  <c r="R62" i="5"/>
  <c r="T65" i="5"/>
  <c r="U67" i="5"/>
  <c r="U13" i="5"/>
  <c r="R20" i="5"/>
  <c r="Q30" i="5"/>
  <c r="Q3" i="5"/>
  <c r="S3" i="5" s="1"/>
  <c r="T8" i="5"/>
  <c r="R4" i="5"/>
  <c r="U9" i="5"/>
  <c r="T19" i="5"/>
  <c r="T31" i="5"/>
  <c r="T18" i="5"/>
  <c r="T4" i="5"/>
  <c r="U6" i="5"/>
  <c r="Q11" i="5"/>
  <c r="S11" i="5" s="1"/>
  <c r="V11" i="5" s="1"/>
  <c r="R13" i="5"/>
  <c r="T16" i="5"/>
  <c r="U18" i="5"/>
  <c r="Q23" i="5"/>
  <c r="S23" i="5" s="1"/>
  <c r="R25" i="5"/>
  <c r="T28" i="5"/>
  <c r="U30" i="5"/>
  <c r="Q35" i="5"/>
  <c r="R37" i="5"/>
  <c r="T40" i="5"/>
  <c r="U42" i="5"/>
  <c r="Q47" i="5"/>
  <c r="R49" i="5"/>
  <c r="T52" i="5"/>
  <c r="U54" i="5"/>
  <c r="Q59" i="5"/>
  <c r="S59" i="5" s="1"/>
  <c r="R61" i="5"/>
  <c r="T64" i="5"/>
  <c r="U66" i="5"/>
  <c r="Q2" i="5"/>
  <c r="T2" i="5"/>
  <c r="T3" i="5"/>
  <c r="U5" i="5"/>
  <c r="Q10" i="5"/>
  <c r="R12" i="5"/>
  <c r="T15" i="5"/>
  <c r="U17" i="5"/>
  <c r="Q22" i="5"/>
  <c r="S22" i="5" s="1"/>
  <c r="V22" i="5" s="1"/>
  <c r="R24" i="5"/>
  <c r="T27" i="5"/>
  <c r="U29" i="5"/>
  <c r="Q34" i="5"/>
  <c r="R36" i="5"/>
  <c r="T39" i="5"/>
  <c r="U41" i="5"/>
  <c r="Q46" i="5"/>
  <c r="R48" i="5"/>
  <c r="T51" i="5"/>
  <c r="U53" i="5"/>
  <c r="Q58" i="5"/>
  <c r="S58" i="5" s="1"/>
  <c r="V58" i="5" s="1"/>
  <c r="R60" i="5"/>
  <c r="T63" i="5"/>
  <c r="U65" i="5"/>
  <c r="Q5" i="6"/>
  <c r="U24" i="6"/>
  <c r="Q6" i="6"/>
  <c r="R8" i="6"/>
  <c r="T11" i="6"/>
  <c r="U13" i="6"/>
  <c r="Q18" i="6"/>
  <c r="S18" i="6" s="1"/>
  <c r="R20" i="6"/>
  <c r="T23" i="6"/>
  <c r="U25" i="6"/>
  <c r="Q30" i="6"/>
  <c r="S30" i="6" s="1"/>
  <c r="V30" i="6" s="1"/>
  <c r="R32" i="6"/>
  <c r="T35" i="6"/>
  <c r="U37" i="6"/>
  <c r="Q42" i="6"/>
  <c r="S42" i="6" s="1"/>
  <c r="V42" i="6" s="1"/>
  <c r="R44" i="6"/>
  <c r="T47" i="6"/>
  <c r="U49" i="6"/>
  <c r="Q54" i="6"/>
  <c r="S54" i="6" s="1"/>
  <c r="R56" i="6"/>
  <c r="T59" i="6"/>
  <c r="U61" i="6"/>
  <c r="Q66" i="6"/>
  <c r="S66" i="6" s="1"/>
  <c r="V66" i="6" s="1"/>
  <c r="R55" i="6"/>
  <c r="T58" i="6"/>
  <c r="U60" i="6"/>
  <c r="Q65" i="6"/>
  <c r="S65" i="6" s="1"/>
  <c r="V65" i="6" s="1"/>
  <c r="R67" i="6"/>
  <c r="R18" i="6"/>
  <c r="T21" i="6"/>
  <c r="U23" i="6"/>
  <c r="Q28" i="6"/>
  <c r="S28" i="6" s="1"/>
  <c r="R30" i="6"/>
  <c r="T33" i="6"/>
  <c r="U35" i="6"/>
  <c r="Q40" i="6"/>
  <c r="R42" i="6"/>
  <c r="T45" i="6"/>
  <c r="U47" i="6"/>
  <c r="Q52" i="6"/>
  <c r="R54" i="6"/>
  <c r="T57" i="6"/>
  <c r="U59" i="6"/>
  <c r="Q64" i="6"/>
  <c r="S64" i="6" s="1"/>
  <c r="R66" i="6"/>
  <c r="Q2" i="6"/>
  <c r="R5" i="6"/>
  <c r="T8" i="6"/>
  <c r="U10" i="6"/>
  <c r="Q15" i="6"/>
  <c r="S15" i="6" s="1"/>
  <c r="V15" i="6" s="1"/>
  <c r="R17" i="6"/>
  <c r="T20" i="6"/>
  <c r="U22" i="6"/>
  <c r="Q27" i="6"/>
  <c r="R29" i="6"/>
  <c r="T32" i="6"/>
  <c r="U34" i="6"/>
  <c r="Q39" i="6"/>
  <c r="S39" i="6" s="1"/>
  <c r="R41" i="6"/>
  <c r="T44" i="6"/>
  <c r="U46" i="6"/>
  <c r="Q51" i="6"/>
  <c r="S51" i="6" s="1"/>
  <c r="V51" i="6" s="1"/>
  <c r="R53" i="6"/>
  <c r="T56" i="6"/>
  <c r="U58" i="6"/>
  <c r="Q63" i="6"/>
  <c r="R65" i="6"/>
  <c r="T10" i="6"/>
  <c r="Q29" i="6"/>
  <c r="S29" i="6" s="1"/>
  <c r="V29" i="6" s="1"/>
  <c r="Q41" i="6"/>
  <c r="T9" i="6"/>
  <c r="U11" i="6"/>
  <c r="Q16" i="6"/>
  <c r="Q3" i="6"/>
  <c r="S3" i="6" s="1"/>
  <c r="R4" i="6"/>
  <c r="T7" i="6"/>
  <c r="U9" i="6"/>
  <c r="Q14" i="6"/>
  <c r="R16" i="6"/>
  <c r="T19" i="6"/>
  <c r="U21" i="6"/>
  <c r="Q26" i="6"/>
  <c r="S26" i="6" s="1"/>
  <c r="R28" i="6"/>
  <c r="T31" i="6"/>
  <c r="U33" i="6"/>
  <c r="Q38" i="6"/>
  <c r="R40" i="6"/>
  <c r="T43" i="6"/>
  <c r="U45" i="6"/>
  <c r="Q50" i="6"/>
  <c r="R52" i="6"/>
  <c r="T55" i="6"/>
  <c r="U57" i="6"/>
  <c r="Q62" i="6"/>
  <c r="S62" i="6" s="1"/>
  <c r="R64" i="6"/>
  <c r="T67" i="6"/>
  <c r="R31" i="6"/>
  <c r="R2" i="6"/>
  <c r="R3" i="6"/>
  <c r="T6" i="6"/>
  <c r="U8" i="6"/>
  <c r="Q13" i="6"/>
  <c r="R15" i="6"/>
  <c r="T18" i="6"/>
  <c r="U20" i="6"/>
  <c r="Q25" i="6"/>
  <c r="R27" i="6"/>
  <c r="T30" i="6"/>
  <c r="U32" i="6"/>
  <c r="Q37" i="6"/>
  <c r="R39" i="6"/>
  <c r="T42" i="6"/>
  <c r="U44" i="6"/>
  <c r="Q49" i="6"/>
  <c r="R51" i="6"/>
  <c r="T54" i="6"/>
  <c r="U56" i="6"/>
  <c r="Q61" i="6"/>
  <c r="R63" i="6"/>
  <c r="T66" i="6"/>
  <c r="R7" i="6"/>
  <c r="T5" i="6"/>
  <c r="U7" i="6"/>
  <c r="Q12" i="6"/>
  <c r="S12" i="6" s="1"/>
  <c r="R14" i="6"/>
  <c r="T17" i="6"/>
  <c r="U19" i="6"/>
  <c r="Q24" i="6"/>
  <c r="R26" i="6"/>
  <c r="T29" i="6"/>
  <c r="U31" i="6"/>
  <c r="Q36" i="6"/>
  <c r="S36" i="6" s="1"/>
  <c r="R38" i="6"/>
  <c r="T41" i="6"/>
  <c r="U43" i="6"/>
  <c r="Q48" i="6"/>
  <c r="S48" i="6" s="1"/>
  <c r="R50" i="6"/>
  <c r="T53" i="6"/>
  <c r="U55" i="6"/>
  <c r="Q60" i="6"/>
  <c r="R62" i="6"/>
  <c r="T65" i="6"/>
  <c r="U67" i="6"/>
  <c r="Q17" i="6"/>
  <c r="U48" i="6"/>
  <c r="T4" i="6"/>
  <c r="U6" i="6"/>
  <c r="Q11" i="6"/>
  <c r="S11" i="6" s="1"/>
  <c r="V11" i="6" s="1"/>
  <c r="R13" i="6"/>
  <c r="T16" i="6"/>
  <c r="U18" i="6"/>
  <c r="Q23" i="6"/>
  <c r="R25" i="6"/>
  <c r="T28" i="6"/>
  <c r="U30" i="6"/>
  <c r="Q35" i="6"/>
  <c r="S35" i="6" s="1"/>
  <c r="R37" i="6"/>
  <c r="T40" i="6"/>
  <c r="U42" i="6"/>
  <c r="Q47" i="6"/>
  <c r="S47" i="6" s="1"/>
  <c r="V47" i="6" s="1"/>
  <c r="R49" i="6"/>
  <c r="T52" i="6"/>
  <c r="U54" i="6"/>
  <c r="Q59" i="6"/>
  <c r="R61" i="6"/>
  <c r="T64" i="6"/>
  <c r="U66" i="6"/>
  <c r="U5" i="6"/>
  <c r="Q10" i="6"/>
  <c r="R12" i="6"/>
  <c r="T15" i="6"/>
  <c r="U17" i="6"/>
  <c r="Q22" i="6"/>
  <c r="S22" i="6" s="1"/>
  <c r="V22" i="6" s="1"/>
  <c r="R24" i="6"/>
  <c r="T27" i="6"/>
  <c r="U29" i="6"/>
  <c r="Q34" i="6"/>
  <c r="R36" i="6"/>
  <c r="T39" i="6"/>
  <c r="U41" i="6"/>
  <c r="Q46" i="6"/>
  <c r="R48" i="6"/>
  <c r="T51" i="6"/>
  <c r="U53" i="6"/>
  <c r="Q58" i="6"/>
  <c r="S58" i="6" s="1"/>
  <c r="V58" i="6" s="1"/>
  <c r="R60" i="6"/>
  <c r="T63" i="6"/>
  <c r="U65" i="6"/>
  <c r="U12" i="6"/>
  <c r="R19" i="6"/>
  <c r="U36" i="6"/>
  <c r="R43" i="6"/>
  <c r="T46" i="6"/>
  <c r="R6" i="6"/>
  <c r="T2" i="6"/>
  <c r="T3" i="6"/>
  <c r="U4" i="6"/>
  <c r="Q9" i="6"/>
  <c r="R11" i="6"/>
  <c r="T14" i="6"/>
  <c r="U16" i="6"/>
  <c r="Q21" i="6"/>
  <c r="S21" i="6" s="1"/>
  <c r="R23" i="6"/>
  <c r="T26" i="6"/>
  <c r="U28" i="6"/>
  <c r="Q33" i="6"/>
  <c r="R35" i="6"/>
  <c r="T38" i="6"/>
  <c r="U40" i="6"/>
  <c r="Q45" i="6"/>
  <c r="R47" i="6"/>
  <c r="T50" i="6"/>
  <c r="U52" i="6"/>
  <c r="Q57" i="6"/>
  <c r="S57" i="6" s="1"/>
  <c r="R59" i="6"/>
  <c r="T62" i="6"/>
  <c r="U64" i="6"/>
  <c r="R10" i="6"/>
  <c r="T13" i="6"/>
  <c r="U15" i="6"/>
  <c r="Q20" i="6"/>
  <c r="R22" i="6"/>
  <c r="T25" i="6"/>
  <c r="U27" i="6"/>
  <c r="Q32" i="6"/>
  <c r="R34" i="6"/>
  <c r="T37" i="6"/>
  <c r="U39" i="6"/>
  <c r="Q44" i="6"/>
  <c r="S44" i="6" s="1"/>
  <c r="V44" i="6" s="1"/>
  <c r="R46" i="6"/>
  <c r="T49" i="6"/>
  <c r="U51" i="6"/>
  <c r="Q56" i="6"/>
  <c r="R58" i="6"/>
  <c r="T61" i="6"/>
  <c r="U63" i="6"/>
  <c r="T22" i="6"/>
  <c r="T34" i="6"/>
  <c r="Q53" i="6"/>
  <c r="Q4" i="6"/>
  <c r="S4" i="6" s="1"/>
  <c r="V4" i="6" s="1"/>
  <c r="U2" i="6"/>
  <c r="U3" i="6"/>
  <c r="Q8" i="6"/>
  <c r="Q7" i="6"/>
  <c r="S7" i="6" s="1"/>
  <c r="V7" i="6" s="1"/>
  <c r="R9" i="6"/>
  <c r="T12" i="6"/>
  <c r="U14" i="6"/>
  <c r="Q19" i="6"/>
  <c r="R21" i="6"/>
  <c r="T24" i="6"/>
  <c r="U26" i="6"/>
  <c r="Q31" i="6"/>
  <c r="R33" i="6"/>
  <c r="T36" i="6"/>
  <c r="U38" i="6"/>
  <c r="Q43" i="6"/>
  <c r="S43" i="6" s="1"/>
  <c r="V43" i="6" s="1"/>
  <c r="R45" i="6"/>
  <c r="T48" i="6"/>
  <c r="U50" i="6"/>
  <c r="Q55" i="6"/>
  <c r="R57" i="6"/>
  <c r="T60" i="6"/>
  <c r="U62" i="6"/>
  <c r="Q67" i="6"/>
  <c r="U84" i="7"/>
  <c r="T82" i="7"/>
  <c r="R79" i="7"/>
  <c r="Q77" i="7"/>
  <c r="S77" i="7" s="1"/>
  <c r="U72" i="7"/>
  <c r="T70" i="7"/>
  <c r="R67" i="7"/>
  <c r="Q65" i="7"/>
  <c r="U60" i="7"/>
  <c r="T58" i="7"/>
  <c r="R55" i="7"/>
  <c r="Q53" i="7"/>
  <c r="S53" i="7" s="1"/>
  <c r="V53" i="7" s="1"/>
  <c r="U48" i="7"/>
  <c r="T46" i="7"/>
  <c r="R43" i="7"/>
  <c r="Q41" i="7"/>
  <c r="Q87" i="7"/>
  <c r="T80" i="7"/>
  <c r="U85" i="7"/>
  <c r="T83" i="7"/>
  <c r="R80" i="7"/>
  <c r="Q78" i="7"/>
  <c r="S78" i="7" s="1"/>
  <c r="V78" i="7" s="1"/>
  <c r="U73" i="7"/>
  <c r="T71" i="7"/>
  <c r="R68" i="7"/>
  <c r="Q66" i="7"/>
  <c r="U61" i="7"/>
  <c r="T59" i="7"/>
  <c r="R56" i="7"/>
  <c r="Q54" i="7"/>
  <c r="S54" i="7" s="1"/>
  <c r="U49" i="7"/>
  <c r="T47" i="7"/>
  <c r="R44" i="7"/>
  <c r="Q42" i="7"/>
  <c r="S42" i="7" s="1"/>
  <c r="R81" i="7"/>
  <c r="Q79" i="7"/>
  <c r="S79" i="7" s="1"/>
  <c r="V79" i="7" s="1"/>
  <c r="U74" i="7"/>
  <c r="T72" i="7"/>
  <c r="R69" i="7"/>
  <c r="Q67" i="7"/>
  <c r="U62" i="7"/>
  <c r="T60" i="7"/>
  <c r="R57" i="7"/>
  <c r="Q55" i="7"/>
  <c r="U50" i="7"/>
  <c r="T48" i="7"/>
  <c r="R45" i="7"/>
  <c r="Q43" i="7"/>
  <c r="S43" i="7" s="1"/>
  <c r="V43" i="7" s="1"/>
  <c r="T85" i="7"/>
  <c r="R82" i="7"/>
  <c r="T73" i="7"/>
  <c r="R70" i="7"/>
  <c r="Q68" i="7"/>
  <c r="S68" i="7" s="1"/>
  <c r="V68" i="7" s="1"/>
  <c r="U63" i="7"/>
  <c r="T61" i="7"/>
  <c r="R58" i="7"/>
  <c r="Q56" i="7"/>
  <c r="S56" i="7" s="1"/>
  <c r="V56" i="7" s="1"/>
  <c r="U51" i="7"/>
  <c r="T49" i="7"/>
  <c r="R46" i="7"/>
  <c r="Q44" i="7"/>
  <c r="U39" i="7"/>
  <c r="Q80" i="7"/>
  <c r="U75" i="7"/>
  <c r="U88" i="7"/>
  <c r="T86" i="7"/>
  <c r="R83" i="7"/>
  <c r="Q81" i="7"/>
  <c r="U76" i="7"/>
  <c r="T74" i="7"/>
  <c r="R71" i="7"/>
  <c r="Q69" i="7"/>
  <c r="S69" i="7" s="1"/>
  <c r="V69" i="7" s="1"/>
  <c r="U64" i="7"/>
  <c r="T62" i="7"/>
  <c r="R59" i="7"/>
  <c r="Q57" i="7"/>
  <c r="U52" i="7"/>
  <c r="T50" i="7"/>
  <c r="R47" i="7"/>
  <c r="Q45" i="7"/>
  <c r="U40" i="7"/>
  <c r="T75" i="7"/>
  <c r="R72" i="7"/>
  <c r="Q70" i="7"/>
  <c r="S70" i="7" s="1"/>
  <c r="V70" i="7" s="1"/>
  <c r="U65" i="7"/>
  <c r="T63" i="7"/>
  <c r="R60" i="7"/>
  <c r="Q58" i="7"/>
  <c r="S58" i="7" s="1"/>
  <c r="U53" i="7"/>
  <c r="T51" i="7"/>
  <c r="R48" i="7"/>
  <c r="Q46" i="7"/>
  <c r="U41" i="7"/>
  <c r="T39" i="7"/>
  <c r="T84" i="7"/>
  <c r="R84" i="7"/>
  <c r="T76" i="7"/>
  <c r="R73" i="7"/>
  <c r="Q71" i="7"/>
  <c r="U66" i="7"/>
  <c r="T64" i="7"/>
  <c r="R61" i="7"/>
  <c r="Q59" i="7"/>
  <c r="S59" i="7" s="1"/>
  <c r="V59" i="7" s="1"/>
  <c r="U54" i="7"/>
  <c r="T52" i="7"/>
  <c r="R49" i="7"/>
  <c r="Q47" i="7"/>
  <c r="S47" i="7" s="1"/>
  <c r="V47" i="7" s="1"/>
  <c r="U42" i="7"/>
  <c r="T40" i="7"/>
  <c r="T88" i="7"/>
  <c r="R85" i="7"/>
  <c r="R86" i="7"/>
  <c r="Q84" i="7"/>
  <c r="U79" i="7"/>
  <c r="T77" i="7"/>
  <c r="R74" i="7"/>
  <c r="Q72" i="7"/>
  <c r="U67" i="7"/>
  <c r="T65" i="7"/>
  <c r="R62" i="7"/>
  <c r="Q60" i="7"/>
  <c r="U55" i="7"/>
  <c r="T53" i="7"/>
  <c r="R50" i="7"/>
  <c r="Q48" i="7"/>
  <c r="S48" i="7" s="1"/>
  <c r="U43" i="7"/>
  <c r="T41" i="7"/>
  <c r="U86" i="7"/>
  <c r="Q83" i="7"/>
  <c r="S83" i="7" s="1"/>
  <c r="V83" i="7" s="1"/>
  <c r="R87" i="7"/>
  <c r="Q85" i="7"/>
  <c r="S85" i="7" s="1"/>
  <c r="V85" i="7" s="1"/>
  <c r="U80" i="7"/>
  <c r="T78" i="7"/>
  <c r="R75" i="7"/>
  <c r="Q73" i="7"/>
  <c r="S73" i="7" s="1"/>
  <c r="U68" i="7"/>
  <c r="T66" i="7"/>
  <c r="R63" i="7"/>
  <c r="Q61" i="7"/>
  <c r="S61" i="7" s="1"/>
  <c r="V61" i="7" s="1"/>
  <c r="U56" i="7"/>
  <c r="T54" i="7"/>
  <c r="R51" i="7"/>
  <c r="Q49" i="7"/>
  <c r="S49" i="7" s="1"/>
  <c r="U44" i="7"/>
  <c r="T42" i="7"/>
  <c r="R39" i="7"/>
  <c r="U87" i="7"/>
  <c r="T87" i="7"/>
  <c r="Q82" i="7"/>
  <c r="S82" i="7" s="1"/>
  <c r="V82" i="7" s="1"/>
  <c r="U77" i="7"/>
  <c r="U78" i="7"/>
  <c r="R88" i="7"/>
  <c r="Q86" i="7"/>
  <c r="S86" i="7" s="1"/>
  <c r="V86" i="7" s="1"/>
  <c r="U81" i="7"/>
  <c r="T79" i="7"/>
  <c r="R76" i="7"/>
  <c r="Q74" i="7"/>
  <c r="U69" i="7"/>
  <c r="T67" i="7"/>
  <c r="R64" i="7"/>
  <c r="Q62" i="7"/>
  <c r="U57" i="7"/>
  <c r="T55" i="7"/>
  <c r="R52" i="7"/>
  <c r="Q50" i="7"/>
  <c r="S50" i="7" s="1"/>
  <c r="V50" i="7" s="1"/>
  <c r="U45" i="7"/>
  <c r="T43" i="7"/>
  <c r="R40" i="7"/>
  <c r="U82" i="7"/>
  <c r="R77" i="7"/>
  <c r="T68" i="7"/>
  <c r="R65" i="7"/>
  <c r="Q63" i="7"/>
  <c r="S63" i="7" s="1"/>
  <c r="V63" i="7" s="1"/>
  <c r="U58" i="7"/>
  <c r="T56" i="7"/>
  <c r="R53" i="7"/>
  <c r="Q51" i="7"/>
  <c r="U46" i="7"/>
  <c r="T44" i="7"/>
  <c r="R41" i="7"/>
  <c r="Q39" i="7"/>
  <c r="Q75" i="7"/>
  <c r="S75" i="7" s="1"/>
  <c r="U70" i="7"/>
  <c r="Q88" i="7"/>
  <c r="S88" i="7" s="1"/>
  <c r="U83" i="7"/>
  <c r="T81" i="7"/>
  <c r="R78" i="7"/>
  <c r="Q76" i="7"/>
  <c r="U71" i="7"/>
  <c r="T69" i="7"/>
  <c r="R66" i="7"/>
  <c r="Q64" i="7"/>
  <c r="S64" i="7" s="1"/>
  <c r="V64" i="7" s="1"/>
  <c r="U59" i="7"/>
  <c r="T57" i="7"/>
  <c r="R54" i="7"/>
  <c r="Q52" i="7"/>
  <c r="S52" i="7" s="1"/>
  <c r="U47" i="7"/>
  <c r="T45" i="7"/>
  <c r="R42" i="7"/>
  <c r="Q40" i="7"/>
  <c r="T9" i="7"/>
  <c r="U11" i="7"/>
  <c r="Q16" i="7"/>
  <c r="R18" i="7"/>
  <c r="T21" i="7"/>
  <c r="U23" i="7"/>
  <c r="Q28" i="7"/>
  <c r="S28" i="7" s="1"/>
  <c r="V28" i="7" s="1"/>
  <c r="R30" i="7"/>
  <c r="T33" i="7"/>
  <c r="U35" i="7"/>
  <c r="U2" i="7"/>
  <c r="U3" i="7"/>
  <c r="Q4" i="7"/>
  <c r="R6" i="7"/>
  <c r="Q2" i="7"/>
  <c r="S2" i="7" s="1"/>
  <c r="Q3" i="7"/>
  <c r="R5" i="7"/>
  <c r="T8" i="7"/>
  <c r="U10" i="7"/>
  <c r="Q15" i="7"/>
  <c r="R17" i="7"/>
  <c r="T20" i="7"/>
  <c r="U22" i="7"/>
  <c r="Q27" i="7"/>
  <c r="S27" i="7" s="1"/>
  <c r="V27" i="7" s="1"/>
  <c r="R29" i="7"/>
  <c r="T32" i="7"/>
  <c r="U34" i="7"/>
  <c r="U4" i="7"/>
  <c r="R4" i="7"/>
  <c r="T7" i="7"/>
  <c r="U9" i="7"/>
  <c r="Q14" i="7"/>
  <c r="S14" i="7" s="1"/>
  <c r="R16" i="7"/>
  <c r="T19" i="7"/>
  <c r="U21" i="7"/>
  <c r="Q26" i="7"/>
  <c r="S26" i="7" s="1"/>
  <c r="V26" i="7" s="1"/>
  <c r="R28" i="7"/>
  <c r="T31" i="7"/>
  <c r="U33" i="7"/>
  <c r="Q38" i="7"/>
  <c r="U32" i="7"/>
  <c r="Q37" i="7"/>
  <c r="S37" i="7" s="1"/>
  <c r="R3" i="7"/>
  <c r="U8" i="7"/>
  <c r="R15" i="7"/>
  <c r="U20" i="7"/>
  <c r="Q25" i="7"/>
  <c r="S25" i="7" s="1"/>
  <c r="V25" i="7" s="1"/>
  <c r="T30" i="7"/>
  <c r="T5" i="7"/>
  <c r="U7" i="7"/>
  <c r="Q12" i="7"/>
  <c r="R14" i="7"/>
  <c r="T17" i="7"/>
  <c r="U19" i="7"/>
  <c r="Q24" i="7"/>
  <c r="S24" i="7" s="1"/>
  <c r="R26" i="7"/>
  <c r="T29" i="7"/>
  <c r="U31" i="7"/>
  <c r="Q36" i="7"/>
  <c r="S36" i="7" s="1"/>
  <c r="V36" i="7" s="1"/>
  <c r="R38" i="7"/>
  <c r="R2" i="7"/>
  <c r="T6" i="7"/>
  <c r="Q13" i="7"/>
  <c r="T18" i="7"/>
  <c r="R27" i="7"/>
  <c r="T4" i="7"/>
  <c r="U6" i="7"/>
  <c r="Q11" i="7"/>
  <c r="R13" i="7"/>
  <c r="T16" i="7"/>
  <c r="U18" i="7"/>
  <c r="Q23" i="7"/>
  <c r="S23" i="7" s="1"/>
  <c r="V23" i="7" s="1"/>
  <c r="R25" i="7"/>
  <c r="T28" i="7"/>
  <c r="U30" i="7"/>
  <c r="Q35" i="7"/>
  <c r="R37" i="7"/>
  <c r="T2" i="7"/>
  <c r="T3" i="7"/>
  <c r="U5" i="7"/>
  <c r="Q10" i="7"/>
  <c r="S10" i="7" s="1"/>
  <c r="V10" i="7" s="1"/>
  <c r="R12" i="7"/>
  <c r="T15" i="7"/>
  <c r="U17" i="7"/>
  <c r="Q22" i="7"/>
  <c r="R24" i="7"/>
  <c r="T27" i="7"/>
  <c r="U29" i="7"/>
  <c r="Q34" i="7"/>
  <c r="R36" i="7"/>
  <c r="Q9" i="7"/>
  <c r="S9" i="7" s="1"/>
  <c r="V9" i="7" s="1"/>
  <c r="R11" i="7"/>
  <c r="T14" i="7"/>
  <c r="U16" i="7"/>
  <c r="Q21" i="7"/>
  <c r="S21" i="7" s="1"/>
  <c r="V21" i="7" s="1"/>
  <c r="R23" i="7"/>
  <c r="T26" i="7"/>
  <c r="U28" i="7"/>
  <c r="Q33" i="7"/>
  <c r="R35" i="7"/>
  <c r="T38" i="7"/>
  <c r="R22" i="7"/>
  <c r="T25" i="7"/>
  <c r="U27" i="7"/>
  <c r="Q32" i="7"/>
  <c r="R34" i="7"/>
  <c r="T37" i="7"/>
  <c r="Q7" i="7"/>
  <c r="S7" i="7" s="1"/>
  <c r="V7" i="7" s="1"/>
  <c r="R9" i="7"/>
  <c r="T12" i="7"/>
  <c r="U14" i="7"/>
  <c r="Q19" i="7"/>
  <c r="R21" i="7"/>
  <c r="T24" i="7"/>
  <c r="U26" i="7"/>
  <c r="Q31" i="7"/>
  <c r="S31" i="7" s="1"/>
  <c r="R33" i="7"/>
  <c r="T36" i="7"/>
  <c r="U38" i="7"/>
  <c r="Q6" i="7"/>
  <c r="S6" i="7" s="1"/>
  <c r="V6" i="7" s="1"/>
  <c r="R8" i="7"/>
  <c r="T11" i="7"/>
  <c r="U13" i="7"/>
  <c r="Q18" i="7"/>
  <c r="S18" i="7" s="1"/>
  <c r="R20" i="7"/>
  <c r="T23" i="7"/>
  <c r="U25" i="7"/>
  <c r="Q30" i="7"/>
  <c r="S30" i="7" s="1"/>
  <c r="R32" i="7"/>
  <c r="T35" i="7"/>
  <c r="U37" i="7"/>
  <c r="Q8" i="7"/>
  <c r="S8" i="7" s="1"/>
  <c r="V8" i="7" s="1"/>
  <c r="R10" i="7"/>
  <c r="T13" i="7"/>
  <c r="U15" i="7"/>
  <c r="Q20" i="7"/>
  <c r="S20" i="7" s="1"/>
  <c r="Q5" i="7"/>
  <c r="S5" i="7" s="1"/>
  <c r="R7" i="7"/>
  <c r="T10" i="7"/>
  <c r="U12" i="7"/>
  <c r="Q17" i="7"/>
  <c r="R19" i="7"/>
  <c r="T22" i="7"/>
  <c r="U24" i="7"/>
  <c r="Q29" i="7"/>
  <c r="S29" i="7" s="1"/>
  <c r="R31" i="7"/>
  <c r="T34" i="7"/>
  <c r="U36" i="7"/>
  <c r="Q2" i="8"/>
  <c r="T7" i="8"/>
  <c r="T2" i="8"/>
  <c r="T3" i="8"/>
  <c r="U5" i="8"/>
  <c r="Q10" i="8"/>
  <c r="S10" i="8" s="1"/>
  <c r="R12" i="8"/>
  <c r="T15" i="8"/>
  <c r="U17" i="8"/>
  <c r="Q22" i="8"/>
  <c r="S22" i="8" s="1"/>
  <c r="R24" i="8"/>
  <c r="T27" i="8"/>
  <c r="U29" i="8"/>
  <c r="Q34" i="8"/>
  <c r="R36" i="8"/>
  <c r="Q21" i="8"/>
  <c r="S21" i="8" s="1"/>
  <c r="V21" i="8" s="1"/>
  <c r="T38" i="8"/>
  <c r="R22" i="8"/>
  <c r="T25" i="8"/>
  <c r="U27" i="8"/>
  <c r="Q32" i="8"/>
  <c r="R34" i="8"/>
  <c r="T37" i="8"/>
  <c r="U2" i="8"/>
  <c r="U3" i="8"/>
  <c r="Q8" i="8"/>
  <c r="R10" i="8"/>
  <c r="T13" i="8"/>
  <c r="U15" i="8"/>
  <c r="Q20" i="8"/>
  <c r="S20" i="8" s="1"/>
  <c r="V20" i="8" s="1"/>
  <c r="Q7" i="8"/>
  <c r="R9" i="8"/>
  <c r="T12" i="8"/>
  <c r="U14" i="8"/>
  <c r="Q19" i="8"/>
  <c r="R21" i="8"/>
  <c r="T24" i="8"/>
  <c r="U26" i="8"/>
  <c r="Q31" i="8"/>
  <c r="R33" i="8"/>
  <c r="T36" i="8"/>
  <c r="U38" i="8"/>
  <c r="R8" i="8"/>
  <c r="T11" i="8"/>
  <c r="U13" i="8"/>
  <c r="Q18" i="8"/>
  <c r="R20" i="8"/>
  <c r="T23" i="8"/>
  <c r="U25" i="8"/>
  <c r="Q30" i="8"/>
  <c r="R32" i="8"/>
  <c r="T35" i="8"/>
  <c r="U37" i="8"/>
  <c r="U4" i="8"/>
  <c r="Q9" i="8"/>
  <c r="U16" i="8"/>
  <c r="R23" i="8"/>
  <c r="T26" i="8"/>
  <c r="Q33" i="8"/>
  <c r="Q5" i="8"/>
  <c r="S5" i="8" s="1"/>
  <c r="R7" i="8"/>
  <c r="T10" i="8"/>
  <c r="U12" i="8"/>
  <c r="Q17" i="8"/>
  <c r="S17" i="8" s="1"/>
  <c r="V17" i="8" s="1"/>
  <c r="R19" i="8"/>
  <c r="T22" i="8"/>
  <c r="U24" i="8"/>
  <c r="Q29" i="8"/>
  <c r="R31" i="8"/>
  <c r="T34" i="8"/>
  <c r="U36" i="8"/>
  <c r="R11" i="8"/>
  <c r="R35" i="8"/>
  <c r="Q6" i="8"/>
  <c r="S6" i="8" s="1"/>
  <c r="V6" i="8" s="1"/>
  <c r="Q4" i="8"/>
  <c r="R6" i="8"/>
  <c r="T9" i="8"/>
  <c r="U11" i="8"/>
  <c r="Q16" i="8"/>
  <c r="R18" i="8"/>
  <c r="T21" i="8"/>
  <c r="U23" i="8"/>
  <c r="Q28" i="8"/>
  <c r="S28" i="8" s="1"/>
  <c r="V28" i="8" s="1"/>
  <c r="R30" i="8"/>
  <c r="T33" i="8"/>
  <c r="U35" i="8"/>
  <c r="Q3" i="8"/>
  <c r="R5" i="8"/>
  <c r="T8" i="8"/>
  <c r="U10" i="8"/>
  <c r="Q15" i="8"/>
  <c r="R17" i="8"/>
  <c r="T20" i="8"/>
  <c r="U22" i="8"/>
  <c r="Q27" i="8"/>
  <c r="S27" i="8" s="1"/>
  <c r="R29" i="8"/>
  <c r="T32" i="8"/>
  <c r="U34" i="8"/>
  <c r="U28" i="8"/>
  <c r="Q26" i="8"/>
  <c r="R28" i="8"/>
  <c r="T31" i="8"/>
  <c r="U33" i="8"/>
  <c r="Q38" i="8"/>
  <c r="T14" i="8"/>
  <c r="R4" i="8"/>
  <c r="U9" i="8"/>
  <c r="R3" i="8"/>
  <c r="T6" i="8"/>
  <c r="U8" i="8"/>
  <c r="Q13" i="8"/>
  <c r="S13" i="8" s="1"/>
  <c r="V13" i="8" s="1"/>
  <c r="R15" i="8"/>
  <c r="T18" i="8"/>
  <c r="U20" i="8"/>
  <c r="Q25" i="8"/>
  <c r="S25" i="8" s="1"/>
  <c r="V25" i="8" s="1"/>
  <c r="R27" i="8"/>
  <c r="T30" i="8"/>
  <c r="U32" i="8"/>
  <c r="Q37" i="8"/>
  <c r="S37" i="8" s="1"/>
  <c r="Q14" i="8"/>
  <c r="S14" i="8" s="1"/>
  <c r="V14" i="8" s="1"/>
  <c r="T19" i="8"/>
  <c r="T5" i="8"/>
  <c r="U7" i="8"/>
  <c r="Q12" i="8"/>
  <c r="S12" i="8" s="1"/>
  <c r="V12" i="8" s="1"/>
  <c r="R14" i="8"/>
  <c r="T17" i="8"/>
  <c r="U19" i="8"/>
  <c r="Q24" i="8"/>
  <c r="S24" i="8" s="1"/>
  <c r="V24" i="8" s="1"/>
  <c r="R26" i="8"/>
  <c r="T29" i="8"/>
  <c r="U31" i="8"/>
  <c r="Q36" i="8"/>
  <c r="S36" i="8" s="1"/>
  <c r="R38" i="8"/>
  <c r="R16" i="8"/>
  <c r="U21" i="8"/>
  <c r="R2" i="8"/>
  <c r="T4" i="8"/>
  <c r="U6" i="8"/>
  <c r="Q11" i="8"/>
  <c r="R13" i="8"/>
  <c r="T16" i="8"/>
  <c r="U18" i="8"/>
  <c r="Q23" i="8"/>
  <c r="S23" i="8" s="1"/>
  <c r="V23" i="8" s="1"/>
  <c r="R25" i="8"/>
  <c r="T28" i="8"/>
  <c r="U30" i="8"/>
  <c r="Q35" i="8"/>
  <c r="R37" i="8"/>
  <c r="R8" i="9"/>
  <c r="Q20" i="9"/>
  <c r="U51" i="9"/>
  <c r="R18" i="9"/>
  <c r="U47" i="9"/>
  <c r="T30" i="9"/>
  <c r="T33" i="9"/>
  <c r="Q4" i="9"/>
  <c r="S4" i="9" s="1"/>
  <c r="Q7" i="9"/>
  <c r="S7" i="9" s="1"/>
  <c r="V7" i="9" s="1"/>
  <c r="U11" i="9"/>
  <c r="Q13" i="9"/>
  <c r="S13" i="9" s="1"/>
  <c r="V13" i="9" s="1"/>
  <c r="U14" i="9"/>
  <c r="U16" i="9"/>
  <c r="T18" i="9"/>
  <c r="T20" i="9"/>
  <c r="Q36" i="9"/>
  <c r="T5" i="9"/>
  <c r="U8" i="9"/>
  <c r="R13" i="9"/>
  <c r="Q31" i="9"/>
  <c r="T36" i="9"/>
  <c r="Q39" i="9"/>
  <c r="S39" i="9" s="1"/>
  <c r="V39" i="9" s="1"/>
  <c r="R53" i="9"/>
  <c r="Q63" i="9"/>
  <c r="S63" i="9" s="1"/>
  <c r="V63" i="9" s="1"/>
  <c r="R70" i="9"/>
  <c r="R14" i="9"/>
  <c r="U20" i="9"/>
  <c r="U38" i="9"/>
  <c r="T16" i="9"/>
  <c r="R20" i="9"/>
  <c r="U10" i="9"/>
  <c r="T29" i="9"/>
  <c r="U34" i="9"/>
  <c r="Q40" i="9"/>
  <c r="S40" i="9" s="1"/>
  <c r="V40" i="9" s="1"/>
  <c r="R50" i="9"/>
  <c r="U3" i="9"/>
  <c r="U9" i="9"/>
  <c r="U23" i="9"/>
  <c r="R28" i="9"/>
  <c r="Q44" i="9"/>
  <c r="Q26" i="9"/>
  <c r="R7" i="9"/>
  <c r="U24" i="9"/>
  <c r="R39" i="9"/>
  <c r="T13" i="9"/>
  <c r="Q29" i="9"/>
  <c r="S29" i="9" s="1"/>
  <c r="V29" i="9" s="1"/>
  <c r="T45" i="9"/>
  <c r="R59" i="9"/>
  <c r="Q6" i="9"/>
  <c r="Q27" i="9"/>
  <c r="U7" i="9"/>
  <c r="T19" i="9"/>
  <c r="R21" i="9"/>
  <c r="R23" i="9"/>
  <c r="R27" i="9"/>
  <c r="T37" i="9"/>
  <c r="Q43" i="9"/>
  <c r="S43" i="9" s="1"/>
  <c r="V43" i="9" s="1"/>
  <c r="U50" i="9"/>
  <c r="T60" i="9"/>
  <c r="R11" i="9"/>
  <c r="U21" i="9"/>
  <c r="R5" i="9"/>
  <c r="U6" i="9"/>
  <c r="T14" i="9"/>
  <c r="R41" i="9"/>
  <c r="T2" i="9"/>
  <c r="Q24" i="9"/>
  <c r="R4" i="9"/>
  <c r="R10" i="9"/>
  <c r="Q17" i="9"/>
  <c r="S17" i="9" s="1"/>
  <c r="U36" i="9"/>
  <c r="R45" i="9"/>
  <c r="U63" i="9"/>
  <c r="Q78" i="9"/>
  <c r="T10" i="9"/>
  <c r="Q19" i="9"/>
  <c r="S19" i="9" s="1"/>
  <c r="V19" i="9" s="1"/>
  <c r="T42" i="9"/>
  <c r="T7" i="9"/>
  <c r="R29" i="9"/>
  <c r="U64" i="9"/>
  <c r="Q3" i="9"/>
  <c r="S3" i="9" s="1"/>
  <c r="R6" i="9"/>
  <c r="Q9" i="9"/>
  <c r="S9" i="9" s="1"/>
  <c r="V9" i="9" s="1"/>
  <c r="Q14" i="9"/>
  <c r="S14" i="9" s="1"/>
  <c r="V14" i="9" s="1"/>
  <c r="U19" i="9"/>
  <c r="T23" i="9"/>
  <c r="U40" i="9"/>
  <c r="R43" i="9"/>
  <c r="U46" i="9"/>
  <c r="Q66" i="9"/>
  <c r="S66" i="9" s="1"/>
  <c r="T22" i="9"/>
  <c r="R15" i="9"/>
  <c r="U4" i="9"/>
  <c r="Q12" i="9"/>
  <c r="S12" i="9" s="1"/>
  <c r="V12" i="9" s="1"/>
  <c r="T54" i="9"/>
  <c r="Q2" i="9"/>
  <c r="S2" i="9" s="1"/>
  <c r="V2" i="9" s="1"/>
  <c r="Q5" i="9"/>
  <c r="S5" i="9" s="1"/>
  <c r="T6" i="9"/>
  <c r="T9" i="9"/>
  <c r="Q11" i="9"/>
  <c r="T12" i="9"/>
  <c r="U32" i="9"/>
  <c r="R35" i="9"/>
  <c r="U56" i="9"/>
  <c r="R25" i="9"/>
  <c r="T26" i="9"/>
  <c r="U27" i="9"/>
  <c r="R30" i="9"/>
  <c r="T31" i="9"/>
  <c r="Q48" i="9"/>
  <c r="T49" i="9"/>
  <c r="Q52" i="9"/>
  <c r="Q56" i="9"/>
  <c r="R57" i="9"/>
  <c r="U59" i="9"/>
  <c r="R62" i="9"/>
  <c r="U70" i="9"/>
  <c r="Q72" i="9"/>
  <c r="S72" i="9" s="1"/>
  <c r="V72" i="9" s="1"/>
  <c r="Q75" i="9"/>
  <c r="S75" i="9" s="1"/>
  <c r="V75" i="9" s="1"/>
  <c r="T44" i="9"/>
  <c r="U45" i="9"/>
  <c r="T58" i="9"/>
  <c r="Q61" i="9"/>
  <c r="T62" i="9"/>
  <c r="R65" i="9"/>
  <c r="R68" i="9"/>
  <c r="T69" i="9"/>
  <c r="U73" i="9"/>
  <c r="Q77" i="9"/>
  <c r="Q79" i="9"/>
  <c r="U13" i="9"/>
  <c r="Q16" i="9"/>
  <c r="S16" i="9" s="1"/>
  <c r="V16" i="9" s="1"/>
  <c r="R17" i="9"/>
  <c r="Q23" i="9"/>
  <c r="S23" i="9" s="1"/>
  <c r="V23" i="9" s="1"/>
  <c r="T25" i="9"/>
  <c r="U26" i="9"/>
  <c r="U31" i="9"/>
  <c r="Q33" i="9"/>
  <c r="R34" i="9"/>
  <c r="T35" i="9"/>
  <c r="Q38" i="9"/>
  <c r="Q42" i="9"/>
  <c r="U49" i="9"/>
  <c r="R52" i="9"/>
  <c r="T53" i="9"/>
  <c r="R56" i="9"/>
  <c r="R77" i="9"/>
  <c r="U44" i="9"/>
  <c r="R47" i="9"/>
  <c r="T48" i="9"/>
  <c r="Q51" i="9"/>
  <c r="Q55" i="9"/>
  <c r="S55" i="9" s="1"/>
  <c r="T57" i="9"/>
  <c r="U58" i="9"/>
  <c r="U62" i="9"/>
  <c r="Q64" i="9"/>
  <c r="S64" i="9" s="1"/>
  <c r="T65" i="9"/>
  <c r="Q67" i="9"/>
  <c r="S67" i="9" s="1"/>
  <c r="V67" i="9" s="1"/>
  <c r="U69" i="9"/>
  <c r="R71" i="9"/>
  <c r="T72" i="9"/>
  <c r="U75" i="9"/>
  <c r="T77" i="9"/>
  <c r="R79" i="9"/>
  <c r="R2" i="9"/>
  <c r="R3" i="9"/>
  <c r="Q8" i="9"/>
  <c r="S8" i="9" s="1"/>
  <c r="T11" i="9"/>
  <c r="U12" i="9"/>
  <c r="Q15" i="9"/>
  <c r="R16" i="9"/>
  <c r="T24" i="9"/>
  <c r="U25" i="9"/>
  <c r="Q28" i="9"/>
  <c r="S28" i="9" s="1"/>
  <c r="Q32" i="9"/>
  <c r="S32" i="9" s="1"/>
  <c r="V32" i="9" s="1"/>
  <c r="R33" i="9"/>
  <c r="U35" i="9"/>
  <c r="R38" i="9"/>
  <c r="U39" i="9"/>
  <c r="R42" i="9"/>
  <c r="T43" i="9"/>
  <c r="Q60" i="9"/>
  <c r="T61" i="9"/>
  <c r="T68" i="9"/>
  <c r="T4" i="9"/>
  <c r="R9" i="9"/>
  <c r="T17" i="9"/>
  <c r="U18" i="9"/>
  <c r="Q21" i="9"/>
  <c r="S21" i="9" s="1"/>
  <c r="V21" i="9" s="1"/>
  <c r="R22" i="9"/>
  <c r="T34" i="9"/>
  <c r="Q37" i="9"/>
  <c r="S37" i="9" s="1"/>
  <c r="T38" i="9"/>
  <c r="Q41" i="9"/>
  <c r="S41" i="9" s="1"/>
  <c r="U48" i="9"/>
  <c r="R51" i="9"/>
  <c r="U52" i="9"/>
  <c r="R55" i="9"/>
  <c r="T56" i="9"/>
  <c r="U57" i="9"/>
  <c r="R64" i="9"/>
  <c r="R67" i="9"/>
  <c r="U72" i="9"/>
  <c r="R74" i="9"/>
  <c r="U79" i="9"/>
  <c r="R32" i="9"/>
  <c r="U43" i="9"/>
  <c r="Q45" i="9"/>
  <c r="R46" i="9"/>
  <c r="T47" i="9"/>
  <c r="Q50" i="9"/>
  <c r="Q54" i="9"/>
  <c r="S54" i="9" s="1"/>
  <c r="V54" i="9" s="1"/>
  <c r="U61" i="9"/>
  <c r="T71" i="9"/>
  <c r="T74" i="9"/>
  <c r="Q80" i="9"/>
  <c r="S80" i="9" s="1"/>
  <c r="V80" i="9" s="1"/>
  <c r="R54" i="9"/>
  <c r="T55" i="9"/>
  <c r="T67" i="9"/>
  <c r="Q69" i="9"/>
  <c r="S69" i="9" s="1"/>
  <c r="U71" i="9"/>
  <c r="U74" i="9"/>
  <c r="U2" i="9"/>
  <c r="T8" i="9"/>
  <c r="U28" i="9"/>
  <c r="R31" i="9"/>
  <c r="T32" i="9"/>
  <c r="U33" i="9"/>
  <c r="T46" i="9"/>
  <c r="Q49" i="9"/>
  <c r="S49" i="9" s="1"/>
  <c r="V49" i="9" s="1"/>
  <c r="T50" i="9"/>
  <c r="Q53" i="9"/>
  <c r="S53" i="9" s="1"/>
  <c r="V53" i="9" s="1"/>
  <c r="U60" i="9"/>
  <c r="R66" i="9"/>
  <c r="U67" i="9"/>
  <c r="U76" i="9"/>
  <c r="R80" i="9"/>
  <c r="U15" i="9"/>
  <c r="Q18" i="9"/>
  <c r="R19" i="9"/>
  <c r="T21" i="9"/>
  <c r="U22" i="9"/>
  <c r="Q25" i="9"/>
  <c r="R26" i="9"/>
  <c r="Q30" i="9"/>
  <c r="U37" i="9"/>
  <c r="R40" i="9"/>
  <c r="T41" i="9"/>
  <c r="R44" i="9"/>
  <c r="U55" i="9"/>
  <c r="Q57" i="9"/>
  <c r="R58" i="9"/>
  <c r="T59" i="9"/>
  <c r="Q62" i="9"/>
  <c r="R69" i="9"/>
  <c r="T70" i="9"/>
  <c r="Q65" i="9"/>
  <c r="S65" i="9" s="1"/>
  <c r="V65" i="9" s="1"/>
  <c r="Q68" i="9"/>
  <c r="T73" i="9"/>
  <c r="T80" i="9"/>
  <c r="Q74" i="9"/>
  <c r="S74" i="9" s="1"/>
  <c r="R76" i="9"/>
  <c r="T79" i="9"/>
  <c r="R63" i="9"/>
  <c r="T66" i="9"/>
  <c r="U68" i="9"/>
  <c r="Q73" i="9"/>
  <c r="S73" i="9" s="1"/>
  <c r="V73" i="9" s="1"/>
  <c r="R75" i="9"/>
  <c r="T78" i="9"/>
  <c r="U80" i="9"/>
  <c r="T28" i="9"/>
  <c r="U30" i="9"/>
  <c r="Q35" i="9"/>
  <c r="S35" i="9" s="1"/>
  <c r="V35" i="9" s="1"/>
  <c r="R37" i="9"/>
  <c r="T40" i="9"/>
  <c r="U42" i="9"/>
  <c r="Q47" i="9"/>
  <c r="S47" i="9" s="1"/>
  <c r="R49" i="9"/>
  <c r="T52" i="9"/>
  <c r="U54" i="9"/>
  <c r="Q59" i="9"/>
  <c r="R61" i="9"/>
  <c r="T64" i="9"/>
  <c r="U66" i="9"/>
  <c r="Q71" i="9"/>
  <c r="S71" i="9" s="1"/>
  <c r="V71" i="9" s="1"/>
  <c r="R73" i="9"/>
  <c r="T76" i="9"/>
  <c r="U78" i="9"/>
  <c r="T3" i="9"/>
  <c r="U5" i="9"/>
  <c r="Q10" i="9"/>
  <c r="R12" i="9"/>
  <c r="T15" i="9"/>
  <c r="U17" i="9"/>
  <c r="Q22" i="9"/>
  <c r="S22" i="9" s="1"/>
  <c r="V22" i="9" s="1"/>
  <c r="R24" i="9"/>
  <c r="T27" i="9"/>
  <c r="U29" i="9"/>
  <c r="Q34" i="9"/>
  <c r="R36" i="9"/>
  <c r="T39" i="9"/>
  <c r="U41" i="9"/>
  <c r="Q46" i="9"/>
  <c r="R48" i="9"/>
  <c r="T51" i="9"/>
  <c r="U53" i="9"/>
  <c r="Q58" i="9"/>
  <c r="S58" i="9" s="1"/>
  <c r="V58" i="9" s="1"/>
  <c r="R60" i="9"/>
  <c r="T63" i="9"/>
  <c r="U65" i="9"/>
  <c r="Q70" i="9"/>
  <c r="S70" i="9" s="1"/>
  <c r="R72" i="9"/>
  <c r="T75" i="9"/>
  <c r="U77" i="9"/>
  <c r="Q76" i="9"/>
  <c r="R78" i="9"/>
  <c r="Q117" i="10"/>
  <c r="U114" i="10"/>
  <c r="Q120" i="10"/>
  <c r="U115" i="10"/>
  <c r="R118" i="10"/>
  <c r="U116" i="10"/>
  <c r="T114" i="10"/>
  <c r="U117" i="10"/>
  <c r="T115" i="10"/>
  <c r="U118" i="10"/>
  <c r="T116" i="10"/>
  <c r="Q116" i="10"/>
  <c r="S116" i="10" s="1"/>
  <c r="V116" i="10" s="1"/>
  <c r="U119" i="10"/>
  <c r="T117" i="10"/>
  <c r="R114" i="10"/>
  <c r="R119" i="10"/>
  <c r="Q119" i="10"/>
  <c r="S119" i="10" s="1"/>
  <c r="V119" i="10" s="1"/>
  <c r="U120" i="10"/>
  <c r="T118" i="10"/>
  <c r="R115" i="10"/>
  <c r="R120" i="10"/>
  <c r="T119" i="10"/>
  <c r="R116" i="10"/>
  <c r="Q114" i="10"/>
  <c r="S114" i="10" s="1"/>
  <c r="V114" i="10" s="1"/>
  <c r="Q118" i="10"/>
  <c r="T120" i="10"/>
  <c r="R117" i="10"/>
  <c r="Q115" i="10"/>
  <c r="R3" i="10"/>
  <c r="Q47" i="10"/>
  <c r="T52" i="10"/>
  <c r="U2" i="10"/>
  <c r="U30" i="10"/>
  <c r="T6" i="10"/>
  <c r="Q12" i="10"/>
  <c r="S12" i="10" s="1"/>
  <c r="Q19" i="10"/>
  <c r="S19" i="10" s="1"/>
  <c r="R9" i="10"/>
  <c r="Q30" i="10"/>
  <c r="S30" i="10" s="1"/>
  <c r="V30" i="10" s="1"/>
  <c r="U33" i="10"/>
  <c r="R37" i="10"/>
  <c r="T40" i="10"/>
  <c r="U42" i="10"/>
  <c r="R32" i="10"/>
  <c r="T27" i="10"/>
  <c r="U8" i="10"/>
  <c r="Q10" i="10"/>
  <c r="S10" i="10" s="1"/>
  <c r="T11" i="10"/>
  <c r="Q13" i="10"/>
  <c r="U15" i="10"/>
  <c r="Q17" i="10"/>
  <c r="S17" i="10" s="1"/>
  <c r="R24" i="10"/>
  <c r="U25" i="10"/>
  <c r="T35" i="10"/>
  <c r="U49" i="10"/>
  <c r="U7" i="10"/>
  <c r="Q36" i="10"/>
  <c r="S36" i="10" s="1"/>
  <c r="T10" i="10"/>
  <c r="R16" i="10"/>
  <c r="T39" i="10"/>
  <c r="U12" i="10"/>
  <c r="T25" i="10"/>
  <c r="U38" i="10"/>
  <c r="R7" i="10"/>
  <c r="T15" i="10"/>
  <c r="Q6" i="10"/>
  <c r="T3" i="10"/>
  <c r="T7" i="10"/>
  <c r="R10" i="10"/>
  <c r="U18" i="10"/>
  <c r="Q20" i="10"/>
  <c r="Q32" i="10"/>
  <c r="S32" i="10" s="1"/>
  <c r="T37" i="10"/>
  <c r="R45" i="10"/>
  <c r="T47" i="10"/>
  <c r="R20" i="10"/>
  <c r="T4" i="10"/>
  <c r="T22" i="10"/>
  <c r="Q24" i="10"/>
  <c r="R2" i="10"/>
  <c r="R14" i="10"/>
  <c r="T18" i="10"/>
  <c r="R21" i="10"/>
  <c r="T28" i="10"/>
  <c r="T2" i="10"/>
  <c r="U3" i="10"/>
  <c r="R13" i="10"/>
  <c r="U21" i="10"/>
  <c r="Q23" i="10"/>
  <c r="S23" i="10" s="1"/>
  <c r="V23" i="10" s="1"/>
  <c r="T24" i="10"/>
  <c r="Q34" i="10"/>
  <c r="Q43" i="10"/>
  <c r="Q50" i="10"/>
  <c r="S50" i="10" s="1"/>
  <c r="Q59" i="10"/>
  <c r="U45" i="10"/>
  <c r="U14" i="10"/>
  <c r="T13" i="10"/>
  <c r="Q29" i="10"/>
  <c r="S29" i="10" s="1"/>
  <c r="V29" i="10" s="1"/>
  <c r="T43" i="10"/>
  <c r="U54" i="10"/>
  <c r="R26" i="10"/>
  <c r="U27" i="10"/>
  <c r="R36" i="10"/>
  <c r="Q38" i="10"/>
  <c r="U39" i="10"/>
  <c r="Q46" i="10"/>
  <c r="R48" i="10"/>
  <c r="U13" i="10"/>
  <c r="Q22" i="10"/>
  <c r="Q31" i="10"/>
  <c r="S31" i="10" s="1"/>
  <c r="V31" i="10" s="1"/>
  <c r="R38" i="10"/>
  <c r="U41" i="10"/>
  <c r="T48" i="10"/>
  <c r="T55" i="10"/>
  <c r="U37" i="10"/>
  <c r="Q8" i="10"/>
  <c r="S8" i="10" s="1"/>
  <c r="T16" i="10"/>
  <c r="T19" i="10"/>
  <c r="R22" i="10"/>
  <c r="T36" i="10"/>
  <c r="Q5" i="10"/>
  <c r="T17" i="10"/>
  <c r="Q26" i="10"/>
  <c r="U24" i="10"/>
  <c r="U17" i="10"/>
  <c r="U6" i="10"/>
  <c r="R12" i="10"/>
  <c r="R19" i="10"/>
  <c r="U20" i="10"/>
  <c r="T23" i="10"/>
  <c r="Q25" i="10"/>
  <c r="S25" i="10" s="1"/>
  <c r="T29" i="10"/>
  <c r="R4" i="10"/>
  <c r="T5" i="10"/>
  <c r="Q3" i="10"/>
  <c r="S3" i="10" s="1"/>
  <c r="V3" i="10" s="1"/>
  <c r="T12" i="10"/>
  <c r="R15" i="10"/>
  <c r="Q18" i="10"/>
  <c r="R25" i="10"/>
  <c r="U29" i="10"/>
  <c r="T31" i="10"/>
  <c r="Q35" i="10"/>
  <c r="S35" i="10" s="1"/>
  <c r="R34" i="10"/>
  <c r="R5" i="10"/>
  <c r="U9" i="10"/>
  <c r="Q11" i="10"/>
  <c r="S11" i="10" s="1"/>
  <c r="V11" i="10" s="1"/>
  <c r="Q2" i="10"/>
  <c r="S2" i="10" s="1"/>
  <c r="V2" i="10" s="1"/>
  <c r="U5" i="10"/>
  <c r="Q7" i="10"/>
  <c r="S7" i="10" s="1"/>
  <c r="V7" i="10" s="1"/>
  <c r="R8" i="10"/>
  <c r="Q14" i="10"/>
  <c r="U19" i="10"/>
  <c r="U26" i="10"/>
  <c r="R28" i="10"/>
  <c r="U31" i="10"/>
  <c r="R33" i="10"/>
  <c r="R40" i="10"/>
  <c r="Q42" i="10"/>
  <c r="R44" i="10"/>
  <c r="R49" i="10"/>
  <c r="R52" i="10"/>
  <c r="U50" i="10"/>
  <c r="Q55" i="10"/>
  <c r="R57" i="10"/>
  <c r="T60" i="10"/>
  <c r="U62" i="10"/>
  <c r="Q67" i="10"/>
  <c r="R69" i="10"/>
  <c r="T72" i="10"/>
  <c r="U74" i="10"/>
  <c r="Q79" i="10"/>
  <c r="R81" i="10"/>
  <c r="T84" i="10"/>
  <c r="U86" i="10"/>
  <c r="Q91" i="10"/>
  <c r="R93" i="10"/>
  <c r="T96" i="10"/>
  <c r="U98" i="10"/>
  <c r="Q103" i="10"/>
  <c r="R105" i="10"/>
  <c r="T108" i="10"/>
  <c r="U110" i="10"/>
  <c r="Q54" i="10"/>
  <c r="S54" i="10" s="1"/>
  <c r="R56" i="10"/>
  <c r="T59" i="10"/>
  <c r="U61" i="10"/>
  <c r="Q66" i="10"/>
  <c r="R68" i="10"/>
  <c r="T71" i="10"/>
  <c r="U73" i="10"/>
  <c r="Q78" i="10"/>
  <c r="R80" i="10"/>
  <c r="T83" i="10"/>
  <c r="U85" i="10"/>
  <c r="Q90" i="10"/>
  <c r="S90" i="10" s="1"/>
  <c r="R92" i="10"/>
  <c r="T95" i="10"/>
  <c r="U97" i="10"/>
  <c r="Q102" i="10"/>
  <c r="R104" i="10"/>
  <c r="T107" i="10"/>
  <c r="U109" i="10"/>
  <c r="R31" i="10"/>
  <c r="T34" i="10"/>
  <c r="U36" i="10"/>
  <c r="Q41" i="10"/>
  <c r="R43" i="10"/>
  <c r="T46" i="10"/>
  <c r="U48" i="10"/>
  <c r="Q53" i="10"/>
  <c r="R55" i="10"/>
  <c r="T58" i="10"/>
  <c r="U60" i="10"/>
  <c r="Q65" i="10"/>
  <c r="R67" i="10"/>
  <c r="T70" i="10"/>
  <c r="U72" i="10"/>
  <c r="Q77" i="10"/>
  <c r="R79" i="10"/>
  <c r="T82" i="10"/>
  <c r="U84" i="10"/>
  <c r="Q89" i="10"/>
  <c r="R91" i="10"/>
  <c r="T94" i="10"/>
  <c r="U96" i="10"/>
  <c r="Q101" i="10"/>
  <c r="R103" i="10"/>
  <c r="T106" i="10"/>
  <c r="U108" i="10"/>
  <c r="Q113" i="10"/>
  <c r="Q4" i="10"/>
  <c r="S4" i="10" s="1"/>
  <c r="R6" i="10"/>
  <c r="T9" i="10"/>
  <c r="U11" i="10"/>
  <c r="Q16" i="10"/>
  <c r="R18" i="10"/>
  <c r="T21" i="10"/>
  <c r="U23" i="10"/>
  <c r="Q28" i="10"/>
  <c r="S28" i="10" s="1"/>
  <c r="R30" i="10"/>
  <c r="T33" i="10"/>
  <c r="U35" i="10"/>
  <c r="Q40" i="10"/>
  <c r="S40" i="10" s="1"/>
  <c r="V40" i="10" s="1"/>
  <c r="R42" i="10"/>
  <c r="T45" i="10"/>
  <c r="U47" i="10"/>
  <c r="Q52" i="10"/>
  <c r="R54" i="10"/>
  <c r="T57" i="10"/>
  <c r="U59" i="10"/>
  <c r="Q64" i="10"/>
  <c r="S64" i="10" s="1"/>
  <c r="R66" i="10"/>
  <c r="T69" i="10"/>
  <c r="U71" i="10"/>
  <c r="Q76" i="10"/>
  <c r="S76" i="10" s="1"/>
  <c r="V76" i="10" s="1"/>
  <c r="R78" i="10"/>
  <c r="T81" i="10"/>
  <c r="U83" i="10"/>
  <c r="Q88" i="10"/>
  <c r="R90" i="10"/>
  <c r="T93" i="10"/>
  <c r="U95" i="10"/>
  <c r="Q100" i="10"/>
  <c r="S100" i="10" s="1"/>
  <c r="R102" i="10"/>
  <c r="T105" i="10"/>
  <c r="U107" i="10"/>
  <c r="Q112" i="10"/>
  <c r="S112" i="10" s="1"/>
  <c r="V112" i="10" s="1"/>
  <c r="T8" i="10"/>
  <c r="U10" i="10"/>
  <c r="Q15" i="10"/>
  <c r="R17" i="10"/>
  <c r="T20" i="10"/>
  <c r="U22" i="10"/>
  <c r="Q27" i="10"/>
  <c r="R29" i="10"/>
  <c r="T32" i="10"/>
  <c r="U34" i="10"/>
  <c r="Q39" i="10"/>
  <c r="R41" i="10"/>
  <c r="T44" i="10"/>
  <c r="U46" i="10"/>
  <c r="Q51" i="10"/>
  <c r="R53" i="10"/>
  <c r="T56" i="10"/>
  <c r="U58" i="10"/>
  <c r="Q63" i="10"/>
  <c r="R65" i="10"/>
  <c r="T68" i="10"/>
  <c r="U70" i="10"/>
  <c r="Q75" i="10"/>
  <c r="R77" i="10"/>
  <c r="T80" i="10"/>
  <c r="U82" i="10"/>
  <c r="Q87" i="10"/>
  <c r="R89" i="10"/>
  <c r="T92" i="10"/>
  <c r="U94" i="10"/>
  <c r="Q99" i="10"/>
  <c r="R101" i="10"/>
  <c r="T104" i="10"/>
  <c r="U106" i="10"/>
  <c r="Q111" i="10"/>
  <c r="R113" i="10"/>
  <c r="U57" i="10"/>
  <c r="Q62" i="10"/>
  <c r="S62" i="10" s="1"/>
  <c r="V62" i="10" s="1"/>
  <c r="R64" i="10"/>
  <c r="T67" i="10"/>
  <c r="U69" i="10"/>
  <c r="Q74" i="10"/>
  <c r="R76" i="10"/>
  <c r="T79" i="10"/>
  <c r="U81" i="10"/>
  <c r="Q86" i="10"/>
  <c r="S86" i="10" s="1"/>
  <c r="R88" i="10"/>
  <c r="T91" i="10"/>
  <c r="U93" i="10"/>
  <c r="Q98" i="10"/>
  <c r="S98" i="10" s="1"/>
  <c r="V98" i="10" s="1"/>
  <c r="R100" i="10"/>
  <c r="T103" i="10"/>
  <c r="U105" i="10"/>
  <c r="Q110" i="10"/>
  <c r="R112" i="10"/>
  <c r="R27" i="10"/>
  <c r="T30" i="10"/>
  <c r="U32" i="10"/>
  <c r="Q37" i="10"/>
  <c r="R39" i="10"/>
  <c r="T42" i="10"/>
  <c r="U44" i="10"/>
  <c r="Q49" i="10"/>
  <c r="R51" i="10"/>
  <c r="T54" i="10"/>
  <c r="U56" i="10"/>
  <c r="Q61" i="10"/>
  <c r="R63" i="10"/>
  <c r="T66" i="10"/>
  <c r="U68" i="10"/>
  <c r="Q73" i="10"/>
  <c r="S73" i="10" s="1"/>
  <c r="V73" i="10" s="1"/>
  <c r="R75" i="10"/>
  <c r="T78" i="10"/>
  <c r="U80" i="10"/>
  <c r="Q85" i="10"/>
  <c r="R87" i="10"/>
  <c r="T90" i="10"/>
  <c r="U92" i="10"/>
  <c r="Q97" i="10"/>
  <c r="R99" i="10"/>
  <c r="T102" i="10"/>
  <c r="U104" i="10"/>
  <c r="Q109" i="10"/>
  <c r="S109" i="10" s="1"/>
  <c r="V109" i="10" s="1"/>
  <c r="R111" i="10"/>
  <c r="T41" i="10"/>
  <c r="U43" i="10"/>
  <c r="Q48" i="10"/>
  <c r="R50" i="10"/>
  <c r="T53" i="10"/>
  <c r="U55" i="10"/>
  <c r="Q60" i="10"/>
  <c r="S60" i="10" s="1"/>
  <c r="V60" i="10" s="1"/>
  <c r="R62" i="10"/>
  <c r="T65" i="10"/>
  <c r="U67" i="10"/>
  <c r="Q72" i="10"/>
  <c r="R74" i="10"/>
  <c r="T77" i="10"/>
  <c r="U79" i="10"/>
  <c r="Q84" i="10"/>
  <c r="R86" i="10"/>
  <c r="T89" i="10"/>
  <c r="U91" i="10"/>
  <c r="Q96" i="10"/>
  <c r="S96" i="10" s="1"/>
  <c r="V96" i="10" s="1"/>
  <c r="R98" i="10"/>
  <c r="T101" i="10"/>
  <c r="U103" i="10"/>
  <c r="Q108" i="10"/>
  <c r="R110" i="10"/>
  <c r="T113" i="10"/>
  <c r="R61" i="10"/>
  <c r="T64" i="10"/>
  <c r="U66" i="10"/>
  <c r="Q71" i="10"/>
  <c r="R73" i="10"/>
  <c r="T76" i="10"/>
  <c r="U78" i="10"/>
  <c r="Q83" i="10"/>
  <c r="R85" i="10"/>
  <c r="T88" i="10"/>
  <c r="U90" i="10"/>
  <c r="Q95" i="10"/>
  <c r="S95" i="10" s="1"/>
  <c r="R97" i="10"/>
  <c r="T100" i="10"/>
  <c r="U102" i="10"/>
  <c r="Q107" i="10"/>
  <c r="R109" i="10"/>
  <c r="T112" i="10"/>
  <c r="U53" i="10"/>
  <c r="Q58" i="10"/>
  <c r="R60" i="10"/>
  <c r="T63" i="10"/>
  <c r="U65" i="10"/>
  <c r="Q70" i="10"/>
  <c r="S70" i="10" s="1"/>
  <c r="V70" i="10" s="1"/>
  <c r="R72" i="10"/>
  <c r="T75" i="10"/>
  <c r="U77" i="10"/>
  <c r="Q82" i="10"/>
  <c r="R84" i="10"/>
  <c r="T87" i="10"/>
  <c r="U89" i="10"/>
  <c r="Q94" i="10"/>
  <c r="R96" i="10"/>
  <c r="T99" i="10"/>
  <c r="U101" i="10"/>
  <c r="Q106" i="10"/>
  <c r="S106" i="10" s="1"/>
  <c r="V106" i="10" s="1"/>
  <c r="R108" i="10"/>
  <c r="T111" i="10"/>
  <c r="U113" i="10"/>
  <c r="T51" i="10"/>
  <c r="U4" i="10"/>
  <c r="Q9" i="10"/>
  <c r="R11" i="10"/>
  <c r="T14" i="10"/>
  <c r="U16" i="10"/>
  <c r="Q21" i="10"/>
  <c r="S21" i="10" s="1"/>
  <c r="R23" i="10"/>
  <c r="T26" i="10"/>
  <c r="U28" i="10"/>
  <c r="Q33" i="10"/>
  <c r="R35" i="10"/>
  <c r="T38" i="10"/>
  <c r="U40" i="10"/>
  <c r="Q45" i="10"/>
  <c r="R47" i="10"/>
  <c r="T50" i="10"/>
  <c r="U52" i="10"/>
  <c r="Q57" i="10"/>
  <c r="S57" i="10" s="1"/>
  <c r="R59" i="10"/>
  <c r="T62" i="10"/>
  <c r="U64" i="10"/>
  <c r="Q69" i="10"/>
  <c r="R71" i="10"/>
  <c r="T74" i="10"/>
  <c r="U76" i="10"/>
  <c r="Q81" i="10"/>
  <c r="R83" i="10"/>
  <c r="T86" i="10"/>
  <c r="U88" i="10"/>
  <c r="Q93" i="10"/>
  <c r="S93" i="10" s="1"/>
  <c r="R95" i="10"/>
  <c r="T98" i="10"/>
  <c r="U100" i="10"/>
  <c r="Q105" i="10"/>
  <c r="R107" i="10"/>
  <c r="T110" i="10"/>
  <c r="U112" i="10"/>
  <c r="Q44" i="10"/>
  <c r="R46" i="10"/>
  <c r="T49" i="10"/>
  <c r="U51" i="10"/>
  <c r="Q56" i="10"/>
  <c r="R58" i="10"/>
  <c r="T61" i="10"/>
  <c r="U63" i="10"/>
  <c r="Q68" i="10"/>
  <c r="S68" i="10" s="1"/>
  <c r="R70" i="10"/>
  <c r="T73" i="10"/>
  <c r="U75" i="10"/>
  <c r="Q80" i="10"/>
  <c r="S80" i="10" s="1"/>
  <c r="R82" i="10"/>
  <c r="T85" i="10"/>
  <c r="U87" i="10"/>
  <c r="Q92" i="10"/>
  <c r="R94" i="10"/>
  <c r="T97" i="10"/>
  <c r="U99" i="10"/>
  <c r="Q104" i="10"/>
  <c r="S104" i="10" s="1"/>
  <c r="R106" i="10"/>
  <c r="T109" i="10"/>
  <c r="U111" i="10"/>
  <c r="V17" i="3" l="1"/>
  <c r="S10" i="3"/>
  <c r="V10" i="3" s="1"/>
  <c r="S5" i="3"/>
  <c r="V5" i="3" s="1"/>
  <c r="S9" i="3"/>
  <c r="V9" i="3" s="1"/>
  <c r="S2" i="3"/>
  <c r="V2" i="3" s="1"/>
  <c r="V18" i="3"/>
  <c r="S12" i="3"/>
  <c r="V12" i="3" s="1"/>
  <c r="S15" i="3"/>
  <c r="V15" i="3" s="1"/>
  <c r="S14" i="3"/>
  <c r="V14" i="3" s="1"/>
  <c r="S3" i="3"/>
  <c r="V3" i="3" s="1"/>
  <c r="S13" i="3"/>
  <c r="V13" i="3" s="1"/>
  <c r="S4" i="3"/>
  <c r="V4" i="3" s="1"/>
  <c r="S39" i="4"/>
  <c r="V39" i="4" s="1"/>
  <c r="S3" i="4"/>
  <c r="V3" i="4" s="1"/>
  <c r="V17" i="4"/>
  <c r="S32" i="4"/>
  <c r="V32" i="4" s="1"/>
  <c r="V35" i="4"/>
  <c r="S44" i="4"/>
  <c r="V44" i="4" s="1"/>
  <c r="S2" i="4"/>
  <c r="V2" i="4" s="1"/>
  <c r="S19" i="4"/>
  <c r="V19" i="4" s="1"/>
  <c r="S40" i="4"/>
  <c r="V40" i="4" s="1"/>
  <c r="S4" i="4"/>
  <c r="V4" i="4" s="1"/>
  <c r="S30" i="4"/>
  <c r="V30" i="4" s="1"/>
  <c r="S9" i="4"/>
  <c r="V9" i="4" s="1"/>
  <c r="S25" i="4"/>
  <c r="V25" i="4" s="1"/>
  <c r="S26" i="4"/>
  <c r="V26" i="4" s="1"/>
  <c r="S6" i="4"/>
  <c r="V6" i="4" s="1"/>
  <c r="V24" i="4"/>
  <c r="S27" i="4"/>
  <c r="V27" i="4" s="1"/>
  <c r="S41" i="4"/>
  <c r="V41" i="4" s="1"/>
  <c r="S5" i="4"/>
  <c r="V5" i="4" s="1"/>
  <c r="S20" i="4"/>
  <c r="V20" i="4" s="1"/>
  <c r="S23" i="4"/>
  <c r="V23" i="4" s="1"/>
  <c r="V10" i="4"/>
  <c r="S28" i="4"/>
  <c r="V28" i="4" s="1"/>
  <c r="S18" i="4"/>
  <c r="V18" i="4" s="1"/>
  <c r="S8" i="4"/>
  <c r="V8" i="4" s="1"/>
  <c r="S34" i="4"/>
  <c r="V34" i="4" s="1"/>
  <c r="V33" i="4"/>
  <c r="V13" i="4"/>
  <c r="S14" i="4"/>
  <c r="V14" i="4" s="1"/>
  <c r="V42" i="4"/>
  <c r="V22" i="4"/>
  <c r="S12" i="4"/>
  <c r="V12" i="4" s="1"/>
  <c r="S15" i="4"/>
  <c r="V15" i="4" s="1"/>
  <c r="S29" i="4"/>
  <c r="V29" i="4" s="1"/>
  <c r="S11" i="4"/>
  <c r="V11" i="4" s="1"/>
  <c r="S68" i="5"/>
  <c r="V68" i="5" s="1"/>
  <c r="S72" i="5"/>
  <c r="V72" i="5" s="1"/>
  <c r="S71" i="5"/>
  <c r="V71" i="5" s="1"/>
  <c r="V64" i="5"/>
  <c r="V59" i="5"/>
  <c r="V23" i="5"/>
  <c r="V48" i="5"/>
  <c r="V12" i="5"/>
  <c r="S39" i="5"/>
  <c r="V39" i="5" s="1"/>
  <c r="S41" i="5"/>
  <c r="V41" i="5" s="1"/>
  <c r="S66" i="5"/>
  <c r="V66" i="5" s="1"/>
  <c r="V3" i="5"/>
  <c r="S15" i="5"/>
  <c r="V15" i="5" s="1"/>
  <c r="S44" i="5"/>
  <c r="V44" i="5" s="1"/>
  <c r="V8" i="5"/>
  <c r="V19" i="5"/>
  <c r="S30" i="5"/>
  <c r="V30" i="5" s="1"/>
  <c r="S61" i="5"/>
  <c r="V61" i="5" s="1"/>
  <c r="S25" i="5"/>
  <c r="V25" i="5" s="1"/>
  <c r="V52" i="5"/>
  <c r="V16" i="5"/>
  <c r="S43" i="5"/>
  <c r="V43" i="5" s="1"/>
  <c r="S7" i="5"/>
  <c r="V7" i="5" s="1"/>
  <c r="S46" i="5"/>
  <c r="V46" i="5" s="1"/>
  <c r="S10" i="5"/>
  <c r="V10" i="5" s="1"/>
  <c r="S47" i="5"/>
  <c r="V47" i="5" s="1"/>
  <c r="V63" i="5"/>
  <c r="V27" i="5"/>
  <c r="V65" i="5"/>
  <c r="V29" i="5"/>
  <c r="V54" i="5"/>
  <c r="S21" i="5"/>
  <c r="V21" i="5" s="1"/>
  <c r="S13" i="5"/>
  <c r="V13" i="5" s="1"/>
  <c r="S33" i="5"/>
  <c r="V33" i="5" s="1"/>
  <c r="S32" i="5"/>
  <c r="V32" i="5" s="1"/>
  <c r="V55" i="5"/>
  <c r="S49" i="5"/>
  <c r="V49" i="5" s="1"/>
  <c r="S50" i="5"/>
  <c r="V50" i="5" s="1"/>
  <c r="S18" i="5"/>
  <c r="V18" i="5" s="1"/>
  <c r="S40" i="5"/>
  <c r="V40" i="5" s="1"/>
  <c r="S4" i="5"/>
  <c r="V4" i="5" s="1"/>
  <c r="S67" i="5"/>
  <c r="V67" i="5" s="1"/>
  <c r="S31" i="5"/>
  <c r="V31" i="5" s="1"/>
  <c r="S57" i="5"/>
  <c r="V57" i="5" s="1"/>
  <c r="V28" i="5"/>
  <c r="S14" i="5"/>
  <c r="V14" i="5" s="1"/>
  <c r="S34" i="5"/>
  <c r="V34" i="5" s="1"/>
  <c r="S2" i="5"/>
  <c r="V2" i="5" s="1"/>
  <c r="S35" i="5"/>
  <c r="V35" i="5" s="1"/>
  <c r="S60" i="5"/>
  <c r="V60" i="5" s="1"/>
  <c r="S24" i="5"/>
  <c r="V24" i="5" s="1"/>
  <c r="S51" i="5"/>
  <c r="V51" i="5" s="1"/>
  <c r="S6" i="5"/>
  <c r="V6" i="5" s="1"/>
  <c r="S5" i="5"/>
  <c r="V5" i="5" s="1"/>
  <c r="V53" i="5"/>
  <c r="V17" i="5"/>
  <c r="S9" i="5"/>
  <c r="V9" i="5" s="1"/>
  <c r="V48" i="6"/>
  <c r="V12" i="6"/>
  <c r="S50" i="6"/>
  <c r="V50" i="6" s="1"/>
  <c r="S14" i="6"/>
  <c r="V14" i="6" s="1"/>
  <c r="V64" i="6"/>
  <c r="V28" i="6"/>
  <c r="S8" i="6"/>
  <c r="V8" i="6" s="1"/>
  <c r="S61" i="6"/>
  <c r="V61" i="6" s="1"/>
  <c r="S25" i="6"/>
  <c r="V25" i="6" s="1"/>
  <c r="V21" i="6"/>
  <c r="S45" i="6"/>
  <c r="V45" i="6" s="1"/>
  <c r="S9" i="6"/>
  <c r="V9" i="6" s="1"/>
  <c r="S46" i="6"/>
  <c r="V46" i="6" s="1"/>
  <c r="S10" i="6"/>
  <c r="V10" i="6" s="1"/>
  <c r="S59" i="6"/>
  <c r="V59" i="6" s="1"/>
  <c r="S23" i="6"/>
  <c r="V23" i="6" s="1"/>
  <c r="V54" i="6"/>
  <c r="V18" i="6"/>
  <c r="S32" i="6"/>
  <c r="V32" i="6" s="1"/>
  <c r="V39" i="6"/>
  <c r="S2" i="6"/>
  <c r="V2" i="6" s="1"/>
  <c r="S37" i="6"/>
  <c r="V37" i="6" s="1"/>
  <c r="V57" i="6"/>
  <c r="V35" i="6"/>
  <c r="S67" i="6"/>
  <c r="V67" i="6" s="1"/>
  <c r="S31" i="6"/>
  <c r="V31" i="6" s="1"/>
  <c r="V36" i="6"/>
  <c r="S38" i="6"/>
  <c r="V38" i="6" s="1"/>
  <c r="V3" i="6"/>
  <c r="S52" i="6"/>
  <c r="V52" i="6" s="1"/>
  <c r="S17" i="6"/>
  <c r="V17" i="6" s="1"/>
  <c r="S53" i="6"/>
  <c r="V53" i="6" s="1"/>
  <c r="S49" i="6"/>
  <c r="V49" i="6" s="1"/>
  <c r="S13" i="6"/>
  <c r="V13" i="6" s="1"/>
  <c r="S16" i="6"/>
  <c r="V16" i="6" s="1"/>
  <c r="S33" i="6"/>
  <c r="V33" i="6" s="1"/>
  <c r="S34" i="6"/>
  <c r="V34" i="6" s="1"/>
  <c r="S6" i="6"/>
  <c r="V6" i="6" s="1"/>
  <c r="S56" i="6"/>
  <c r="V56" i="6" s="1"/>
  <c r="S20" i="6"/>
  <c r="V20" i="6" s="1"/>
  <c r="S63" i="6"/>
  <c r="V63" i="6" s="1"/>
  <c r="S27" i="6"/>
  <c r="V27" i="6" s="1"/>
  <c r="S55" i="6"/>
  <c r="V55" i="6" s="1"/>
  <c r="S19" i="6"/>
  <c r="V19" i="6" s="1"/>
  <c r="S60" i="6"/>
  <c r="V60" i="6" s="1"/>
  <c r="S24" i="6"/>
  <c r="V24" i="6" s="1"/>
  <c r="V62" i="6"/>
  <c r="V26" i="6"/>
  <c r="S41" i="6"/>
  <c r="V41" i="6" s="1"/>
  <c r="S40" i="6"/>
  <c r="V40" i="6" s="1"/>
  <c r="S5" i="6"/>
  <c r="V5" i="6" s="1"/>
  <c r="S51" i="7"/>
  <c r="V51" i="7" s="1"/>
  <c r="S72" i="7"/>
  <c r="V72" i="7" s="1"/>
  <c r="S40" i="7"/>
  <c r="V40" i="7" s="1"/>
  <c r="S76" i="7"/>
  <c r="V76" i="7" s="1"/>
  <c r="S46" i="7"/>
  <c r="V46" i="7" s="1"/>
  <c r="S45" i="7"/>
  <c r="V45" i="7" s="1"/>
  <c r="S81" i="7"/>
  <c r="V81" i="7" s="1"/>
  <c r="S55" i="7"/>
  <c r="V55" i="7" s="1"/>
  <c r="S65" i="7"/>
  <c r="V65" i="7" s="1"/>
  <c r="V54" i="7"/>
  <c r="S62" i="7"/>
  <c r="V62" i="7" s="1"/>
  <c r="V48" i="7"/>
  <c r="S84" i="7"/>
  <c r="V84" i="7" s="1"/>
  <c r="S87" i="7"/>
  <c r="V87" i="7" s="1"/>
  <c r="V52" i="7"/>
  <c r="V88" i="7"/>
  <c r="V58" i="7"/>
  <c r="S57" i="7"/>
  <c r="V57" i="7" s="1"/>
  <c r="S67" i="7"/>
  <c r="V67" i="7" s="1"/>
  <c r="S41" i="7"/>
  <c r="V41" i="7" s="1"/>
  <c r="V77" i="7"/>
  <c r="V42" i="7"/>
  <c r="V73" i="7"/>
  <c r="S71" i="7"/>
  <c r="V71" i="7" s="1"/>
  <c r="S80" i="7"/>
  <c r="V80" i="7" s="1"/>
  <c r="V75" i="7"/>
  <c r="S66" i="7"/>
  <c r="V66" i="7" s="1"/>
  <c r="V49" i="7"/>
  <c r="S39" i="7"/>
  <c r="V39" i="7" s="1"/>
  <c r="S74" i="7"/>
  <c r="V74" i="7" s="1"/>
  <c r="S60" i="7"/>
  <c r="V60" i="7" s="1"/>
  <c r="S44" i="7"/>
  <c r="V44" i="7" s="1"/>
  <c r="V24" i="7"/>
  <c r="V37" i="7"/>
  <c r="V5" i="7"/>
  <c r="S34" i="7"/>
  <c r="V34" i="7" s="1"/>
  <c r="V20" i="7"/>
  <c r="V18" i="7"/>
  <c r="S19" i="7"/>
  <c r="V19" i="7" s="1"/>
  <c r="S35" i="7"/>
  <c r="V35" i="7" s="1"/>
  <c r="S3" i="7"/>
  <c r="V3" i="7" s="1"/>
  <c r="V14" i="7"/>
  <c r="S38" i="7"/>
  <c r="V38" i="7" s="1"/>
  <c r="S33" i="7"/>
  <c r="V33" i="7" s="1"/>
  <c r="S13" i="7"/>
  <c r="V13" i="7" s="1"/>
  <c r="S12" i="7"/>
  <c r="V12" i="7" s="1"/>
  <c r="V2" i="7"/>
  <c r="S16" i="7"/>
  <c r="V16" i="7" s="1"/>
  <c r="S15" i="7"/>
  <c r="V15" i="7" s="1"/>
  <c r="S17" i="7"/>
  <c r="V17" i="7" s="1"/>
  <c r="S32" i="7"/>
  <c r="V32" i="7" s="1"/>
  <c r="V30" i="7"/>
  <c r="V31" i="7"/>
  <c r="S11" i="7"/>
  <c r="V11" i="7" s="1"/>
  <c r="V29" i="7"/>
  <c r="S22" i="7"/>
  <c r="V22" i="7" s="1"/>
  <c r="S4" i="7"/>
  <c r="V4" i="7" s="1"/>
  <c r="S38" i="8"/>
  <c r="V38" i="8" s="1"/>
  <c r="V27" i="8"/>
  <c r="S7" i="8"/>
  <c r="V7" i="8" s="1"/>
  <c r="S32" i="8"/>
  <c r="V32" i="8" s="1"/>
  <c r="V36" i="8"/>
  <c r="V5" i="8"/>
  <c r="S26" i="8"/>
  <c r="V26" i="8" s="1"/>
  <c r="S15" i="8"/>
  <c r="V15" i="8" s="1"/>
  <c r="S30" i="8"/>
  <c r="V30" i="8" s="1"/>
  <c r="S31" i="8"/>
  <c r="V31" i="8" s="1"/>
  <c r="S33" i="8"/>
  <c r="V33" i="8" s="1"/>
  <c r="S8" i="8"/>
  <c r="V8" i="8" s="1"/>
  <c r="V10" i="8"/>
  <c r="S11" i="8"/>
  <c r="V11" i="8" s="1"/>
  <c r="S16" i="8"/>
  <c r="V16" i="8" s="1"/>
  <c r="V37" i="8"/>
  <c r="S29" i="8"/>
  <c r="V29" i="8" s="1"/>
  <c r="V22" i="8"/>
  <c r="S3" i="8"/>
  <c r="V3" i="8" s="1"/>
  <c r="S18" i="8"/>
  <c r="V18" i="8" s="1"/>
  <c r="S19" i="8"/>
  <c r="V19" i="8" s="1"/>
  <c r="S9" i="8"/>
  <c r="V9" i="8" s="1"/>
  <c r="S34" i="8"/>
  <c r="V34" i="8" s="1"/>
  <c r="S35" i="8"/>
  <c r="V35" i="8" s="1"/>
  <c r="S4" i="8"/>
  <c r="V4" i="8" s="1"/>
  <c r="S2" i="8"/>
  <c r="V2" i="8" s="1"/>
  <c r="S59" i="9"/>
  <c r="V59" i="9" s="1"/>
  <c r="S45" i="9"/>
  <c r="V45" i="9" s="1"/>
  <c r="V37" i="9"/>
  <c r="V64" i="9"/>
  <c r="S31" i="9"/>
  <c r="V31" i="9" s="1"/>
  <c r="V74" i="9"/>
  <c r="V41" i="9"/>
  <c r="V28" i="9"/>
  <c r="S33" i="9"/>
  <c r="V33" i="9" s="1"/>
  <c r="V17" i="9"/>
  <c r="V69" i="9"/>
  <c r="S61" i="9"/>
  <c r="V61" i="9" s="1"/>
  <c r="V3" i="9"/>
  <c r="V4" i="9"/>
  <c r="S46" i="9"/>
  <c r="V46" i="9" s="1"/>
  <c r="S10" i="9"/>
  <c r="V10" i="9" s="1"/>
  <c r="S30" i="9"/>
  <c r="V30" i="9" s="1"/>
  <c r="S24" i="9"/>
  <c r="V24" i="9" s="1"/>
  <c r="S60" i="9"/>
  <c r="V60" i="9" s="1"/>
  <c r="S15" i="9"/>
  <c r="V15" i="9" s="1"/>
  <c r="V66" i="9"/>
  <c r="S56" i="9"/>
  <c r="V56" i="9" s="1"/>
  <c r="S26" i="9"/>
  <c r="V26" i="9" s="1"/>
  <c r="V47" i="9"/>
  <c r="S62" i="9"/>
  <c r="V62" i="9" s="1"/>
  <c r="V55" i="9"/>
  <c r="S79" i="9"/>
  <c r="V79" i="9" s="1"/>
  <c r="S52" i="9"/>
  <c r="V52" i="9" s="1"/>
  <c r="S11" i="9"/>
  <c r="V11" i="9" s="1"/>
  <c r="S44" i="9"/>
  <c r="V44" i="9" s="1"/>
  <c r="S36" i="9"/>
  <c r="V36" i="9" s="1"/>
  <c r="S50" i="9"/>
  <c r="V50" i="9" s="1"/>
  <c r="S25" i="9"/>
  <c r="V25" i="9" s="1"/>
  <c r="V70" i="9"/>
  <c r="S34" i="9"/>
  <c r="V34" i="9" s="1"/>
  <c r="V8" i="9"/>
  <c r="S51" i="9"/>
  <c r="V51" i="9" s="1"/>
  <c r="S77" i="9"/>
  <c r="V77" i="9" s="1"/>
  <c r="S76" i="9"/>
  <c r="V76" i="9" s="1"/>
  <c r="S42" i="9"/>
  <c r="V42" i="9" s="1"/>
  <c r="S48" i="9"/>
  <c r="V48" i="9" s="1"/>
  <c r="S78" i="9"/>
  <c r="V78" i="9" s="1"/>
  <c r="S27" i="9"/>
  <c r="V27" i="9" s="1"/>
  <c r="S20" i="9"/>
  <c r="V20" i="9" s="1"/>
  <c r="S68" i="9"/>
  <c r="V68" i="9" s="1"/>
  <c r="S57" i="9"/>
  <c r="V57" i="9" s="1"/>
  <c r="S18" i="9"/>
  <c r="V18" i="9" s="1"/>
  <c r="S38" i="9"/>
  <c r="V38" i="9" s="1"/>
  <c r="V5" i="9"/>
  <c r="S6" i="9"/>
  <c r="V6" i="9" s="1"/>
  <c r="S115" i="10"/>
  <c r="V115" i="10" s="1"/>
  <c r="S120" i="10"/>
  <c r="V120" i="10" s="1"/>
  <c r="S118" i="10"/>
  <c r="V118" i="10" s="1"/>
  <c r="S117" i="10"/>
  <c r="V117" i="10" s="1"/>
  <c r="V95" i="10"/>
  <c r="V90" i="10"/>
  <c r="S92" i="10"/>
  <c r="V92" i="10" s="1"/>
  <c r="S56" i="10"/>
  <c r="V56" i="10" s="1"/>
  <c r="V93" i="10"/>
  <c r="V57" i="10"/>
  <c r="V21" i="10"/>
  <c r="S108" i="10"/>
  <c r="V108" i="10" s="1"/>
  <c r="S72" i="10"/>
  <c r="V72" i="10" s="1"/>
  <c r="S37" i="10"/>
  <c r="V37" i="10" s="1"/>
  <c r="S111" i="10"/>
  <c r="V111" i="10" s="1"/>
  <c r="S75" i="10"/>
  <c r="V75" i="10" s="1"/>
  <c r="S39" i="10"/>
  <c r="V39" i="10" s="1"/>
  <c r="S113" i="10"/>
  <c r="V113" i="10" s="1"/>
  <c r="S77" i="10"/>
  <c r="V77" i="10" s="1"/>
  <c r="S41" i="10"/>
  <c r="V41" i="10" s="1"/>
  <c r="S42" i="10"/>
  <c r="V42" i="10" s="1"/>
  <c r="V86" i="10"/>
  <c r="S5" i="10"/>
  <c r="V5" i="10" s="1"/>
  <c r="S22" i="10"/>
  <c r="V22" i="10" s="1"/>
  <c r="S13" i="10"/>
  <c r="V13" i="10" s="1"/>
  <c r="V19" i="10"/>
  <c r="S94" i="10"/>
  <c r="V94" i="10" s="1"/>
  <c r="S58" i="10"/>
  <c r="V58" i="10" s="1"/>
  <c r="S83" i="10"/>
  <c r="V83" i="10" s="1"/>
  <c r="V32" i="10"/>
  <c r="V12" i="10"/>
  <c r="V100" i="10"/>
  <c r="V64" i="10"/>
  <c r="V28" i="10"/>
  <c r="S78" i="10"/>
  <c r="V78" i="10" s="1"/>
  <c r="S103" i="10"/>
  <c r="V103" i="10" s="1"/>
  <c r="S67" i="10"/>
  <c r="V67" i="10" s="1"/>
  <c r="V25" i="10"/>
  <c r="S20" i="10"/>
  <c r="V20" i="10" s="1"/>
  <c r="V10" i="10"/>
  <c r="V80" i="10"/>
  <c r="S44" i="10"/>
  <c r="V44" i="10" s="1"/>
  <c r="S81" i="10"/>
  <c r="V81" i="10" s="1"/>
  <c r="S45" i="10"/>
  <c r="V45" i="10" s="1"/>
  <c r="S9" i="10"/>
  <c r="V9" i="10" s="1"/>
  <c r="S97" i="10"/>
  <c r="V97" i="10" s="1"/>
  <c r="S61" i="10"/>
  <c r="V61" i="10" s="1"/>
  <c r="S99" i="10"/>
  <c r="V99" i="10" s="1"/>
  <c r="S63" i="10"/>
  <c r="V63" i="10" s="1"/>
  <c r="S27" i="10"/>
  <c r="V27" i="10" s="1"/>
  <c r="S101" i="10"/>
  <c r="V101" i="10" s="1"/>
  <c r="S65" i="10"/>
  <c r="V65" i="10" s="1"/>
  <c r="V35" i="10"/>
  <c r="S46" i="10"/>
  <c r="V46" i="10" s="1"/>
  <c r="S59" i="10"/>
  <c r="V59" i="10" s="1"/>
  <c r="S110" i="10"/>
  <c r="V110" i="10" s="1"/>
  <c r="S74" i="10"/>
  <c r="V74" i="10" s="1"/>
  <c r="V50" i="10"/>
  <c r="V36" i="10"/>
  <c r="V4" i="10"/>
  <c r="S82" i="10"/>
  <c r="V82" i="10" s="1"/>
  <c r="S107" i="10"/>
  <c r="V107" i="10" s="1"/>
  <c r="S71" i="10"/>
  <c r="V71" i="10" s="1"/>
  <c r="V8" i="10"/>
  <c r="S38" i="10"/>
  <c r="V38" i="10" s="1"/>
  <c r="S43" i="10"/>
  <c r="V43" i="10" s="1"/>
  <c r="V54" i="10"/>
  <c r="S79" i="10"/>
  <c r="V79" i="10" s="1"/>
  <c r="S26" i="10"/>
  <c r="V26" i="10" s="1"/>
  <c r="S88" i="10"/>
  <c r="V88" i="10" s="1"/>
  <c r="S52" i="10"/>
  <c r="V52" i="10" s="1"/>
  <c r="S16" i="10"/>
  <c r="V16" i="10" s="1"/>
  <c r="S102" i="10"/>
  <c r="V102" i="10" s="1"/>
  <c r="S66" i="10"/>
  <c r="V66" i="10" s="1"/>
  <c r="S91" i="10"/>
  <c r="V91" i="10" s="1"/>
  <c r="S55" i="10"/>
  <c r="V55" i="10" s="1"/>
  <c r="S14" i="10"/>
  <c r="V14" i="10" s="1"/>
  <c r="S34" i="10"/>
  <c r="V34" i="10" s="1"/>
  <c r="S24" i="10"/>
  <c r="V24" i="10" s="1"/>
  <c r="S47" i="10"/>
  <c r="V47" i="10" s="1"/>
  <c r="V17" i="10"/>
  <c r="V104" i="10"/>
  <c r="V68" i="10"/>
  <c r="S105" i="10"/>
  <c r="V105" i="10" s="1"/>
  <c r="S69" i="10"/>
  <c r="V69" i="10" s="1"/>
  <c r="S33" i="10"/>
  <c r="V33" i="10" s="1"/>
  <c r="S84" i="10"/>
  <c r="V84" i="10" s="1"/>
  <c r="S48" i="10"/>
  <c r="V48" i="10" s="1"/>
  <c r="S85" i="10"/>
  <c r="V85" i="10" s="1"/>
  <c r="S49" i="10"/>
  <c r="V49" i="10" s="1"/>
  <c r="S87" i="10"/>
  <c r="V87" i="10" s="1"/>
  <c r="S51" i="10"/>
  <c r="V51" i="10" s="1"/>
  <c r="S15" i="10"/>
  <c r="V15" i="10" s="1"/>
  <c r="S89" i="10"/>
  <c r="V89" i="10" s="1"/>
  <c r="S53" i="10"/>
  <c r="V53" i="10" s="1"/>
  <c r="S18" i="10"/>
  <c r="V18" i="10" s="1"/>
  <c r="S6" i="10"/>
  <c r="V6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DC06CF-37FD-144F-8F0C-E6C5EC7A78D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CC638AEC-6B0B-6844-AF24-95D192F0E495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D5E207AA-BE66-4E48-8153-27BDBABA9FA3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B2BD1EE8-E6C9-8348-9FAC-137B1AAC914C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90D9F0B3-E120-D84A-ABCB-7C52BD99FF20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FDC995F4-DC56-F848-88CF-2F7DC9831381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7D5DBC3B-7B43-FD4D-BD18-4BBA4BC16EAA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8" xr16:uid="{71F85416-4BA8-6F41-B0A8-D99E8658FB81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<sst xmlns="http://schemas.openxmlformats.org/spreadsheetml/2006/main" count="191" uniqueCount="30">
  <si>
    <t>Velocity (m/s)</t>
  </si>
  <si>
    <t>Q_steady (W)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</si>
  <si>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</si>
  <si>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</si>
  <si>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</si>
  <si>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</si>
  <si>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</si>
  <si>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</si>
  <si>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</si>
  <si>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</si>
  <si>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</si>
  <si>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</si>
  <si>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</si>
  <si>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</si>
  <si>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</si>
  <si>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</si>
  <si>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</si>
  <si>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44660.8530364585</t>
  </si>
  <si>
    <t>44660.8476828705</t>
  </si>
  <si>
    <t>44660.8402332178</t>
  </si>
  <si>
    <t>44660.8211342594</t>
  </si>
  <si>
    <t>44660.8127766205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</si>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</sst>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0B9C37-B450-C942-B546-7B03968A745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667C13-F585-D14E-AE2D-61731F0628B2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C73E31-555C-0840-A41C-6CAB15DF5D5A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0A08D82-C440-1148-ABDA-9F97D0C61C7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D4EE19A-36B7-344A-AB26-817CBAA9570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329A247-D2F6-F94C-BBBF-DE4BB7A7E016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E2BE462-F474-B84A-87F5-5798A8EAD0E9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6F5F684-7831-134A-B84B-7BA11F12C07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CD34E-D8B2-E040-98FA-6A7D776ED06A}" name="sheet1" displayName="sheet1" ref="A1:O18" tableType="queryTable" totalsRowShown="0">
  <autoFilter ref="A1:O18" xr:uid="{AF9CD34E-D8B2-E040-98FA-6A7D776ED06A}"/>
  <tableColumns count="15">
    <tableColumn id="1" xr3:uid="{D8ABA491-99BE-BB4D-8536-8736E6846C1C}" uniqueName="1" name="Time" queryTableFieldId="1"/>
    <tableColumn id="2" xr3:uid="{C3873F5E-C993-0449-BB33-EC5B5E50B413}" uniqueName="2" name="T1" queryTableFieldId="2"/>
    <tableColumn id="3" xr3:uid="{E4DE8BAC-ADE8-BA41-9514-6D6156AD3691}" uniqueName="3" name="T2" queryTableFieldId="3"/>
    <tableColumn id="4" xr3:uid="{3332E48E-89F2-8146-BAE9-0FD896A88D5C}" uniqueName="4" name="T3" queryTableFieldId="4"/>
    <tableColumn id="5" xr3:uid="{547EDBB4-BD76-954F-B1B3-F6893DD99C44}" uniqueName="5" name="T4" queryTableFieldId="5"/>
    <tableColumn id="6" xr3:uid="{5D836894-CD91-7546-9953-B0A55D7FFF75}" uniqueName="6" name="T5" queryTableFieldId="6"/>
    <tableColumn id="7" xr3:uid="{C86657A6-ABCA-7341-8976-C828B7CC8613}" uniqueName="7" name="T6" queryTableFieldId="7"/>
    <tableColumn id="8" xr3:uid="{5FD3DC37-A718-744C-A3CE-8625E59A6CC7}" uniqueName="8" name="T7" queryTableFieldId="8"/>
    <tableColumn id="9" xr3:uid="{21B74B50-7D98-B940-80DB-A60E964753E4}" uniqueName="9" name="T8" queryTableFieldId="9"/>
    <tableColumn id="10" xr3:uid="{1D765814-5C09-4848-B2B0-2D1F06D7F9F2}" uniqueName="10" name="RTD_IN" queryTableFieldId="10"/>
    <tableColumn id="11" xr3:uid="{D25A4CB0-1A00-0440-B3BB-7A6B5134E267}" uniqueName="11" name="RTD_OUT" queryTableFieldId="11"/>
    <tableColumn id="12" xr3:uid="{DE7BE721-031A-7E4B-97D9-D78F38D186FA}" uniqueName="12" name="DPT_TS" queryTableFieldId="12"/>
    <tableColumn id="13" xr3:uid="{987645FC-EC57-5441-8593-770678F5EC67}" uniqueName="13" name="DPT_nozzle" queryTableFieldId="13"/>
    <tableColumn id="14" xr3:uid="{22312678-6E40-9C47-B42F-96A885FE1B90}" uniqueName="14" name="Flow_gps" queryTableFieldId="14"/>
    <tableColumn id="15" xr3:uid="{A477C497-A71A-9D4F-8667-3C35BB946ECF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5A568-A26A-0846-9448-C6A0383A8519}" name="sheet1__2" displayName="sheet1__2" ref="A1:O44" tableType="queryTable" totalsRowShown="0">
  <autoFilter ref="A1:O44" xr:uid="{A795A568-A26A-0846-9448-C6A0383A8519}"/>
  <tableColumns count="15">
    <tableColumn id="1" xr3:uid="{1F975F9E-EF37-D546-9BCA-9BA569730BED}" uniqueName="1" name="Time" queryTableFieldId="1"/>
    <tableColumn id="2" xr3:uid="{64306C47-BD76-3541-8E36-40228AF1720D}" uniqueName="2" name="T1" queryTableFieldId="2"/>
    <tableColumn id="3" xr3:uid="{8A847DF7-DF9E-F542-B35F-D8015A1AFC88}" uniqueName="3" name="T2" queryTableFieldId="3"/>
    <tableColumn id="4" xr3:uid="{4E7578F4-01AD-794A-B30F-FC28BA898E68}" uniqueName="4" name="T3" queryTableFieldId="4"/>
    <tableColumn id="5" xr3:uid="{C058890D-F94D-F044-AB99-EE8654307105}" uniqueName="5" name="T4" queryTableFieldId="5"/>
    <tableColumn id="6" xr3:uid="{0F23B5CE-5488-DB48-9256-2D022CDFAD3F}" uniqueName="6" name="T5" queryTableFieldId="6"/>
    <tableColumn id="7" xr3:uid="{7EB27198-2033-8E4F-BF48-67E3DE495656}" uniqueName="7" name="T6" queryTableFieldId="7"/>
    <tableColumn id="8" xr3:uid="{B1A0A5C7-D617-194C-9ED4-0AFABD722C92}" uniqueName="8" name="T7" queryTableFieldId="8"/>
    <tableColumn id="9" xr3:uid="{29F3F062-B6F8-4643-B8D9-2D6C7874FB5D}" uniqueName="9" name="T8" queryTableFieldId="9"/>
    <tableColumn id="10" xr3:uid="{99E16E44-9D69-2948-BAC2-949D75A14672}" uniqueName="10" name="RTD_IN" queryTableFieldId="10"/>
    <tableColumn id="11" xr3:uid="{59A9C149-1BF2-6146-819A-62BA2AAC130A}" uniqueName="11" name="RTD_OUT" queryTableFieldId="11"/>
    <tableColumn id="12" xr3:uid="{DFB32656-9C5E-DD49-9BA7-6A06BD159794}" uniqueName="12" name="DPT_TS" queryTableFieldId="12"/>
    <tableColumn id="13" xr3:uid="{89EBD68E-EF6D-9D49-A474-47DF2F30E2D7}" uniqueName="13" name="DPT_nozzle" queryTableFieldId="13"/>
    <tableColumn id="14" xr3:uid="{4443AD01-09D7-BF4E-BC3C-53CD35D72674}" uniqueName="14" name="Flow_gps" queryTableFieldId="14"/>
    <tableColumn id="15" xr3:uid="{41676E08-9D7E-1045-B9F6-9270EC3DF58C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1F1215-83BE-0A4F-916E-859C80FCC4F7}" name="sheet1__3" displayName="sheet1__3" ref="A1:O72" tableType="queryTable" totalsRowShown="0">
  <autoFilter ref="A1:O72" xr:uid="{B41F1215-83BE-0A4F-916E-859C80FCC4F7}"/>
  <tableColumns count="15">
    <tableColumn id="1" xr3:uid="{90F0E3FC-1D02-F844-84B0-B6E254280397}" uniqueName="1" name="Time" queryTableFieldId="1"/>
    <tableColumn id="2" xr3:uid="{FFE5E710-0A39-9D4A-A6B8-DF977723AEE5}" uniqueName="2" name="T1" queryTableFieldId="2"/>
    <tableColumn id="3" xr3:uid="{E187190C-ABE1-3549-B70E-97AD80F3945B}" uniqueName="3" name="T2" queryTableFieldId="3"/>
    <tableColumn id="4" xr3:uid="{4A4B6CF7-21AE-ED4C-984D-830B5FF35F84}" uniqueName="4" name="T3" queryTableFieldId="4"/>
    <tableColumn id="5" xr3:uid="{00C9B37E-2B53-D74F-866B-9542F7416405}" uniqueName="5" name="T4" queryTableFieldId="5"/>
    <tableColumn id="6" xr3:uid="{C3C3B212-67ED-994D-BCD4-0CF59FEAD6B4}" uniqueName="6" name="T5" queryTableFieldId="6"/>
    <tableColumn id="7" xr3:uid="{1F96BD67-1249-524C-B7FE-2178932EA741}" uniqueName="7" name="T6" queryTableFieldId="7"/>
    <tableColumn id="8" xr3:uid="{14F3C81E-F972-0747-9A71-9FA198ABD43D}" uniqueName="8" name="T7" queryTableFieldId="8"/>
    <tableColumn id="9" xr3:uid="{E927BEF7-A1A9-DC4B-B797-B5D6B3F0B4A9}" uniqueName="9" name="T8" queryTableFieldId="9"/>
    <tableColumn id="10" xr3:uid="{968C2CA0-8057-8C41-A2CA-52D65A04AC24}" uniqueName="10" name="RTD_IN" queryTableFieldId="10"/>
    <tableColumn id="11" xr3:uid="{05AABC00-D2F3-124B-8780-D7BC81B652BE}" uniqueName="11" name="RTD_OUT" queryTableFieldId="11"/>
    <tableColumn id="12" xr3:uid="{AE8E7A99-46E0-FE43-BF67-97D990E995F8}" uniqueName="12" name="DPT_TS" queryTableFieldId="12"/>
    <tableColumn id="13" xr3:uid="{DD57EB79-4FF4-EE4A-97D3-F565AE73E1CC}" uniqueName="13" name="DPT_nozzle" queryTableFieldId="13"/>
    <tableColumn id="14" xr3:uid="{33934417-57A1-964D-AB3B-31867E6EBEEB}" uniqueName="14" name="Flow_gps" queryTableFieldId="14"/>
    <tableColumn id="15" xr3:uid="{A2F9EDCB-0883-8D45-B0A5-1A6E9BD3517E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378D5F-D6F2-484C-B379-E14F57DD3593}" name="sheet1__4" displayName="sheet1__4" ref="A1:O67" tableType="queryTable" totalsRowShown="0">
  <autoFilter ref="A1:O67" xr:uid="{B9378D5F-D6F2-484C-B379-E14F57DD3593}"/>
  <tableColumns count="15">
    <tableColumn id="1" xr3:uid="{1F0516A7-680B-1342-91F2-03FD53AB51A9}" uniqueName="1" name="Time" queryTableFieldId="1"/>
    <tableColumn id="2" xr3:uid="{B2CFAA13-4D5A-DD43-B24A-7A90993B3AEB}" uniqueName="2" name="T1" queryTableFieldId="2"/>
    <tableColumn id="3" xr3:uid="{6F8D5CE6-1CE7-7E45-8326-5E5E90507F16}" uniqueName="3" name="T2" queryTableFieldId="3"/>
    <tableColumn id="4" xr3:uid="{6A17EDE9-9D38-A843-A4FA-C86C26C60A98}" uniqueName="4" name="T3" queryTableFieldId="4"/>
    <tableColumn id="5" xr3:uid="{099F9AE0-2780-AA4E-93F7-9FCF6091DF5E}" uniqueName="5" name="T4" queryTableFieldId="5"/>
    <tableColumn id="6" xr3:uid="{D6DE8582-E0BC-AC40-8AAC-F727667FF40B}" uniqueName="6" name="T5" queryTableFieldId="6"/>
    <tableColumn id="7" xr3:uid="{FDA50504-68CD-C748-8DC5-5B4C7587CD4F}" uniqueName="7" name="T6" queryTableFieldId="7"/>
    <tableColumn id="8" xr3:uid="{D6983138-7C41-D040-B440-BE589448490D}" uniqueName="8" name="T7" queryTableFieldId="8"/>
    <tableColumn id="9" xr3:uid="{2288611A-3792-4142-8B64-269EE6002D3F}" uniqueName="9" name="T8" queryTableFieldId="9"/>
    <tableColumn id="10" xr3:uid="{B105C4C2-A2F7-EB4B-8D3E-033DE95515B6}" uniqueName="10" name="RTD_IN" queryTableFieldId="10"/>
    <tableColumn id="11" xr3:uid="{66E3CACB-3E78-6E4C-91B1-7415DA5E0CBC}" uniqueName="11" name="RTD_OUT" queryTableFieldId="11"/>
    <tableColumn id="12" xr3:uid="{34522E6E-C94A-174C-9B98-A068355EC7FD}" uniqueName="12" name="DPT_TS" queryTableFieldId="12"/>
    <tableColumn id="13" xr3:uid="{E7C3B42E-B92E-8B41-B12F-870823713937}" uniqueName="13" name="DPT_nozzle" queryTableFieldId="13"/>
    <tableColumn id="14" xr3:uid="{82E51506-3D77-2A4C-85E5-2C3BDCAA2048}" uniqueName="14" name="Flow_gps" queryTableFieldId="14"/>
    <tableColumn id="15" xr3:uid="{3BBC35B5-7D74-1B43-89B6-7E60ADE54A64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27E5D7-18F7-3F4A-B795-0F36893DEB79}" name="sheet1__5" displayName="sheet1__5" ref="A1:O88" tableType="queryTable" totalsRowShown="0">
  <autoFilter ref="A1:O88" xr:uid="{4D27E5D7-18F7-3F4A-B795-0F36893DEB79}"/>
  <tableColumns count="15">
    <tableColumn id="1" xr3:uid="{BBD924F8-FF01-D34D-B847-C27F27691107}" uniqueName="1" name="Time" queryTableFieldId="1"/>
    <tableColumn id="2" xr3:uid="{6C532770-0F34-2A4A-91EF-9429A9B9206B}" uniqueName="2" name="T1" queryTableFieldId="2"/>
    <tableColumn id="3" xr3:uid="{BB2407DB-63D1-F546-9BB0-8A386D233949}" uniqueName="3" name="T2" queryTableFieldId="3"/>
    <tableColumn id="4" xr3:uid="{40C2BC96-8097-8247-B9FB-FEE52EBD5134}" uniqueName="4" name="T3" queryTableFieldId="4"/>
    <tableColumn id="5" xr3:uid="{A1BBECC6-B121-5F42-9866-DF0CA3A3190B}" uniqueName="5" name="T4" queryTableFieldId="5"/>
    <tableColumn id="6" xr3:uid="{6E116AD1-1ED9-BD44-88B4-AA2B6EF2AAA6}" uniqueName="6" name="T5" queryTableFieldId="6"/>
    <tableColumn id="7" xr3:uid="{0A89FA3B-9242-E34A-86CC-5F1E87B50123}" uniqueName="7" name="T6" queryTableFieldId="7"/>
    <tableColumn id="8" xr3:uid="{22A5770E-EB7F-EB4A-AEBE-8400FB0E2D51}" uniqueName="8" name="T7" queryTableFieldId="8"/>
    <tableColumn id="9" xr3:uid="{754D88C5-9A86-5141-AAD1-0EFF5F52D4A7}" uniqueName="9" name="T8" queryTableFieldId="9"/>
    <tableColumn id="10" xr3:uid="{C493EFF4-D798-4848-B8FA-97527012919E}" uniqueName="10" name="RTD_IN" queryTableFieldId="10"/>
    <tableColumn id="11" xr3:uid="{9A338161-0021-E349-AB0F-FEA098BD3475}" uniqueName="11" name="RTD_OUT" queryTableFieldId="11"/>
    <tableColumn id="12" xr3:uid="{E48CF696-66B8-1D41-A32C-F0D5EBE106F9}" uniqueName="12" name="DPT_TS" queryTableFieldId="12"/>
    <tableColumn id="13" xr3:uid="{2617372E-C494-FD45-A0DA-5B2EA4EE1A01}" uniqueName="13" name="DPT_nozzle" queryTableFieldId="13"/>
    <tableColumn id="14" xr3:uid="{B87D4DEE-90D3-D545-9117-A53C2E7FA147}" uniqueName="14" name="Flow_gps" queryTableFieldId="14"/>
    <tableColumn id="15" xr3:uid="{ABE7EA4F-C238-A940-BBE3-648A56531311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43B2FF-B887-E744-8B81-5ABC1911B2D2}" name="sheet1__6" displayName="sheet1__6" ref="A1:O38" tableType="queryTable" totalsRowShown="0">
  <autoFilter ref="A1:O38" xr:uid="{9143B2FF-B887-E744-8B81-5ABC1911B2D2}"/>
  <tableColumns count="15">
    <tableColumn id="1" xr3:uid="{3D7C692B-8986-0D4D-B8A5-6F79A5BB9E2B}" uniqueName="1" name="Time" queryTableFieldId="1"/>
    <tableColumn id="2" xr3:uid="{AF3B43A6-FBE9-D844-8F65-9154A7F66377}" uniqueName="2" name="T1" queryTableFieldId="2"/>
    <tableColumn id="3" xr3:uid="{9B59034C-99C5-284F-8AF5-1C46ADAB094F}" uniqueName="3" name="T2" queryTableFieldId="3"/>
    <tableColumn id="4" xr3:uid="{27B02001-B27C-AC49-ACCC-FC7168429041}" uniqueName="4" name="T3" queryTableFieldId="4"/>
    <tableColumn id="5" xr3:uid="{9D392D13-50FA-354E-9B73-0140029FFDC4}" uniqueName="5" name="T4" queryTableFieldId="5"/>
    <tableColumn id="6" xr3:uid="{53254776-4D72-C540-BB05-C62A9D452739}" uniqueName="6" name="T5" queryTableFieldId="6"/>
    <tableColumn id="7" xr3:uid="{8A826D13-F0A6-7543-9234-2C832A0ED2AD}" uniqueName="7" name="T6" queryTableFieldId="7"/>
    <tableColumn id="8" xr3:uid="{7A335193-A5E9-394B-947B-3A746B8837DB}" uniqueName="8" name="T7" queryTableFieldId="8"/>
    <tableColumn id="9" xr3:uid="{873B3393-5CC8-DE45-9868-ECD102FE1C0E}" uniqueName="9" name="T8" queryTableFieldId="9"/>
    <tableColumn id="10" xr3:uid="{A0F0C663-0A02-1142-B798-347383313CD8}" uniqueName="10" name="RTD_IN" queryTableFieldId="10"/>
    <tableColumn id="11" xr3:uid="{8166D7A9-D977-704F-9934-BB33F3C983FF}" uniqueName="11" name="RTD_OUT" queryTableFieldId="11"/>
    <tableColumn id="12" xr3:uid="{961CB439-A456-B24F-B538-9F8C812B46BD}" uniqueName="12" name="DPT_TS" queryTableFieldId="12"/>
    <tableColumn id="13" xr3:uid="{6AA37D15-B3DB-ED48-824B-F1612A4CE87D}" uniqueName="13" name="DPT_nozzle" queryTableFieldId="13"/>
    <tableColumn id="14" xr3:uid="{35D63FA0-1EB1-D54B-98ED-2D8936B47517}" uniqueName="14" name="Flow_gps" queryTableFieldId="14"/>
    <tableColumn id="15" xr3:uid="{E57B7F54-39A9-D04E-BED7-4A6BF5B44B49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90974F-1890-A143-BFC4-D1EAEAD3F31E}" name="sheet1__7" displayName="sheet1__7" ref="A1:O80" tableType="queryTable" totalsRowShown="0">
  <autoFilter ref="A1:O80" xr:uid="{6190974F-1890-A143-BFC4-D1EAEAD3F31E}"/>
  <tableColumns count="15">
    <tableColumn id="1" xr3:uid="{9FB9781F-45B2-0C46-8B16-F86FF4D2D45B}" uniqueName="1" name="Time" queryTableFieldId="1"/>
    <tableColumn id="2" xr3:uid="{743E61B2-F1D4-5D43-84A0-204B79E5D767}" uniqueName="2" name="T1" queryTableFieldId="2"/>
    <tableColumn id="3" xr3:uid="{B983CD50-8412-D54B-A4C1-E50F260F3761}" uniqueName="3" name="T2" queryTableFieldId="3"/>
    <tableColumn id="4" xr3:uid="{DBE0C5DE-F4A5-E749-A7F5-E30C089FD29C}" uniqueName="4" name="T3" queryTableFieldId="4"/>
    <tableColumn id="5" xr3:uid="{E18071D0-E37F-564A-BC8C-933BCD1990BA}" uniqueName="5" name="T4" queryTableFieldId="5"/>
    <tableColumn id="6" xr3:uid="{9FED01FD-C131-FD4E-A822-E90F6B0F58C8}" uniqueName="6" name="T5" queryTableFieldId="6"/>
    <tableColumn id="7" xr3:uid="{705B98FD-49D6-774F-8517-9F166F347E62}" uniqueName="7" name="T6" queryTableFieldId="7"/>
    <tableColumn id="8" xr3:uid="{451A972F-8007-9A45-9195-4253AB6B9E65}" uniqueName="8" name="T7" queryTableFieldId="8"/>
    <tableColumn id="9" xr3:uid="{CB513720-4BD8-F140-950F-56D5A4F5FA6E}" uniqueName="9" name="T8" queryTableFieldId="9"/>
    <tableColumn id="10" xr3:uid="{EB14C779-699B-E744-A4EC-BD780BE14AAA}" uniqueName="10" name="RTD_IN" queryTableFieldId="10"/>
    <tableColumn id="11" xr3:uid="{8CF17D82-FE5E-FF4C-80D1-CB4083ADC974}" uniqueName="11" name="RTD_OUT" queryTableFieldId="11"/>
    <tableColumn id="12" xr3:uid="{354565E3-E6EB-8349-8AD1-ECDEFDDD2C29}" uniqueName="12" name="DPT_TS" queryTableFieldId="12"/>
    <tableColumn id="13" xr3:uid="{422E765C-3ECA-5147-9087-7570C2755A0D}" uniqueName="13" name="DPT_nozzle" queryTableFieldId="13"/>
    <tableColumn id="14" xr3:uid="{5E02B134-3471-164D-B76B-A13D573F10BA}" uniqueName="14" name="Flow_gps" queryTableFieldId="14"/>
    <tableColumn id="15" xr3:uid="{3B18ECB4-C9B2-3842-A204-F69D84409DD3}" uniqueName="15" name="DP_liquid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0CF05F-EB3E-384C-B7F1-F8B429D0F936}" name="sheet1__8" displayName="sheet1__8" ref="A1:O120" tableType="queryTable" totalsRowShown="0">
  <autoFilter ref="A1:O120" xr:uid="{1A0CF05F-EB3E-384C-B7F1-F8B429D0F936}"/>
  <tableColumns count="15">
    <tableColumn id="1" xr3:uid="{4E68072F-35EC-CD4B-9BE1-7666B4A925D0}" uniqueName="1" name="Time" queryTableFieldId="1"/>
    <tableColumn id="2" xr3:uid="{C4918C3A-5427-CB44-9C4C-E14F325404CD}" uniqueName="2" name="T1" queryTableFieldId="2"/>
    <tableColumn id="3" xr3:uid="{7EBB8F31-E7B4-704D-BD61-B67655B1C778}" uniqueName="3" name="T2" queryTableFieldId="3"/>
    <tableColumn id="4" xr3:uid="{6232678D-A17E-1A41-8FAC-BC87570668E0}" uniqueName="4" name="T3" queryTableFieldId="4"/>
    <tableColumn id="5" xr3:uid="{F96D916D-3846-714F-A1E8-A2188D71BB87}" uniqueName="5" name="T4" queryTableFieldId="5"/>
    <tableColumn id="6" xr3:uid="{E2F83002-7FCE-2F4D-866A-04D55CDB721B}" uniqueName="6" name="T5" queryTableFieldId="6"/>
    <tableColumn id="7" xr3:uid="{BFE5AF0C-D240-FA48-91CD-90B697826922}" uniqueName="7" name="T6" queryTableFieldId="7"/>
    <tableColumn id="8" xr3:uid="{5C341684-2794-EB40-B86F-71D9BD2C0581}" uniqueName="8" name="T7" queryTableFieldId="8"/>
    <tableColumn id="9" xr3:uid="{A183D192-ECD1-0B4A-9751-726EE4F8D4ED}" uniqueName="9" name="T8" queryTableFieldId="9"/>
    <tableColumn id="10" xr3:uid="{634C3CE4-D25A-AB44-9C48-8AD0CCE6755F}" uniqueName="10" name="RTD_IN" queryTableFieldId="10"/>
    <tableColumn id="11" xr3:uid="{25A29A5C-EA59-AB43-9CDA-B6312632AAA7}" uniqueName="11" name="RTD_OUT" queryTableFieldId="11"/>
    <tableColumn id="12" xr3:uid="{59E93DE1-2F8C-EA48-97C6-24E10F2AAD2A}" uniqueName="12" name="DPT_TS" queryTableFieldId="12"/>
    <tableColumn id="13" xr3:uid="{FC99AC7D-7B46-234A-AA68-2A1B97A2ED7A}" uniqueName="13" name="DPT_nozzle" queryTableFieldId="13"/>
    <tableColumn id="14" xr3:uid="{F7F87AD2-1E85-0846-BCCF-5C8A98FF964D}" uniqueName="14" name="Flow_gps" queryTableFieldId="14"/>
    <tableColumn id="15" xr3:uid="{F85FD132-C61F-394A-AF10-E23ED4EC1921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B675-7083-574E-9F5D-4CCF36A0E2FF}">
  <dimension ref="A1:B9"/>
  <sheetViews>
    <sheetView tabSelected="1" workbookViewId="0">
      <selection activeCell="H14" sqref="H14"/>
    </sheetView>
  </sheetViews>
  <sheetFormatPr baseColWidth="10" defaultRowHeight="16" x14ac:dyDescent="0.2"/>
  <cols>
    <col min="1" max="1" width="21.1640625" customWidth="1"/>
    <col min="2" max="2" width="2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268.78519424668076</v>
      </c>
    </row>
    <row r="3" spans="1:2" x14ac:dyDescent="0.2">
      <c r="A3" s="2">
        <v>2</v>
      </c>
      <c r="B3" s="2">
        <v>382.31320827308912</v>
      </c>
    </row>
    <row r="4" spans="1:2" x14ac:dyDescent="0.2">
      <c r="A4" s="2">
        <v>3</v>
      </c>
      <c r="B4" s="2">
        <v>461.31659367738257</v>
      </c>
    </row>
    <row r="5" spans="1:2" x14ac:dyDescent="0.2">
      <c r="A5" s="2">
        <v>4</v>
      </c>
      <c r="B5" s="2">
        <v>515.54799127566162</v>
      </c>
    </row>
    <row r="6" spans="1:2" x14ac:dyDescent="0.2">
      <c r="A6" s="2">
        <v>5</v>
      </c>
      <c r="B6" s="2">
        <v>563.12075988789661</v>
      </c>
    </row>
    <row r="7" spans="1:2" x14ac:dyDescent="0.2">
      <c r="A7" s="2">
        <v>6</v>
      </c>
      <c r="B7" s="2">
        <v>598.78743272899408</v>
      </c>
    </row>
    <row r="8" spans="1:2" x14ac:dyDescent="0.2">
      <c r="A8" s="2">
        <v>7</v>
      </c>
      <c r="B8" s="2">
        <v>629.93922352365985</v>
      </c>
    </row>
    <row r="9" spans="1:2" x14ac:dyDescent="0.2">
      <c r="A9" s="2">
        <v>8</v>
      </c>
      <c r="B9" s="2">
        <v>658.56505765913414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34C2-5152-7D4C-91AB-3694E6E0FF06}">
  <dimension ref="A1:W18"/>
  <sheetViews>
    <sheetView topLeftCell="G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9.6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>
        <v>44660.859890625201</v>
      </c>
      <c r="B2">
        <v>20.614688000000001</v>
      </c>
      <c r="C2">
        <v>20.614173999999998</v>
      </c>
      <c r="D2">
        <v>20.393872999999999</v>
      </c>
      <c r="E2">
        <v>20.442698</v>
      </c>
      <c r="F2">
        <v>46.888922000000001</v>
      </c>
      <c r="G2">
        <v>48.045887</v>
      </c>
      <c r="H2">
        <v>37.621791999999999</v>
      </c>
      <c r="I2">
        <v>29.670601000000001</v>
      </c>
      <c r="J2">
        <v>56.346375000000002</v>
      </c>
      <c r="K2">
        <v>54.262565000000002</v>
      </c>
      <c r="L2">
        <v>5.85466</v>
      </c>
      <c r="M2">
        <v>-622.48612300000002</v>
      </c>
      <c r="N2">
        <v>1.874366</v>
      </c>
      <c r="O2">
        <v>11.293885</v>
      </c>
      <c r="P2">
        <f t="shared" ref="P2:P65" si="0" xml:space="preserve"> N2*0.001/60</f>
        <v>3.1239433333333331E-5</v>
      </c>
      <c r="Q2" cm="1">
        <f t="array" ref="Q2">[1]!PropsSI("D","T",J2+273.15,"P",101325,"Water")</f>
        <v>985.0355800260503</v>
      </c>
      <c r="R2" cm="1">
        <f t="array" ref="R2">[1]!PropsSI("D","T",K2+273.15,"P",101325,"Water")</f>
        <v>986.04845576428488</v>
      </c>
      <c r="S2">
        <f t="shared" ref="S2:S65" si="1">(Q2+R2)/2</f>
        <v>985.54201789516765</v>
      </c>
      <c r="T2" cm="1">
        <f t="array" ref="T2">[1]!PropsSI("H","T",J2+273.15,"P",101325,"Water")</f>
        <v>235961.2370458467</v>
      </c>
      <c r="U2" cm="1">
        <f t="array" ref="U2">[1]!PropsSI("H","T",K2+273.15,"P",101325,"Water")</f>
        <v>227244.51373925083</v>
      </c>
      <c r="V2">
        <f t="shared" ref="V2:V65" si="2">S2*P2*(T2-U2)</f>
        <v>268.36850862431328</v>
      </c>
      <c r="W2" s="2">
        <f>AVERAGE(V2:V18)</f>
        <v>268.78519424668076</v>
      </c>
    </row>
    <row r="3" spans="1:23" x14ac:dyDescent="0.2">
      <c r="A3">
        <v>44660.859948495498</v>
      </c>
      <c r="B3">
        <v>20.615676000000001</v>
      </c>
      <c r="C3">
        <v>20.618403000000001</v>
      </c>
      <c r="D3">
        <v>20.391603</v>
      </c>
      <c r="E3">
        <v>20.438614000000001</v>
      </c>
      <c r="F3">
        <v>46.484223999999998</v>
      </c>
      <c r="G3">
        <v>47.769021000000002</v>
      </c>
      <c r="H3">
        <v>37.909056999999997</v>
      </c>
      <c r="I3">
        <v>29.768649</v>
      </c>
      <c r="J3">
        <v>56.350991</v>
      </c>
      <c r="K3">
        <v>54.268293</v>
      </c>
      <c r="L3">
        <v>1.856085</v>
      </c>
      <c r="M3">
        <v>-622.474695</v>
      </c>
      <c r="N3">
        <v>1.873591</v>
      </c>
      <c r="O3">
        <v>11.687129000000001</v>
      </c>
      <c r="P3">
        <f t="shared" si="0"/>
        <v>3.1226516666666667E-5</v>
      </c>
      <c r="Q3" cm="1">
        <f t="array" ref="Q3">[1]!PropsSI("D","T",J3+273.15,"P",101325,"Water")</f>
        <v>985.0333066094197</v>
      </c>
      <c r="R3" cm="1">
        <f t="array" ref="R3">[1]!PropsSI("D","T",K3+273.15,"P",101325,"Water")</f>
        <v>986.04570852540667</v>
      </c>
      <c r="S3">
        <f t="shared" si="1"/>
        <v>985.53950756741324</v>
      </c>
      <c r="T3" cm="1">
        <f t="array" ref="T3">[1]!PropsSI("H","T",J3+273.15,"P",101325,"Water")</f>
        <v>235980.54788884547</v>
      </c>
      <c r="U3" cm="1">
        <f t="array" ref="U3">[1]!PropsSI("H","T",K3+273.15,"P",101325,"Water")</f>
        <v>227268.47221558739</v>
      </c>
      <c r="V3">
        <f t="shared" si="2"/>
        <v>268.11383140303525</v>
      </c>
      <c r="W3" s="2"/>
    </row>
    <row r="4" spans="1:23" x14ac:dyDescent="0.2">
      <c r="A4">
        <v>44660.860006944597</v>
      </c>
      <c r="B4">
        <v>20.633198</v>
      </c>
      <c r="C4">
        <v>20.614888000000001</v>
      </c>
      <c r="D4">
        <v>20.400158000000001</v>
      </c>
      <c r="E4">
        <v>20.442027</v>
      </c>
      <c r="F4">
        <v>47.157406999999999</v>
      </c>
      <c r="G4">
        <v>47.645822000000003</v>
      </c>
      <c r="H4">
        <v>38.227634000000002</v>
      </c>
      <c r="I4">
        <v>29.561371000000001</v>
      </c>
      <c r="J4">
        <v>56.354016000000001</v>
      </c>
      <c r="K4">
        <v>54.275770000000001</v>
      </c>
      <c r="L4">
        <v>3.2233640000000001</v>
      </c>
      <c r="M4">
        <v>-622.480817</v>
      </c>
      <c r="N4">
        <v>1.8741319999999999</v>
      </c>
      <c r="O4">
        <v>11.705276</v>
      </c>
      <c r="P4">
        <f t="shared" si="0"/>
        <v>3.1235533333333329E-5</v>
      </c>
      <c r="Q4" cm="1">
        <f t="array" ref="Q4">[1]!PropsSI("D","T",J4+273.15,"P",101325,"Water")</f>
        <v>985.03181670214599</v>
      </c>
      <c r="R4" cm="1">
        <f t="array" ref="R4">[1]!PropsSI("D","T",K4+273.15,"P",101325,"Water")</f>
        <v>986.04212212973459</v>
      </c>
      <c r="S4">
        <f t="shared" si="1"/>
        <v>985.53696941594035</v>
      </c>
      <c r="T4" cm="1">
        <f t="array" ref="T4">[1]!PropsSI("H","T",J4+273.15,"P",101325,"Water")</f>
        <v>235993.2028542945</v>
      </c>
      <c r="U4" cm="1">
        <f t="array" ref="U4">[1]!PropsSI("H","T",K4+273.15,"P",101325,"Water")</f>
        <v>227299.74624260038</v>
      </c>
      <c r="V4">
        <f t="shared" si="2"/>
        <v>267.61739369764911</v>
      </c>
      <c r="W4" s="2"/>
    </row>
    <row r="5" spans="1:23" x14ac:dyDescent="0.2">
      <c r="A5">
        <v>44660.860064815002</v>
      </c>
      <c r="B5">
        <v>20.609670999999999</v>
      </c>
      <c r="C5">
        <v>20.611753</v>
      </c>
      <c r="D5">
        <v>20.400040000000001</v>
      </c>
      <c r="E5">
        <v>20.443059000000002</v>
      </c>
      <c r="F5">
        <v>47.011733999999997</v>
      </c>
      <c r="G5">
        <v>47.863453</v>
      </c>
      <c r="H5">
        <v>38.321463999999999</v>
      </c>
      <c r="I5">
        <v>29.496704999999999</v>
      </c>
      <c r="J5">
        <v>56.359428000000001</v>
      </c>
      <c r="K5">
        <v>54.283247000000003</v>
      </c>
      <c r="L5">
        <v>5.1367370000000001</v>
      </c>
      <c r="M5">
        <v>-622.49428599999999</v>
      </c>
      <c r="N5">
        <v>1.874374</v>
      </c>
      <c r="O5">
        <v>11.694995</v>
      </c>
      <c r="P5">
        <f t="shared" si="0"/>
        <v>3.1239566666666665E-5</v>
      </c>
      <c r="Q5" cm="1">
        <f t="array" ref="Q5">[1]!PropsSI("D","T",J5+273.15,"P",101325,"Water")</f>
        <v>985.02915098281335</v>
      </c>
      <c r="R5" cm="1">
        <f t="array" ref="R5">[1]!PropsSI("D","T",K5+273.15,"P",101325,"Water")</f>
        <v>986.03853538433896</v>
      </c>
      <c r="S5">
        <f t="shared" si="1"/>
        <v>985.53384318357621</v>
      </c>
      <c r="T5" cm="1">
        <f t="array" ref="T5">[1]!PropsSI("H","T",J5+273.15,"P",101325,"Water")</f>
        <v>236015.84374663295</v>
      </c>
      <c r="U5" cm="1">
        <f t="array" ref="U5">[1]!PropsSI("H","T",K5+273.15,"P",101325,"Water")</f>
        <v>227331.02028926995</v>
      </c>
      <c r="V5">
        <f t="shared" si="2"/>
        <v>267.38530662269056</v>
      </c>
      <c r="W5" s="2"/>
    </row>
    <row r="6" spans="1:23" x14ac:dyDescent="0.2">
      <c r="A6">
        <v>46122.860122685182</v>
      </c>
      <c r="B6">
        <v>20.608305999999999</v>
      </c>
      <c r="C6">
        <v>20.611094999999999</v>
      </c>
      <c r="D6">
        <v>20.399614</v>
      </c>
      <c r="E6">
        <v>20.437584999999999</v>
      </c>
      <c r="F6">
        <v>46.777385000000002</v>
      </c>
      <c r="G6">
        <v>48.320193000000003</v>
      </c>
      <c r="H6">
        <v>37.773218999999997</v>
      </c>
      <c r="I6">
        <v>30.267899</v>
      </c>
      <c r="J6">
        <v>56.360700999999999</v>
      </c>
      <c r="K6">
        <v>54.286428999999998</v>
      </c>
      <c r="L6">
        <v>4.72288</v>
      </c>
      <c r="M6">
        <v>-622.54040599999996</v>
      </c>
      <c r="N6">
        <v>1.8711409999999999</v>
      </c>
      <c r="O6">
        <v>11.953485000000001</v>
      </c>
      <c r="P6">
        <f t="shared" si="0"/>
        <v>3.1185683333333332E-5</v>
      </c>
      <c r="Q6" cm="1">
        <f t="array" ref="Q6">[1]!PropsSI("D","T",J6+273.15,"P",101325,"Water")</f>
        <v>985.02852393152068</v>
      </c>
      <c r="R6" cm="1">
        <f t="array" ref="R6">[1]!PropsSI("D","T",K6+273.15,"P",101325,"Water")</f>
        <v>986.03700886073545</v>
      </c>
      <c r="S6">
        <f t="shared" si="1"/>
        <v>985.53276639612807</v>
      </c>
      <c r="T6" cm="1">
        <f t="array" ref="T6">[1]!PropsSI("H","T",J6+273.15,"P",101325,"Water")</f>
        <v>236021.16929443175</v>
      </c>
      <c r="U6" cm="1">
        <f t="array" ref="U6">[1]!PropsSI("H","T",K6+273.15,"P",101325,"Water")</f>
        <v>227344.32964604776</v>
      </c>
      <c r="V6">
        <f t="shared" si="2"/>
        <v>266.67843895440552</v>
      </c>
      <c r="W6" s="2"/>
    </row>
    <row r="7" spans="1:23" x14ac:dyDescent="0.2">
      <c r="A7">
        <v>46122.86018113426</v>
      </c>
      <c r="B7">
        <v>20.595127000000002</v>
      </c>
      <c r="C7">
        <v>20.602900999999999</v>
      </c>
      <c r="D7">
        <v>20.391884999999998</v>
      </c>
      <c r="E7">
        <v>20.430624000000002</v>
      </c>
      <c r="F7">
        <v>46.198951999999998</v>
      </c>
      <c r="G7">
        <v>47.895401</v>
      </c>
      <c r="H7">
        <v>37.718626</v>
      </c>
      <c r="I7">
        <v>29.952057</v>
      </c>
      <c r="J7">
        <v>56.364203000000003</v>
      </c>
      <c r="K7">
        <v>54.290565000000001</v>
      </c>
      <c r="L7">
        <v>6.7701250000000002</v>
      </c>
      <c r="M7">
        <v>-622.48285799999996</v>
      </c>
      <c r="N7">
        <v>1.8739349999999999</v>
      </c>
      <c r="O7">
        <v>11.593828</v>
      </c>
      <c r="P7">
        <f t="shared" si="0"/>
        <v>3.1232249999999999E-5</v>
      </c>
      <c r="Q7" cm="1">
        <f t="array" ref="Q7">[1]!PropsSI("D","T",J7+273.15,"P",101325,"Water")</f>
        <v>985.02679887351519</v>
      </c>
      <c r="R7" cm="1">
        <f t="array" ref="R7">[1]!PropsSI("D","T",K7+273.15,"P",101325,"Water")</f>
        <v>986.03502457325339</v>
      </c>
      <c r="S7">
        <f t="shared" si="1"/>
        <v>985.53091172338429</v>
      </c>
      <c r="T7" cm="1">
        <f t="array" ref="T7">[1]!PropsSI("H","T",J7+273.15,"P",101325,"Water")</f>
        <v>236035.81978344993</v>
      </c>
      <c r="U7" cm="1">
        <f t="array" ref="U7">[1]!PropsSI("H","T",K7+273.15,"P",101325,"Water")</f>
        <v>227361.62930559317</v>
      </c>
      <c r="V7">
        <f t="shared" si="2"/>
        <v>266.9945999451752</v>
      </c>
      <c r="W7" s="2"/>
    </row>
    <row r="8" spans="1:23" x14ac:dyDescent="0.2">
      <c r="A8">
        <v>46122.860239004629</v>
      </c>
      <c r="B8">
        <v>20.613683000000002</v>
      </c>
      <c r="C8">
        <v>20.618748</v>
      </c>
      <c r="D8">
        <v>20.391252000000001</v>
      </c>
      <c r="E8">
        <v>20.437348</v>
      </c>
      <c r="F8">
        <v>46.319927999999997</v>
      </c>
      <c r="G8">
        <v>47.988219000000001</v>
      </c>
      <c r="H8">
        <v>38.521445999999997</v>
      </c>
      <c r="I8">
        <v>29.085163999999999</v>
      </c>
      <c r="J8">
        <v>56.365476000000001</v>
      </c>
      <c r="K8">
        <v>54.284678999999997</v>
      </c>
      <c r="L8">
        <v>5.0873520000000001</v>
      </c>
      <c r="M8">
        <v>-622.49959200000001</v>
      </c>
      <c r="N8">
        <v>1.8674569999999999</v>
      </c>
      <c r="O8">
        <v>11.715328</v>
      </c>
      <c r="P8">
        <f t="shared" si="0"/>
        <v>3.1124283333333333E-5</v>
      </c>
      <c r="Q8" cm="1">
        <f t="array" ref="Q8">[1]!PropsSI("D","T",J8+273.15,"P",101325,"Water")</f>
        <v>985.02617178502715</v>
      </c>
      <c r="R8" cm="1">
        <f t="array" ref="R8">[1]!PropsSI("D","T",K8+273.15,"P",101325,"Water")</f>
        <v>986.03784840859873</v>
      </c>
      <c r="S8">
        <f t="shared" si="1"/>
        <v>985.53201009681288</v>
      </c>
      <c r="T8" cm="1">
        <f t="array" ref="T8">[1]!PropsSI("H","T",J8+273.15,"P",101325,"Water")</f>
        <v>236041.14533359488</v>
      </c>
      <c r="U8" cm="1">
        <f t="array" ref="U8">[1]!PropsSI("H","T",K8+273.15,"P",101325,"Water")</f>
        <v>227337.00991764062</v>
      </c>
      <c r="V8">
        <f t="shared" si="2"/>
        <v>266.99045404800921</v>
      </c>
      <c r="W8" s="2"/>
    </row>
    <row r="9" spans="1:23" x14ac:dyDescent="0.2">
      <c r="A9">
        <v>46122.860296874998</v>
      </c>
      <c r="B9">
        <v>20.606280000000002</v>
      </c>
      <c r="C9">
        <v>20.602819</v>
      </c>
      <c r="D9">
        <v>20.388089999999998</v>
      </c>
      <c r="E9">
        <v>20.422044</v>
      </c>
      <c r="F9">
        <v>46.227727000000002</v>
      </c>
      <c r="G9">
        <v>47.711150000000004</v>
      </c>
      <c r="H9">
        <v>37.405039000000002</v>
      </c>
      <c r="I9">
        <v>29.590339</v>
      </c>
      <c r="J9">
        <v>56.369137000000002</v>
      </c>
      <c r="K9">
        <v>54.279111</v>
      </c>
      <c r="L9">
        <v>7.4990680000000003</v>
      </c>
      <c r="M9">
        <v>-622.474695</v>
      </c>
      <c r="N9">
        <v>1.8705430000000001</v>
      </c>
      <c r="O9">
        <v>11.513528000000001</v>
      </c>
      <c r="P9">
        <f t="shared" si="0"/>
        <v>3.117571666666667E-5</v>
      </c>
      <c r="Q9" cm="1">
        <f t="array" ref="Q9">[1]!PropsSI("D","T",J9+273.15,"P",101325,"Water")</f>
        <v>985.02436829608041</v>
      </c>
      <c r="R9" cm="1">
        <f t="array" ref="R9">[1]!PropsSI("D","T",K9+273.15,"P",101325,"Water")</f>
        <v>986.04051948253721</v>
      </c>
      <c r="S9">
        <f t="shared" si="1"/>
        <v>985.53244388930875</v>
      </c>
      <c r="T9" cm="1">
        <f t="array" ref="T9">[1]!PropsSI("H","T",J9+273.15,"P",101325,"Water")</f>
        <v>236056.46100011846</v>
      </c>
      <c r="U9" cm="1">
        <f t="array" ref="U9">[1]!PropsSI("H","T",K9+273.15,"P",101325,"Water")</f>
        <v>227313.72064029312</v>
      </c>
      <c r="V9">
        <f t="shared" si="2"/>
        <v>268.6179019463824</v>
      </c>
      <c r="W9" s="2"/>
    </row>
    <row r="10" spans="1:23" x14ac:dyDescent="0.2">
      <c r="A10">
        <v>44660.860355324301</v>
      </c>
      <c r="B10">
        <v>20.604644</v>
      </c>
      <c r="C10">
        <v>20.593769000000002</v>
      </c>
      <c r="D10">
        <v>20.390412999999999</v>
      </c>
      <c r="E10">
        <v>20.430316000000001</v>
      </c>
      <c r="F10">
        <v>45.945790000000002</v>
      </c>
      <c r="G10">
        <v>48.052484</v>
      </c>
      <c r="H10">
        <v>39.000861999999998</v>
      </c>
      <c r="I10">
        <v>28.841746000000001</v>
      </c>
      <c r="J10">
        <v>56.371684000000002</v>
      </c>
      <c r="K10">
        <v>54.281337999999998</v>
      </c>
      <c r="L10">
        <v>4.8538940000000004</v>
      </c>
      <c r="M10">
        <v>-622.50857099999996</v>
      </c>
      <c r="N10">
        <v>1.872903</v>
      </c>
      <c r="O10">
        <v>11.268292000000001</v>
      </c>
      <c r="P10">
        <f t="shared" si="0"/>
        <v>3.1215050000000002E-5</v>
      </c>
      <c r="Q10" cm="1">
        <f t="array" ref="Q10">[1]!PropsSI("D","T",J10+273.15,"P",101325,"Water")</f>
        <v>985.02311353959954</v>
      </c>
      <c r="R10" cm="1">
        <f t="array" ref="R10">[1]!PropsSI("D","T",K10+273.15,"P",101325,"Water")</f>
        <v>986.03945117217768</v>
      </c>
      <c r="S10">
        <f t="shared" si="1"/>
        <v>985.53128235588861</v>
      </c>
      <c r="T10" cm="1">
        <f t="array" ref="T10">[1]!PropsSI("H","T",J10+273.15,"P",101325,"Water")</f>
        <v>236067.11628927014</v>
      </c>
      <c r="U10" cm="1">
        <f t="array" ref="U10">[1]!PropsSI("H","T",K10+273.15,"P",101325,"Water")</f>
        <v>227323.03551340575</v>
      </c>
      <c r="V10">
        <f t="shared" si="2"/>
        <v>268.99772672526456</v>
      </c>
    </row>
    <row r="11" spans="1:23" x14ac:dyDescent="0.2">
      <c r="A11">
        <v>44660.860413773298</v>
      </c>
      <c r="B11">
        <v>20.599114</v>
      </c>
      <c r="C11">
        <v>20.587357000000001</v>
      </c>
      <c r="D11">
        <v>20.386091</v>
      </c>
      <c r="E11">
        <v>20.426268</v>
      </c>
      <c r="F11">
        <v>46.060400000000001</v>
      </c>
      <c r="G11">
        <v>47.586250999999997</v>
      </c>
      <c r="H11">
        <v>37.139465999999999</v>
      </c>
      <c r="I11">
        <v>29.717376999999999</v>
      </c>
      <c r="J11">
        <v>56.374231000000002</v>
      </c>
      <c r="K11">
        <v>54.279747</v>
      </c>
      <c r="L11">
        <v>6.4750379999999996</v>
      </c>
      <c r="M11">
        <v>-622.51469299999997</v>
      </c>
      <c r="N11">
        <v>1.8736280000000001</v>
      </c>
      <c r="O11">
        <v>11.430711000000001</v>
      </c>
      <c r="P11">
        <f t="shared" si="0"/>
        <v>3.1227133333333331E-5</v>
      </c>
      <c r="Q11" cm="1">
        <f t="array" ref="Q11">[1]!PropsSI("D","T",J11+273.15,"P",101325,"Water")</f>
        <v>985.0218587434299</v>
      </c>
      <c r="R11" cm="1">
        <f t="array" ref="R11">[1]!PropsSI("D","T",K11+273.15,"P",101325,"Water")</f>
        <v>986.04021439121937</v>
      </c>
      <c r="S11">
        <f t="shared" si="1"/>
        <v>985.53103656732469</v>
      </c>
      <c r="T11" cm="1">
        <f t="array" ref="T11">[1]!PropsSI("H","T",J11+273.15,"P",101325,"Water")</f>
        <v>236077.77158088688</v>
      </c>
      <c r="U11" cm="1">
        <f t="array" ref="U11">[1]!PropsSI("H","T",K11+273.15,"P",101325,"Water")</f>
        <v>227316.38083741645</v>
      </c>
      <c r="V11">
        <f t="shared" si="2"/>
        <v>269.63450812746595</v>
      </c>
    </row>
    <row r="12" spans="1:23" x14ac:dyDescent="0.2">
      <c r="A12">
        <v>44660.860471643697</v>
      </c>
      <c r="B12">
        <v>20.599694</v>
      </c>
      <c r="C12">
        <v>20.582128999999998</v>
      </c>
      <c r="D12">
        <v>20.391076000000002</v>
      </c>
      <c r="E12">
        <v>20.42454</v>
      </c>
      <c r="F12">
        <v>46.296168000000002</v>
      </c>
      <c r="G12">
        <v>47.892567999999997</v>
      </c>
      <c r="H12">
        <v>37.982667999999997</v>
      </c>
      <c r="I12">
        <v>29.464628000000001</v>
      </c>
      <c r="J12">
        <v>56.374867999999999</v>
      </c>
      <c r="K12">
        <v>54.271793000000002</v>
      </c>
      <c r="L12">
        <v>9.4630510000000001</v>
      </c>
      <c r="M12">
        <v>-622.50775499999997</v>
      </c>
      <c r="N12">
        <v>1.8725830000000001</v>
      </c>
      <c r="O12">
        <v>11.718911</v>
      </c>
      <c r="P12">
        <f t="shared" si="0"/>
        <v>3.120971666666667E-5</v>
      </c>
      <c r="Q12" cm="1">
        <f t="array" ref="Q12">[1]!PropsSI("D","T",J12+273.15,"P",101325,"Water")</f>
        <v>985.02154491500744</v>
      </c>
      <c r="R12" cm="1">
        <f t="array" ref="R12">[1]!PropsSI("D","T",K12+273.15,"P",101325,"Water")</f>
        <v>986.0440297693001</v>
      </c>
      <c r="S12">
        <f t="shared" si="1"/>
        <v>985.53278734215382</v>
      </c>
      <c r="T12" cm="1">
        <f t="array" ref="T12">[1]!PropsSI("H","T",J12+273.15,"P",101325,"Water")</f>
        <v>236080.43645008406</v>
      </c>
      <c r="U12" cm="1">
        <f t="array" ref="U12">[1]!PropsSI("H","T",K12+273.15,"P",101325,"Water")</f>
        <v>227283.11165341895</v>
      </c>
      <c r="V12">
        <f t="shared" si="2"/>
        <v>270.58986727950122</v>
      </c>
    </row>
    <row r="13" spans="1:23" x14ac:dyDescent="0.2">
      <c r="A13">
        <v>44660.860530092803</v>
      </c>
      <c r="B13">
        <v>20.587672000000001</v>
      </c>
      <c r="C13">
        <v>20.569742999999999</v>
      </c>
      <c r="D13">
        <v>20.364998</v>
      </c>
      <c r="E13">
        <v>20.405162000000001</v>
      </c>
      <c r="F13">
        <v>46.018510999999997</v>
      </c>
      <c r="G13">
        <v>47.552249000000003</v>
      </c>
      <c r="H13">
        <v>37.827021000000002</v>
      </c>
      <c r="I13">
        <v>29.192836</v>
      </c>
      <c r="J13">
        <v>56.378050999999999</v>
      </c>
      <c r="K13">
        <v>54.277360999999999</v>
      </c>
      <c r="L13">
        <v>5.2844850000000001</v>
      </c>
      <c r="M13">
        <v>-622.49632699999995</v>
      </c>
      <c r="N13">
        <v>1.8730420000000001</v>
      </c>
      <c r="O13">
        <v>11.465351999999999</v>
      </c>
      <c r="P13">
        <f t="shared" si="0"/>
        <v>3.121736666666667E-5</v>
      </c>
      <c r="Q13" cm="1">
        <f t="array" ref="Q13">[1]!PropsSI("D","T",J13+273.15,"P",101325,"Water")</f>
        <v>985.0199767210346</v>
      </c>
      <c r="R13" cm="1">
        <f t="array" ref="R13">[1]!PropsSI("D","T",K13+273.15,"P",101325,"Water")</f>
        <v>986.04135895027548</v>
      </c>
      <c r="S13">
        <f t="shared" si="1"/>
        <v>985.53066783565509</v>
      </c>
      <c r="T13" cm="1">
        <f t="array" ref="T13">[1]!PropsSI("H","T",J13+273.15,"P",101325,"Water")</f>
        <v>236093.75243130416</v>
      </c>
      <c r="U13" cm="1">
        <f t="array" ref="U13">[1]!PropsSI("H","T",K13+273.15,"P",101325,"Water")</f>
        <v>227306.40091639565</v>
      </c>
      <c r="V13">
        <f t="shared" si="2"/>
        <v>270.34877638142814</v>
      </c>
    </row>
    <row r="14" spans="1:23" x14ac:dyDescent="0.2">
      <c r="A14">
        <v>44660.8605885418</v>
      </c>
      <c r="B14">
        <v>20.589607999999998</v>
      </c>
      <c r="C14">
        <v>20.57677</v>
      </c>
      <c r="D14">
        <v>20.358563</v>
      </c>
      <c r="E14">
        <v>20.407292000000002</v>
      </c>
      <c r="F14">
        <v>46.414991000000001</v>
      </c>
      <c r="G14">
        <v>47.908197000000001</v>
      </c>
      <c r="H14">
        <v>36.899172</v>
      </c>
      <c r="I14">
        <v>29.181718</v>
      </c>
      <c r="J14">
        <v>56.381394</v>
      </c>
      <c r="K14">
        <v>54.284360999999997</v>
      </c>
      <c r="L14">
        <v>7.1815329999999999</v>
      </c>
      <c r="M14">
        <v>-622.48653100000001</v>
      </c>
      <c r="N14">
        <v>1.877759</v>
      </c>
      <c r="O14">
        <v>11.202643</v>
      </c>
      <c r="P14">
        <f t="shared" si="0"/>
        <v>3.129598333333333E-5</v>
      </c>
      <c r="Q14" cm="1">
        <f t="array" ref="Q14">[1]!PropsSI("D","T",J14+273.15,"P",101325,"Water")</f>
        <v>985.01832963185029</v>
      </c>
      <c r="R14" cm="1">
        <f t="array" ref="R14">[1]!PropsSI("D","T",K14+273.15,"P",101325,"Water")</f>
        <v>986.03800096438454</v>
      </c>
      <c r="S14">
        <f t="shared" si="1"/>
        <v>985.52816529811741</v>
      </c>
      <c r="T14" cm="1">
        <f t="array" ref="T14">[1]!PropsSI("H","T",J14+273.15,"P",101325,"Water")</f>
        <v>236107.7377716816</v>
      </c>
      <c r="U14" cm="1">
        <f t="array" ref="U14">[1]!PropsSI("H","T",K14+273.15,"P",101325,"Water")</f>
        <v>227335.67981855682</v>
      </c>
      <c r="V14">
        <f t="shared" si="2"/>
        <v>270.55722412162464</v>
      </c>
    </row>
    <row r="15" spans="1:23" x14ac:dyDescent="0.2">
      <c r="A15">
        <v>46122.860646990739</v>
      </c>
      <c r="B15">
        <v>20.580110999999999</v>
      </c>
      <c r="C15">
        <v>20.562709999999999</v>
      </c>
      <c r="D15">
        <v>20.359127000000001</v>
      </c>
      <c r="E15">
        <v>20.392458999999999</v>
      </c>
      <c r="F15">
        <v>46.306778999999999</v>
      </c>
      <c r="G15">
        <v>47.553997000000003</v>
      </c>
      <c r="H15">
        <v>38.159725000000002</v>
      </c>
      <c r="I15">
        <v>28.683834999999998</v>
      </c>
      <c r="J15">
        <v>56.383144999999999</v>
      </c>
      <c r="K15">
        <v>54.288815</v>
      </c>
      <c r="L15">
        <v>5.1575530000000001</v>
      </c>
      <c r="M15">
        <v>-622.51591800000006</v>
      </c>
      <c r="N15">
        <v>1.8747469999999999</v>
      </c>
      <c r="O15">
        <v>11.658384</v>
      </c>
      <c r="P15">
        <f t="shared" si="0"/>
        <v>3.1245783333333335E-5</v>
      </c>
      <c r="Q15" cm="1">
        <f t="array" ref="Q15">[1]!PropsSI("D","T",J15+273.15,"P",101325,"Water")</f>
        <v>985.01746689046081</v>
      </c>
      <c r="R15" cm="1">
        <f t="array" ref="R15">[1]!PropsSI("D","T",K15+273.15,"P",101325,"Water")</f>
        <v>986.03586416638382</v>
      </c>
      <c r="S15">
        <f t="shared" si="1"/>
        <v>985.52666552842231</v>
      </c>
      <c r="T15" cm="1">
        <f t="array" ref="T15">[1]!PropsSI("H","T",J15+273.15,"P",101325,"Water")</f>
        <v>236115.06302952196</v>
      </c>
      <c r="U15" cm="1">
        <f t="array" ref="U15">[1]!PropsSI("H","T",K15+273.15,"P",101325,"Water")</f>
        <v>227354.30957461341</v>
      </c>
      <c r="V15">
        <f t="shared" si="2"/>
        <v>269.77472285783807</v>
      </c>
    </row>
    <row r="16" spans="1:23" x14ac:dyDescent="0.2">
      <c r="A16">
        <v>46122.860705439816</v>
      </c>
      <c r="B16">
        <v>20.565882999999999</v>
      </c>
      <c r="C16">
        <v>20.533977</v>
      </c>
      <c r="D16">
        <v>20.337129000000001</v>
      </c>
      <c r="E16">
        <v>20.381253999999998</v>
      </c>
      <c r="F16">
        <v>46.455210000000001</v>
      </c>
      <c r="G16">
        <v>47.681077999999999</v>
      </c>
      <c r="H16">
        <v>38.424280000000003</v>
      </c>
      <c r="I16">
        <v>28.521339999999999</v>
      </c>
      <c r="J16">
        <v>56.387602000000001</v>
      </c>
      <c r="K16">
        <v>54.292633000000002</v>
      </c>
      <c r="L16">
        <v>7.0439889999999998</v>
      </c>
      <c r="M16">
        <v>-622.49224500000003</v>
      </c>
      <c r="N16">
        <v>1.8758900000000001</v>
      </c>
      <c r="O16">
        <v>11.396323000000001</v>
      </c>
      <c r="P16">
        <f t="shared" si="0"/>
        <v>3.1264833333333333E-5</v>
      </c>
      <c r="Q16" cm="1">
        <f t="array" ref="Q16">[1]!PropsSI("D","T",J16+273.15,"P",101325,"Water")</f>
        <v>985.01527078162746</v>
      </c>
      <c r="R16" cm="1">
        <f t="array" ref="R16">[1]!PropsSI("D","T",K16+273.15,"P",101325,"Water")</f>
        <v>986.03403238939472</v>
      </c>
      <c r="S16">
        <f t="shared" si="1"/>
        <v>985.52465158551104</v>
      </c>
      <c r="T16" cm="1">
        <f t="array" ref="T16">[1]!PropsSI("H","T",J16+273.15,"P",101325,"Water")</f>
        <v>236133.70876521594</v>
      </c>
      <c r="U16" cm="1">
        <f t="array" ref="U16">[1]!PropsSI("H","T",K16+273.15,"P",101325,"Water")</f>
        <v>227370.27913759171</v>
      </c>
      <c r="V16">
        <f t="shared" si="2"/>
        <v>270.02110703646349</v>
      </c>
    </row>
    <row r="17" spans="1:22" x14ac:dyDescent="0.2">
      <c r="A17">
        <v>46122.860763888886</v>
      </c>
      <c r="B17">
        <v>20.562089</v>
      </c>
      <c r="C17">
        <v>20.540891999999999</v>
      </c>
      <c r="D17">
        <v>20.348917</v>
      </c>
      <c r="E17">
        <v>20.379828</v>
      </c>
      <c r="F17">
        <v>46.259149999999998</v>
      </c>
      <c r="G17">
        <v>47.767223999999999</v>
      </c>
      <c r="H17">
        <v>37.533102</v>
      </c>
      <c r="I17">
        <v>29.511697000000002</v>
      </c>
      <c r="J17">
        <v>56.388398000000002</v>
      </c>
      <c r="K17">
        <v>54.292952</v>
      </c>
      <c r="L17">
        <v>6.7435960000000001</v>
      </c>
      <c r="M17">
        <v>-622.51510099999996</v>
      </c>
      <c r="N17">
        <v>1.875435</v>
      </c>
      <c r="O17">
        <v>11.619878999999999</v>
      </c>
      <c r="P17">
        <f t="shared" si="0"/>
        <v>3.125725E-5</v>
      </c>
      <c r="Q17" cm="1">
        <f t="array" ref="Q17">[1]!PropsSI("D","T",J17+273.15,"P",101325,"Water")</f>
        <v>985.01487855374671</v>
      </c>
      <c r="R17" cm="1">
        <f t="array" ref="R17">[1]!PropsSI("D","T",K17+273.15,"P",101325,"Water")</f>
        <v>986.03387933737349</v>
      </c>
      <c r="S17">
        <f t="shared" si="1"/>
        <v>985.5243789455601</v>
      </c>
      <c r="T17" cm="1">
        <f t="array" ref="T17">[1]!PropsSI("H","T",J17+273.15,"P",101325,"Water")</f>
        <v>236137.03880989095</v>
      </c>
      <c r="U17" cm="1">
        <f t="array" ref="U17">[1]!PropsSI("H","T",K17+273.15,"P",101325,"Water")</f>
        <v>227371.61342035537</v>
      </c>
      <c r="V17">
        <f t="shared" si="2"/>
        <v>270.01701733098628</v>
      </c>
    </row>
    <row r="18" spans="1:22" x14ac:dyDescent="0.2">
      <c r="A18">
        <v>46122.860822337963</v>
      </c>
      <c r="B18">
        <v>20.572647</v>
      </c>
      <c r="C18">
        <v>20.546720000000001</v>
      </c>
      <c r="D18">
        <v>20.347085</v>
      </c>
      <c r="E18">
        <v>20.381001000000001</v>
      </c>
      <c r="F18">
        <v>46.160927999999998</v>
      </c>
      <c r="G18">
        <v>47.240703000000003</v>
      </c>
      <c r="H18">
        <v>37.934189000000003</v>
      </c>
      <c r="I18">
        <v>29.229755999999998</v>
      </c>
      <c r="J18">
        <v>56.387760999999998</v>
      </c>
      <c r="K18">
        <v>54.296132999999998</v>
      </c>
      <c r="L18">
        <v>5.4024380000000001</v>
      </c>
      <c r="M18">
        <v>-622.48000100000002</v>
      </c>
      <c r="N18">
        <v>1.8692839999999999</v>
      </c>
      <c r="O18">
        <v>11.755167</v>
      </c>
      <c r="P18">
        <f t="shared" si="0"/>
        <v>3.1154733333333335E-5</v>
      </c>
      <c r="Q18" cm="1">
        <f t="array" ref="Q18">[1]!PropsSI("D","T",J18+273.15,"P",101325,"Water")</f>
        <v>985.01519243489736</v>
      </c>
      <c r="R18" cm="1">
        <f t="array" ref="R18">[1]!PropsSI("D","T",K18+273.15,"P",101325,"Water")</f>
        <v>986.03235310042146</v>
      </c>
      <c r="S18">
        <f t="shared" si="1"/>
        <v>985.52377276765947</v>
      </c>
      <c r="T18" cm="1">
        <f t="array" ref="T18">[1]!PropsSI("H","T",J18+273.15,"P",101325,"Water")</f>
        <v>236134.37393744529</v>
      </c>
      <c r="U18" cm="1">
        <f t="array" ref="U18">[1]!PropsSI("H","T",K18+273.15,"P",101325,"Water")</f>
        <v>227384.91860524466</v>
      </c>
      <c r="V18">
        <f t="shared" si="2"/>
        <v>268.64091709134027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1FA8-75EA-6749-AD39-D1E26068FA49}">
  <dimension ref="A1:W44"/>
  <sheetViews>
    <sheetView topLeftCell="F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>
        <v>44660.856016203899</v>
      </c>
      <c r="B2">
        <v>20.558966000000002</v>
      </c>
      <c r="C2">
        <v>20.616021</v>
      </c>
      <c r="D2">
        <v>20.318898000000001</v>
      </c>
      <c r="E2">
        <v>20.399045000000001</v>
      </c>
      <c r="F2">
        <v>39.534709999999997</v>
      </c>
      <c r="G2">
        <v>39.029761999999998</v>
      </c>
      <c r="H2">
        <v>34.687373999999998</v>
      </c>
      <c r="I2">
        <v>27.733473</v>
      </c>
      <c r="J2">
        <v>56.326478000000002</v>
      </c>
      <c r="K2">
        <v>53.352545999999997</v>
      </c>
      <c r="L2">
        <v>15.927217000000001</v>
      </c>
      <c r="M2">
        <v>-622.49836700000003</v>
      </c>
      <c r="N2">
        <v>1.873575</v>
      </c>
      <c r="O2">
        <v>11.447421</v>
      </c>
      <c r="P2">
        <f t="shared" ref="P2:P65" si="0" xml:space="preserve"> N2*0.001/60</f>
        <v>3.1226249999999999E-5</v>
      </c>
      <c r="Q2" cm="1">
        <f t="array" ref="Q2">[1]!PropsSI("D","T",J2+273.15,"P",101325,"Water")</f>
        <v>985.04537796347404</v>
      </c>
      <c r="R2" cm="1">
        <f t="array" ref="R2">[1]!PropsSI("D","T",K2+273.15,"P",101325,"Water")</f>
        <v>986.48229983875046</v>
      </c>
      <c r="S2">
        <f t="shared" ref="S2:S65" si="1">(Q2+R2)/2</f>
        <v>985.76383890111219</v>
      </c>
      <c r="T2" cm="1">
        <f t="array" ref="T2">[1]!PropsSI("H","T",J2+273.15,"P",101325,"Water")</f>
        <v>235877.99887137997</v>
      </c>
      <c r="U2" cm="1">
        <f t="array" ref="U2">[1]!PropsSI("H","T",K2+273.15,"P",101325,"Water")</f>
        <v>223438.32601458894</v>
      </c>
      <c r="V2">
        <f t="shared" ref="V2:V65" si="2">S2*P2*(T2-U2)</f>
        <v>382.91437841984703</v>
      </c>
      <c r="W2" s="2">
        <f>AVERAGE(V2:V44)</f>
        <v>382.31320827308912</v>
      </c>
    </row>
    <row r="3" spans="1:23" x14ac:dyDescent="0.2">
      <c r="A3">
        <v>44660.856074074203</v>
      </c>
      <c r="B3">
        <v>20.546828000000001</v>
      </c>
      <c r="C3">
        <v>20.598413999999998</v>
      </c>
      <c r="D3">
        <v>20.314754000000001</v>
      </c>
      <c r="E3">
        <v>20.376338000000001</v>
      </c>
      <c r="F3">
        <v>39.804183999999999</v>
      </c>
      <c r="G3">
        <v>38.937047999999997</v>
      </c>
      <c r="H3">
        <v>35.270626999999998</v>
      </c>
      <c r="I3">
        <v>27.524881000000001</v>
      </c>
      <c r="J3">
        <v>56.326956000000003</v>
      </c>
      <c r="K3">
        <v>53.351751</v>
      </c>
      <c r="L3">
        <v>19.912324000000002</v>
      </c>
      <c r="M3">
        <v>-622.45224700000006</v>
      </c>
      <c r="N3">
        <v>1.8741730000000001</v>
      </c>
      <c r="O3">
        <v>11.593154999999999</v>
      </c>
      <c r="P3">
        <f t="shared" si="0"/>
        <v>3.1236216666666668E-5</v>
      </c>
      <c r="Q3" cm="1">
        <f t="array" ref="Q3">[1]!PropsSI("D","T",J3+273.15,"P",101325,"Water")</f>
        <v>985.0451426089752</v>
      </c>
      <c r="R3" cm="1">
        <f t="array" ref="R3">[1]!PropsSI("D","T",K3+273.15,"P",101325,"Water")</f>
        <v>986.48267656850658</v>
      </c>
      <c r="S3">
        <f t="shared" si="1"/>
        <v>985.76390958874094</v>
      </c>
      <c r="T3" cm="1">
        <f t="array" ref="T3">[1]!PropsSI("H","T",J3+273.15,"P",101325,"Water")</f>
        <v>235879.99856035438</v>
      </c>
      <c r="U3" cm="1">
        <f t="array" ref="U3">[1]!PropsSI("H","T",K3+273.15,"P",101325,"Water")</f>
        <v>223435.0010215748</v>
      </c>
      <c r="V3">
        <f t="shared" si="2"/>
        <v>383.20057806300872</v>
      </c>
      <c r="W3" s="2"/>
    </row>
    <row r="4" spans="1:23" x14ac:dyDescent="0.2">
      <c r="A4">
        <v>44660.856131944602</v>
      </c>
      <c r="B4">
        <v>20.553491999999999</v>
      </c>
      <c r="C4">
        <v>20.60154</v>
      </c>
      <c r="D4">
        <v>20.301400999999998</v>
      </c>
      <c r="E4">
        <v>20.369095000000002</v>
      </c>
      <c r="F4">
        <v>39.990785000000002</v>
      </c>
      <c r="G4">
        <v>37.881588000000001</v>
      </c>
      <c r="H4">
        <v>34.59066</v>
      </c>
      <c r="I4">
        <v>27.997019999999999</v>
      </c>
      <c r="J4">
        <v>56.329343999999999</v>
      </c>
      <c r="K4">
        <v>53.354453999999997</v>
      </c>
      <c r="L4">
        <v>13.826914</v>
      </c>
      <c r="M4">
        <v>-622.48367399999995</v>
      </c>
      <c r="N4">
        <v>1.8747799999999999</v>
      </c>
      <c r="O4">
        <v>11.578935</v>
      </c>
      <c r="P4">
        <f t="shared" si="0"/>
        <v>3.1246333333333333E-5</v>
      </c>
      <c r="Q4" cm="1">
        <f t="array" ref="Q4">[1]!PropsSI("D","T",J4+273.15,"P",101325,"Water")</f>
        <v>985.04396680022023</v>
      </c>
      <c r="R4" cm="1">
        <f t="array" ref="R4">[1]!PropsSI("D","T",K4+273.15,"P",101325,"Water")</f>
        <v>986.48139567102214</v>
      </c>
      <c r="S4">
        <f t="shared" si="1"/>
        <v>985.76268123562113</v>
      </c>
      <c r="T4" cm="1">
        <f t="array" ref="T4">[1]!PropsSI("H","T",J4+273.15,"P",101325,"Water")</f>
        <v>235889.98863981772</v>
      </c>
      <c r="U4" cm="1">
        <f t="array" ref="U4">[1]!PropsSI("H","T",K4+273.15,"P",101325,"Water")</f>
        <v>223446.3059988048</v>
      </c>
      <c r="V4">
        <f t="shared" si="2"/>
        <v>383.28370916277686</v>
      </c>
      <c r="W4" s="2"/>
    </row>
    <row r="5" spans="1:23" x14ac:dyDescent="0.2">
      <c r="A5">
        <v>44660.856190393701</v>
      </c>
      <c r="B5">
        <v>20.570972000000001</v>
      </c>
      <c r="C5">
        <v>20.622354999999999</v>
      </c>
      <c r="D5">
        <v>20.284614000000001</v>
      </c>
      <c r="E5">
        <v>20.392679999999999</v>
      </c>
      <c r="F5">
        <v>39.959254000000001</v>
      </c>
      <c r="G5">
        <v>36.370083000000001</v>
      </c>
      <c r="H5">
        <v>35.061422999999998</v>
      </c>
      <c r="I5">
        <v>27.310075999999999</v>
      </c>
      <c r="J5">
        <v>56.329183999999998</v>
      </c>
      <c r="K5">
        <v>53.356681000000002</v>
      </c>
      <c r="L5">
        <v>18.285467000000001</v>
      </c>
      <c r="M5">
        <v>-622.48000100000002</v>
      </c>
      <c r="N5">
        <v>1.867621</v>
      </c>
      <c r="O5">
        <v>11.642855000000001</v>
      </c>
      <c r="P5">
        <f t="shared" si="0"/>
        <v>3.1127016666666665E-5</v>
      </c>
      <c r="Q5" cm="1">
        <f t="array" ref="Q5">[1]!PropsSI("D","T",J5+273.15,"P",101325,"Water")</f>
        <v>985.04404558245403</v>
      </c>
      <c r="R5" cm="1">
        <f t="array" ref="R5">[1]!PropsSI("D","T",K5+273.15,"P",101325,"Water")</f>
        <v>986.48034030570398</v>
      </c>
      <c r="S5">
        <f t="shared" si="1"/>
        <v>985.76219294407906</v>
      </c>
      <c r="T5" cm="1">
        <f t="array" ref="T5">[1]!PropsSI("H","T",J5+273.15,"P",101325,"Water")</f>
        <v>235889.31928770425</v>
      </c>
      <c r="U5" cm="1">
        <f t="array" ref="U5">[1]!PropsSI("H","T",K5+273.15,"P",101325,"Water")</f>
        <v>223455.62016425683</v>
      </c>
      <c r="V5">
        <f t="shared" si="2"/>
        <v>381.5135873775908</v>
      </c>
      <c r="W5" s="2"/>
    </row>
    <row r="6" spans="1:23" x14ac:dyDescent="0.2">
      <c r="A6">
        <v>46122.856248842596</v>
      </c>
      <c r="B6">
        <v>20.577511000000001</v>
      </c>
      <c r="C6">
        <v>20.635802000000002</v>
      </c>
      <c r="D6">
        <v>20.290400999999999</v>
      </c>
      <c r="E6">
        <v>20.403459999999999</v>
      </c>
      <c r="F6">
        <v>40.082801000000003</v>
      </c>
      <c r="G6">
        <v>39.145679000000001</v>
      </c>
      <c r="H6">
        <v>34.372506000000001</v>
      </c>
      <c r="I6">
        <v>27.851185000000001</v>
      </c>
      <c r="J6">
        <v>56.330776</v>
      </c>
      <c r="K6">
        <v>53.358111999999998</v>
      </c>
      <c r="L6">
        <v>18.786666</v>
      </c>
      <c r="M6">
        <v>-622.48367399999995</v>
      </c>
      <c r="N6">
        <v>1.8716900000000001</v>
      </c>
      <c r="O6">
        <v>11.643516</v>
      </c>
      <c r="P6">
        <f t="shared" si="0"/>
        <v>3.1194833333333335E-5</v>
      </c>
      <c r="Q6" cm="1">
        <f t="array" ref="Q6">[1]!PropsSI("D","T",J6+273.15,"P",101325,"Water")</f>
        <v>985.04326169210788</v>
      </c>
      <c r="R6" cm="1">
        <f t="array" ref="R6">[1]!PropsSI("D","T",K6+273.15,"P",101325,"Water")</f>
        <v>986.47966214466908</v>
      </c>
      <c r="S6">
        <f t="shared" si="1"/>
        <v>985.76146191838848</v>
      </c>
      <c r="T6" cm="1">
        <f t="array" ref="T6">[1]!PropsSI("H","T",J6+273.15,"P",101325,"Water")</f>
        <v>235895.97934177201</v>
      </c>
      <c r="U6" cm="1">
        <f t="array" ref="U6">[1]!PropsSI("H","T",K6+273.15,"P",101325,"Water")</f>
        <v>223461.6051543057</v>
      </c>
      <c r="V6">
        <f t="shared" si="2"/>
        <v>382.3652690426062</v>
      </c>
      <c r="W6" s="2"/>
    </row>
    <row r="7" spans="1:23" x14ac:dyDescent="0.2">
      <c r="A7">
        <v>46122.856307291666</v>
      </c>
      <c r="B7">
        <v>20.609760000000001</v>
      </c>
      <c r="C7">
        <v>20.645728999999999</v>
      </c>
      <c r="D7">
        <v>20.283617</v>
      </c>
      <c r="E7">
        <v>20.404097</v>
      </c>
      <c r="F7">
        <v>39.236331</v>
      </c>
      <c r="G7">
        <v>37.936000999999997</v>
      </c>
      <c r="H7">
        <v>34.949745</v>
      </c>
      <c r="I7">
        <v>28.196960000000001</v>
      </c>
      <c r="J7">
        <v>56.332844999999999</v>
      </c>
      <c r="K7">
        <v>53.36018</v>
      </c>
      <c r="L7">
        <v>17.108383</v>
      </c>
      <c r="M7">
        <v>-622.49347</v>
      </c>
      <c r="N7">
        <v>1.8739399999999999</v>
      </c>
      <c r="O7">
        <v>11.685642</v>
      </c>
      <c r="P7">
        <f t="shared" si="0"/>
        <v>3.1232333333333329E-5</v>
      </c>
      <c r="Q7" cm="1">
        <f t="array" ref="Q7">[1]!PropsSI("D","T",J7+273.15,"P",101325,"Water")</f>
        <v>985.04224290694344</v>
      </c>
      <c r="R7" cm="1">
        <f t="array" ref="R7">[1]!PropsSI("D","T",K7+273.15,"P",101325,"Water")</f>
        <v>986.47868208198577</v>
      </c>
      <c r="S7">
        <f t="shared" si="1"/>
        <v>985.7604624944646</v>
      </c>
      <c r="T7" cm="1">
        <f t="array" ref="T7">[1]!PropsSI("H","T",J7+273.15,"P",101325,"Water")</f>
        <v>235904.63490341362</v>
      </c>
      <c r="U7" cm="1">
        <f t="array" ref="U7">[1]!PropsSI("H","T",K7+273.15,"P",101325,"Water")</f>
        <v>223470.25432351258</v>
      </c>
      <c r="V7">
        <f t="shared" si="2"/>
        <v>382.82472747741832</v>
      </c>
      <c r="W7" s="2"/>
    </row>
    <row r="8" spans="1:23" x14ac:dyDescent="0.2">
      <c r="A8">
        <v>46122.856365162035</v>
      </c>
      <c r="B8">
        <v>20.598817</v>
      </c>
      <c r="C8">
        <v>20.637664000000001</v>
      </c>
      <c r="D8">
        <v>20.272998000000001</v>
      </c>
      <c r="E8">
        <v>20.383022</v>
      </c>
      <c r="F8">
        <v>39.597548000000003</v>
      </c>
      <c r="G8">
        <v>38.722462999999998</v>
      </c>
      <c r="H8">
        <v>34.544110000000003</v>
      </c>
      <c r="I8">
        <v>27.777166999999999</v>
      </c>
      <c r="J8">
        <v>56.335391999999999</v>
      </c>
      <c r="K8">
        <v>53.366542000000003</v>
      </c>
      <c r="L8">
        <v>17.614888000000001</v>
      </c>
      <c r="M8">
        <v>-622.48938799999996</v>
      </c>
      <c r="N8">
        <v>1.8753120000000001</v>
      </c>
      <c r="O8">
        <v>11.628596999999999</v>
      </c>
      <c r="P8">
        <f t="shared" si="0"/>
        <v>3.1255199999999999E-5</v>
      </c>
      <c r="Q8" cm="1">
        <f t="array" ref="Q8">[1]!PropsSI("D","T",J8+273.15,"P",101325,"Water")</f>
        <v>985.04098871632596</v>
      </c>
      <c r="R8" cm="1">
        <f t="array" ref="R8">[1]!PropsSI("D","T",K8+273.15,"P",101325,"Water")</f>
        <v>986.47566684545188</v>
      </c>
      <c r="S8">
        <f t="shared" si="1"/>
        <v>985.75832778088898</v>
      </c>
      <c r="T8" cm="1">
        <f t="array" ref="T8">[1]!PropsSI("H","T",J8+273.15,"P",101325,"Water")</f>
        <v>235915.29015724902</v>
      </c>
      <c r="U8" cm="1">
        <f t="array" ref="U8">[1]!PropsSI("H","T",K8+273.15,"P",101325,"Water")</f>
        <v>223496.86265669693</v>
      </c>
      <c r="V8">
        <f t="shared" si="2"/>
        <v>382.61266636193687</v>
      </c>
      <c r="W8" s="2"/>
    </row>
    <row r="9" spans="1:23" x14ac:dyDescent="0.2">
      <c r="A9">
        <v>46122.856423611112</v>
      </c>
      <c r="B9">
        <v>20.601807999999998</v>
      </c>
      <c r="C9">
        <v>20.636914999999998</v>
      </c>
      <c r="D9">
        <v>20.275499</v>
      </c>
      <c r="E9">
        <v>20.380443</v>
      </c>
      <c r="F9">
        <v>39.728099</v>
      </c>
      <c r="G9">
        <v>39.154791000000003</v>
      </c>
      <c r="H9">
        <v>34.525472999999998</v>
      </c>
      <c r="I9">
        <v>27.618314999999999</v>
      </c>
      <c r="J9">
        <v>56.338894000000003</v>
      </c>
      <c r="K9">
        <v>53.372107999999997</v>
      </c>
      <c r="L9">
        <v>18.318117999999998</v>
      </c>
      <c r="M9">
        <v>-622.525713</v>
      </c>
      <c r="N9">
        <v>1.8754679999999999</v>
      </c>
      <c r="O9">
        <v>11.472989999999999</v>
      </c>
      <c r="P9">
        <f t="shared" si="0"/>
        <v>3.1257799999999997E-5</v>
      </c>
      <c r="Q9" cm="1">
        <f t="array" ref="Q9">[1]!PropsSI("D","T",J9+273.15,"P",101325,"Water")</f>
        <v>985.03926420094831</v>
      </c>
      <c r="R9" cm="1">
        <f t="array" ref="R9">[1]!PropsSI("D","T",K9+273.15,"P",101325,"Water")</f>
        <v>986.47302865923768</v>
      </c>
      <c r="S9">
        <f t="shared" si="1"/>
        <v>985.75614643009294</v>
      </c>
      <c r="T9" cm="1">
        <f t="array" ref="T9">[1]!PropsSI("H","T",J9+273.15,"P",101325,"Water")</f>
        <v>235929.94061238706</v>
      </c>
      <c r="U9" cm="1">
        <f t="array" ref="U9">[1]!PropsSI("H","T",K9+273.15,"P",101325,"Water")</f>
        <v>223520.14182264014</v>
      </c>
      <c r="V9">
        <f t="shared" si="2"/>
        <v>382.37777495618167</v>
      </c>
      <c r="W9" s="2"/>
    </row>
    <row r="10" spans="1:23" x14ac:dyDescent="0.2">
      <c r="A10">
        <v>44660.8564814817</v>
      </c>
      <c r="B10">
        <v>20.632088</v>
      </c>
      <c r="C10">
        <v>20.663226999999999</v>
      </c>
      <c r="D10">
        <v>20.291366</v>
      </c>
      <c r="E10">
        <v>20.403497000000002</v>
      </c>
      <c r="F10">
        <v>39.932116000000001</v>
      </c>
      <c r="G10">
        <v>38.712645000000002</v>
      </c>
      <c r="H10">
        <v>34.509687999999997</v>
      </c>
      <c r="I10">
        <v>27.374324000000001</v>
      </c>
      <c r="J10">
        <v>56.342236999999997</v>
      </c>
      <c r="K10">
        <v>53.371471999999997</v>
      </c>
      <c r="L10">
        <v>16.049659999999999</v>
      </c>
      <c r="M10">
        <v>-622.49265300000002</v>
      </c>
      <c r="N10">
        <v>1.875702</v>
      </c>
      <c r="O10">
        <v>11.609000999999999</v>
      </c>
      <c r="P10">
        <f t="shared" si="0"/>
        <v>3.1261699999999999E-5</v>
      </c>
      <c r="Q10" cm="1">
        <f t="array" ref="Q10">[1]!PropsSI("D","T",J10+273.15,"P",101325,"Water")</f>
        <v>985.03761791302747</v>
      </c>
      <c r="R10" cm="1">
        <f t="array" ref="R10">[1]!PropsSI("D","T",K10+273.15,"P",101325,"Water")</f>
        <v>986.47333012196975</v>
      </c>
      <c r="S10">
        <f t="shared" si="1"/>
        <v>985.75547401749861</v>
      </c>
      <c r="T10" cm="1">
        <f t="array" ref="T10">[1]!PropsSI("H","T",J10+273.15,"P",101325,"Water")</f>
        <v>235943.92590276003</v>
      </c>
      <c r="U10" cm="1">
        <f t="array" ref="U10">[1]!PropsSI("H","T",K10+273.15,"P",101325,"Water")</f>
        <v>223517.48182399367</v>
      </c>
      <c r="V10">
        <f t="shared" si="2"/>
        <v>382.93817068070518</v>
      </c>
    </row>
    <row r="11" spans="1:23" x14ac:dyDescent="0.2">
      <c r="A11">
        <v>44660.856539930697</v>
      </c>
      <c r="B11">
        <v>20.617992000000001</v>
      </c>
      <c r="C11">
        <v>20.631609999999998</v>
      </c>
      <c r="D11">
        <v>20.301991999999998</v>
      </c>
      <c r="E11">
        <v>20.406203000000001</v>
      </c>
      <c r="F11">
        <v>39.574615999999999</v>
      </c>
      <c r="G11">
        <v>38.844754999999999</v>
      </c>
      <c r="H11">
        <v>34.271379000000003</v>
      </c>
      <c r="I11">
        <v>27.548421999999999</v>
      </c>
      <c r="J11">
        <v>56.340803999999999</v>
      </c>
      <c r="K11">
        <v>53.373539999999998</v>
      </c>
      <c r="L11">
        <v>17.203071999999999</v>
      </c>
      <c r="M11">
        <v>-622.50449000000003</v>
      </c>
      <c r="N11">
        <v>1.876652</v>
      </c>
      <c r="O11">
        <v>11.697423000000001</v>
      </c>
      <c r="P11">
        <f t="shared" si="0"/>
        <v>3.1277533333333333E-5</v>
      </c>
      <c r="Q11" cm="1">
        <f t="array" ref="Q11">[1]!PropsSI("D","T",J11+273.15,"P",101325,"Water")</f>
        <v>985.03832361408365</v>
      </c>
      <c r="R11" cm="1">
        <f t="array" ref="R11">[1]!PropsSI("D","T",K11+273.15,"P",101325,"Water")</f>
        <v>986.47234988475907</v>
      </c>
      <c r="S11">
        <f t="shared" si="1"/>
        <v>985.7553367494213</v>
      </c>
      <c r="T11" cm="1">
        <f t="array" ref="T11">[1]!PropsSI("H","T",J11+273.15,"P",101325,"Water")</f>
        <v>235937.93101109049</v>
      </c>
      <c r="U11" cm="1">
        <f t="array" ref="U11">[1]!PropsSI("H","T",K11+273.15,"P",101325,"Water")</f>
        <v>223526.13100247781</v>
      </c>
      <c r="V11">
        <f t="shared" si="2"/>
        <v>382.68056081708136</v>
      </c>
    </row>
    <row r="12" spans="1:23" x14ac:dyDescent="0.2">
      <c r="A12">
        <v>44660.856597801103</v>
      </c>
      <c r="B12">
        <v>20.635717</v>
      </c>
      <c r="C12">
        <v>20.638276000000001</v>
      </c>
      <c r="D12">
        <v>20.316549999999999</v>
      </c>
      <c r="E12">
        <v>20.413720000000001</v>
      </c>
      <c r="F12">
        <v>40.188398999999997</v>
      </c>
      <c r="G12">
        <v>37.522387999999999</v>
      </c>
      <c r="H12">
        <v>35.442726999999998</v>
      </c>
      <c r="I12">
        <v>27.632223</v>
      </c>
      <c r="J12">
        <v>56.339849000000001</v>
      </c>
      <c r="K12">
        <v>53.362406</v>
      </c>
      <c r="L12">
        <v>18.142617000000001</v>
      </c>
      <c r="M12">
        <v>-622.5</v>
      </c>
      <c r="N12">
        <v>1.8744890000000001</v>
      </c>
      <c r="O12">
        <v>11.747923</v>
      </c>
      <c r="P12">
        <f t="shared" si="0"/>
        <v>3.1241483333333332E-5</v>
      </c>
      <c r="Q12" cm="1">
        <f t="array" ref="Q12">[1]!PropsSI("D","T",J12+273.15,"P",101325,"Water")</f>
        <v>985.03879391031023</v>
      </c>
      <c r="R12" cm="1">
        <f t="array" ref="R12">[1]!PropsSI("D","T",K12+273.15,"P",101325,"Water")</f>
        <v>986.47762711003418</v>
      </c>
      <c r="S12">
        <f t="shared" si="1"/>
        <v>985.75821051017215</v>
      </c>
      <c r="T12" cm="1">
        <f t="array" ref="T12">[1]!PropsSI("H","T",J12+273.15,"P",101325,"Water")</f>
        <v>235933.93581154905</v>
      </c>
      <c r="U12" cm="1">
        <f t="array" ref="U12">[1]!PropsSI("H","T",K12+273.15,"P",101325,"Water")</f>
        <v>223479.56431087712</v>
      </c>
      <c r="V12">
        <f t="shared" si="2"/>
        <v>383.55165850251205</v>
      </c>
    </row>
    <row r="13" spans="1:23" x14ac:dyDescent="0.2">
      <c r="A13">
        <v>44660.856655671501</v>
      </c>
      <c r="B13">
        <v>20.605224</v>
      </c>
      <c r="C13">
        <v>20.625910999999999</v>
      </c>
      <c r="D13">
        <v>20.305346</v>
      </c>
      <c r="E13">
        <v>20.391145999999999</v>
      </c>
      <c r="F13">
        <v>39.168858</v>
      </c>
      <c r="G13">
        <v>39.088524</v>
      </c>
      <c r="H13">
        <v>34.321359000000001</v>
      </c>
      <c r="I13">
        <v>27.368891999999999</v>
      </c>
      <c r="J13">
        <v>56.344147</v>
      </c>
      <c r="K13">
        <v>53.369562999999999</v>
      </c>
      <c r="L13">
        <v>18.325873000000001</v>
      </c>
      <c r="M13">
        <v>-622.50122399999998</v>
      </c>
      <c r="N13">
        <v>1.8687389999999999</v>
      </c>
      <c r="O13">
        <v>11.624924</v>
      </c>
      <c r="P13">
        <f t="shared" si="0"/>
        <v>3.1145649999999999E-5</v>
      </c>
      <c r="Q13" cm="1">
        <f t="array" ref="Q13">[1]!PropsSI("D","T",J13+273.15,"P",101325,"Water")</f>
        <v>985.03667728707592</v>
      </c>
      <c r="R13" cm="1">
        <f t="array" ref="R13">[1]!PropsSI("D","T",K13+273.15,"P",101325,"Water")</f>
        <v>986.47423496881424</v>
      </c>
      <c r="S13">
        <f t="shared" si="1"/>
        <v>985.75545612794508</v>
      </c>
      <c r="T13" cm="1">
        <f t="array" ref="T13">[1]!PropsSI("H","T",J13+273.15,"P",101325,"Water")</f>
        <v>235951.91630388462</v>
      </c>
      <c r="U13" cm="1">
        <f t="array" ref="U13">[1]!PropsSI("H","T",K13+273.15,"P",101325,"Water")</f>
        <v>223509.49764646165</v>
      </c>
      <c r="V13">
        <f t="shared" si="2"/>
        <v>382.00706821827163</v>
      </c>
    </row>
    <row r="14" spans="1:23" x14ac:dyDescent="0.2">
      <c r="A14">
        <v>44660.856714120499</v>
      </c>
      <c r="B14">
        <v>20.598790999999999</v>
      </c>
      <c r="C14">
        <v>20.61373</v>
      </c>
      <c r="D14">
        <v>20.310573000000002</v>
      </c>
      <c r="E14">
        <v>20.392184</v>
      </c>
      <c r="F14">
        <v>40.121929000000002</v>
      </c>
      <c r="G14">
        <v>38.98903</v>
      </c>
      <c r="H14">
        <v>34.199497999999998</v>
      </c>
      <c r="I14">
        <v>27.600517</v>
      </c>
      <c r="J14">
        <v>56.347648999999997</v>
      </c>
      <c r="K14">
        <v>53.374017000000002</v>
      </c>
      <c r="L14">
        <v>17.681415000000001</v>
      </c>
      <c r="M14">
        <v>-622.50326500000006</v>
      </c>
      <c r="N14">
        <v>1.874792</v>
      </c>
      <c r="O14">
        <v>11.756679</v>
      </c>
      <c r="P14">
        <f t="shared" si="0"/>
        <v>3.1246533333333333E-5</v>
      </c>
      <c r="Q14" cm="1">
        <f t="array" ref="Q14">[1]!PropsSI("D","T",J14+273.15,"P",101325,"Water")</f>
        <v>985.03495258398118</v>
      </c>
      <c r="R14" cm="1">
        <f t="array" ref="R14">[1]!PropsSI("D","T",K14+273.15,"P",101325,"Water")</f>
        <v>986.47212378172537</v>
      </c>
      <c r="S14">
        <f t="shared" si="1"/>
        <v>985.75353818285328</v>
      </c>
      <c r="T14" cm="1">
        <f t="array" ref="T14">[1]!PropsSI("H","T",J14+273.15,"P",101325,"Water")</f>
        <v>235966.56677076724</v>
      </c>
      <c r="U14" cm="1">
        <f t="array" ref="U14">[1]!PropsSI("H","T",K14+273.15,"P",101325,"Water")</f>
        <v>223528.12600177407</v>
      </c>
      <c r="V14">
        <f t="shared" si="2"/>
        <v>383.12115055068568</v>
      </c>
    </row>
    <row r="15" spans="1:23" x14ac:dyDescent="0.2">
      <c r="A15">
        <v>46122.856771990744</v>
      </c>
      <c r="B15">
        <v>20.57113</v>
      </c>
      <c r="C15">
        <v>20.581658999999998</v>
      </c>
      <c r="D15">
        <v>20.288948999999999</v>
      </c>
      <c r="E15">
        <v>20.380431000000002</v>
      </c>
      <c r="F15">
        <v>39.867517999999997</v>
      </c>
      <c r="G15">
        <v>39.284827</v>
      </c>
      <c r="H15">
        <v>34.599805000000003</v>
      </c>
      <c r="I15">
        <v>27.766822000000001</v>
      </c>
      <c r="J15">
        <v>56.348284999999997</v>
      </c>
      <c r="K15">
        <v>53.376561000000002</v>
      </c>
      <c r="L15">
        <v>15.042363999999999</v>
      </c>
      <c r="M15">
        <v>-622.49714300000005</v>
      </c>
      <c r="N15">
        <v>1.879005</v>
      </c>
      <c r="O15">
        <v>11.659909000000001</v>
      </c>
      <c r="P15">
        <f t="shared" si="0"/>
        <v>3.1316750000000001E-5</v>
      </c>
      <c r="Q15" cm="1">
        <f t="array" ref="Q15">[1]!PropsSI("D","T",J15+273.15,"P",101325,"Water")</f>
        <v>985.03463935172158</v>
      </c>
      <c r="R15" cm="1">
        <f t="array" ref="R15">[1]!PropsSI("D","T",K15+273.15,"P",101325,"Water")</f>
        <v>986.47091787457498</v>
      </c>
      <c r="S15">
        <f t="shared" si="1"/>
        <v>985.75277861314828</v>
      </c>
      <c r="T15" cm="1">
        <f t="array" ref="T15">[1]!PropsSI("H","T",J15+273.15,"P",101325,"Water")</f>
        <v>235969.22744997821</v>
      </c>
      <c r="U15" cm="1">
        <f t="array" ref="U15">[1]!PropsSI("H","T",K15+273.15,"P",101325,"Water")</f>
        <v>223538.76599937814</v>
      </c>
      <c r="V15">
        <f t="shared" si="2"/>
        <v>383.73547173192941</v>
      </c>
    </row>
    <row r="16" spans="1:23" x14ac:dyDescent="0.2">
      <c r="A16">
        <v>46122.856830439814</v>
      </c>
      <c r="B16">
        <v>20.545736000000002</v>
      </c>
      <c r="C16">
        <v>20.563673999999999</v>
      </c>
      <c r="D16">
        <v>20.289764999999999</v>
      </c>
      <c r="E16">
        <v>20.364011000000001</v>
      </c>
      <c r="F16">
        <v>39.711905000000002</v>
      </c>
      <c r="G16">
        <v>38.878954</v>
      </c>
      <c r="H16">
        <v>34.917608000000001</v>
      </c>
      <c r="I16">
        <v>27.856956</v>
      </c>
      <c r="J16">
        <v>56.348762999999998</v>
      </c>
      <c r="K16">
        <v>53.381014999999998</v>
      </c>
      <c r="L16">
        <v>16.206386999999999</v>
      </c>
      <c r="M16">
        <v>-622.48244999999997</v>
      </c>
      <c r="N16">
        <v>1.8758410000000001</v>
      </c>
      <c r="O16">
        <v>11.590778</v>
      </c>
      <c r="P16">
        <f t="shared" si="0"/>
        <v>3.1264016666666668E-5</v>
      </c>
      <c r="Q16" cm="1">
        <f t="array" ref="Q16">[1]!PropsSI("D","T",J16+273.15,"P",101325,"Water")</f>
        <v>985.03440393337894</v>
      </c>
      <c r="R16" cm="1">
        <f t="array" ref="R16">[1]!PropsSI("D","T",K16+273.15,"P",101325,"Water")</f>
        <v>986.46880649060734</v>
      </c>
      <c r="S16">
        <f t="shared" si="1"/>
        <v>985.75160521199314</v>
      </c>
      <c r="T16" cm="1">
        <f t="array" ref="T16">[1]!PropsSI("H","T",J16+273.15,"P",101325,"Water")</f>
        <v>235971.22714296688</v>
      </c>
      <c r="U16" cm="1">
        <f t="array" ref="U16">[1]!PropsSI("H","T",K16+273.15,"P",101325,"Water")</f>
        <v>223557.39436519571</v>
      </c>
      <c r="V16">
        <f t="shared" si="2"/>
        <v>382.57638343752205</v>
      </c>
    </row>
    <row r="17" spans="1:22" x14ac:dyDescent="0.2">
      <c r="A17">
        <v>46122.856888888891</v>
      </c>
      <c r="B17">
        <v>20.552572999999999</v>
      </c>
      <c r="C17">
        <v>20.553508000000001</v>
      </c>
      <c r="D17">
        <v>20.284241999999999</v>
      </c>
      <c r="E17">
        <v>20.356707</v>
      </c>
      <c r="F17">
        <v>39.956175000000002</v>
      </c>
      <c r="G17">
        <v>38.694389999999999</v>
      </c>
      <c r="H17">
        <v>34.805573000000003</v>
      </c>
      <c r="I17">
        <v>27.398849999999999</v>
      </c>
      <c r="J17">
        <v>56.349558999999999</v>
      </c>
      <c r="K17">
        <v>53.382764000000002</v>
      </c>
      <c r="L17">
        <v>15.428875</v>
      </c>
      <c r="M17">
        <v>-622.48653100000001</v>
      </c>
      <c r="N17">
        <v>1.874161</v>
      </c>
      <c r="O17">
        <v>11.513197</v>
      </c>
      <c r="P17">
        <f t="shared" si="0"/>
        <v>3.1236016666666667E-5</v>
      </c>
      <c r="Q17" cm="1">
        <f t="array" ref="Q17">[1]!PropsSI("D","T",J17+273.15,"P",101325,"Water")</f>
        <v>985.03401189474937</v>
      </c>
      <c r="R17" cm="1">
        <f t="array" ref="R17">[1]!PropsSI("D","T",K17+273.15,"P",101325,"Water")</f>
        <v>986.46797735652717</v>
      </c>
      <c r="S17">
        <f t="shared" si="1"/>
        <v>985.75099462563821</v>
      </c>
      <c r="T17" cm="1">
        <f t="array" ref="T17">[1]!PropsSI("H","T",J17+273.15,"P",101325,"Water")</f>
        <v>235974.55717584019</v>
      </c>
      <c r="U17" cm="1">
        <f t="array" ref="U17">[1]!PropsSI("H","T",K17+273.15,"P",101325,"Water")</f>
        <v>223564.70936745021</v>
      </c>
      <c r="V17">
        <f t="shared" si="2"/>
        <v>382.110810989718</v>
      </c>
    </row>
    <row r="18" spans="1:22" x14ac:dyDescent="0.2">
      <c r="A18">
        <v>46122.856946759261</v>
      </c>
      <c r="B18">
        <v>20.549109000000001</v>
      </c>
      <c r="C18">
        <v>20.565393</v>
      </c>
      <c r="D18">
        <v>20.280111999999999</v>
      </c>
      <c r="E18">
        <v>20.366171999999999</v>
      </c>
      <c r="F18">
        <v>39.807293999999999</v>
      </c>
      <c r="G18">
        <v>38.572797000000001</v>
      </c>
      <c r="H18">
        <v>34.437038999999999</v>
      </c>
      <c r="I18">
        <v>27.705572</v>
      </c>
      <c r="J18">
        <v>56.349558999999999</v>
      </c>
      <c r="K18">
        <v>53.372743999999997</v>
      </c>
      <c r="L18">
        <v>13.468157</v>
      </c>
      <c r="M18">
        <v>-622.50693799999999</v>
      </c>
      <c r="N18">
        <v>1.8747549999999999</v>
      </c>
      <c r="O18">
        <v>11.64053</v>
      </c>
      <c r="P18">
        <f t="shared" si="0"/>
        <v>3.1245916666666669E-5</v>
      </c>
      <c r="Q18" cm="1">
        <f t="array" ref="Q18">[1]!PropsSI("D","T",J18+273.15,"P",101325,"Water")</f>
        <v>985.03401189474937</v>
      </c>
      <c r="R18" cm="1">
        <f t="array" ref="R18">[1]!PropsSI("D","T",K18+273.15,"P",101325,"Water")</f>
        <v>986.47272719395676</v>
      </c>
      <c r="S18">
        <f t="shared" si="1"/>
        <v>985.75336954435306</v>
      </c>
      <c r="T18" cm="1">
        <f t="array" ref="T18">[1]!PropsSI("H","T",J18+273.15,"P",101325,"Water")</f>
        <v>235974.55717584019</v>
      </c>
      <c r="U18" cm="1">
        <f t="array" ref="U18">[1]!PropsSI("H","T",K18+273.15,"P",101325,"Water")</f>
        <v>223522.80182143697</v>
      </c>
      <c r="V18">
        <f t="shared" si="2"/>
        <v>383.52362336452296</v>
      </c>
    </row>
    <row r="19" spans="1:22" x14ac:dyDescent="0.2">
      <c r="A19">
        <v>46122.85700462963</v>
      </c>
      <c r="B19">
        <v>20.525107999999999</v>
      </c>
      <c r="C19">
        <v>20.538112000000002</v>
      </c>
      <c r="D19">
        <v>20.278597000000001</v>
      </c>
      <c r="E19">
        <v>20.346066</v>
      </c>
      <c r="F19">
        <v>39.693769000000003</v>
      </c>
      <c r="G19">
        <v>38.017685</v>
      </c>
      <c r="H19">
        <v>34.759748000000002</v>
      </c>
      <c r="I19">
        <v>27.704995</v>
      </c>
      <c r="J19">
        <v>56.351945999999998</v>
      </c>
      <c r="K19">
        <v>53.378788</v>
      </c>
      <c r="L19">
        <v>17.681415000000001</v>
      </c>
      <c r="M19">
        <v>-622.50163299999997</v>
      </c>
      <c r="N19">
        <v>1.8724970000000001</v>
      </c>
      <c r="O19">
        <v>11.759881999999999</v>
      </c>
      <c r="P19">
        <f t="shared" si="0"/>
        <v>3.1208283333333334E-5</v>
      </c>
      <c r="Q19" cm="1">
        <f t="array" ref="Q19">[1]!PropsSI("D","T",J19+273.15,"P",101325,"Water")</f>
        <v>985.03283624804749</v>
      </c>
      <c r="R19" cm="1">
        <f t="array" ref="R19">[1]!PropsSI("D","T",K19+273.15,"P",101325,"Water")</f>
        <v>986.46986219824385</v>
      </c>
      <c r="S19">
        <f t="shared" si="1"/>
        <v>985.75134922314567</v>
      </c>
      <c r="T19" cm="1">
        <f t="array" ref="T19">[1]!PropsSI("H","T",J19+273.15,"P",101325,"Water")</f>
        <v>235984.54309240836</v>
      </c>
      <c r="U19" cm="1">
        <f t="array" ref="U19">[1]!PropsSI("H","T",K19+273.15,"P",101325,"Water")</f>
        <v>223548.08018140722</v>
      </c>
      <c r="V19">
        <f t="shared" si="2"/>
        <v>382.59046247316854</v>
      </c>
    </row>
    <row r="20" spans="1:22" x14ac:dyDescent="0.2">
      <c r="A20">
        <v>46122.857063078707</v>
      </c>
      <c r="B20">
        <v>20.503226000000002</v>
      </c>
      <c r="C20">
        <v>20.531966000000001</v>
      </c>
      <c r="D20">
        <v>20.263631</v>
      </c>
      <c r="E20">
        <v>20.347104999999999</v>
      </c>
      <c r="F20">
        <v>39.584406000000001</v>
      </c>
      <c r="G20">
        <v>38.103982000000002</v>
      </c>
      <c r="H20">
        <v>34.907865000000001</v>
      </c>
      <c r="I20">
        <v>27.329412000000001</v>
      </c>
      <c r="J20">
        <v>56.354970999999999</v>
      </c>
      <c r="K20">
        <v>53.382764000000002</v>
      </c>
      <c r="L20">
        <v>17.150421000000001</v>
      </c>
      <c r="M20">
        <v>-622.49795900000004</v>
      </c>
      <c r="N20">
        <v>1.871669</v>
      </c>
      <c r="O20">
        <v>11.660303000000001</v>
      </c>
      <c r="P20">
        <f t="shared" si="0"/>
        <v>3.1194483333333338E-5</v>
      </c>
      <c r="Q20" cm="1">
        <f t="array" ref="Q20">[1]!PropsSI("D","T",J20+273.15,"P",101325,"Water")</f>
        <v>985.03134632308411</v>
      </c>
      <c r="R20" cm="1">
        <f t="array" ref="R20">[1]!PropsSI("D","T",K20+273.15,"P",101325,"Water")</f>
        <v>986.46797735652717</v>
      </c>
      <c r="S20">
        <f t="shared" si="1"/>
        <v>985.74966183980564</v>
      </c>
      <c r="T20" cm="1">
        <f t="array" ref="T20">[1]!PropsSI("H","T",J20+273.15,"P",101325,"Water")</f>
        <v>235997.19805898241</v>
      </c>
      <c r="U20" cm="1">
        <f t="array" ref="U20">[1]!PropsSI("H","T",K20+273.15,"P",101325,"Water")</f>
        <v>223564.70936745021</v>
      </c>
      <c r="V20">
        <f t="shared" si="2"/>
        <v>382.29842300962031</v>
      </c>
    </row>
    <row r="21" spans="1:22" x14ac:dyDescent="0.2">
      <c r="A21">
        <v>46122.857120949076</v>
      </c>
      <c r="B21">
        <v>20.479582000000001</v>
      </c>
      <c r="C21">
        <v>20.502253</v>
      </c>
      <c r="D21">
        <v>20.241813</v>
      </c>
      <c r="E21">
        <v>20.319997999999998</v>
      </c>
      <c r="F21">
        <v>39.994014999999997</v>
      </c>
      <c r="G21">
        <v>38.847439999999999</v>
      </c>
      <c r="H21">
        <v>34.217128000000002</v>
      </c>
      <c r="I21">
        <v>27.411009</v>
      </c>
      <c r="J21">
        <v>56.355606999999999</v>
      </c>
      <c r="K21">
        <v>53.383718000000002</v>
      </c>
      <c r="L21">
        <v>18.799727000000001</v>
      </c>
      <c r="M21">
        <v>-622.48244999999997</v>
      </c>
      <c r="N21">
        <v>1.874198</v>
      </c>
      <c r="O21">
        <v>11.662667000000001</v>
      </c>
      <c r="P21">
        <f t="shared" si="0"/>
        <v>3.1236633333333332E-5</v>
      </c>
      <c r="Q21" cm="1">
        <f t="array" ref="Q21">[1]!PropsSI("D","T",J21+273.15,"P",101325,"Water")</f>
        <v>985.03103306231105</v>
      </c>
      <c r="R21" cm="1">
        <f t="array" ref="R21">[1]!PropsSI("D","T",K21+273.15,"P",101325,"Water")</f>
        <v>986.46752509342252</v>
      </c>
      <c r="S21">
        <f t="shared" si="1"/>
        <v>985.74927907786673</v>
      </c>
      <c r="T21" cm="1">
        <f t="array" ref="T21">[1]!PropsSI("H","T",J21+273.15,"P",101325,"Water")</f>
        <v>235999.8587399786</v>
      </c>
      <c r="U21" cm="1">
        <f t="array" ref="U21">[1]!PropsSI("H","T",K21+273.15,"P",101325,"Water")</f>
        <v>223568.69936907047</v>
      </c>
      <c r="V21">
        <f t="shared" si="2"/>
        <v>382.77390440549203</v>
      </c>
    </row>
    <row r="22" spans="1:22" x14ac:dyDescent="0.2">
      <c r="A22">
        <v>46122.857179398146</v>
      </c>
      <c r="B22">
        <v>20.494330000000001</v>
      </c>
      <c r="C22">
        <v>20.502020999999999</v>
      </c>
      <c r="D22">
        <v>20.250169</v>
      </c>
      <c r="E22">
        <v>20.308972000000001</v>
      </c>
      <c r="F22">
        <v>39.509937000000001</v>
      </c>
      <c r="G22">
        <v>38.933095000000002</v>
      </c>
      <c r="H22">
        <v>34.197175999999999</v>
      </c>
      <c r="I22">
        <v>27.37444</v>
      </c>
      <c r="J22">
        <v>56.356881000000001</v>
      </c>
      <c r="K22">
        <v>53.384514000000003</v>
      </c>
      <c r="L22">
        <v>15.599071</v>
      </c>
      <c r="M22">
        <v>-622.47673599999996</v>
      </c>
      <c r="N22">
        <v>1.876927</v>
      </c>
      <c r="O22">
        <v>11.621950999999999</v>
      </c>
      <c r="P22">
        <f t="shared" si="0"/>
        <v>3.1282116666666667E-5</v>
      </c>
      <c r="Q22" cm="1">
        <f t="array" ref="Q22">[1]!PropsSI("D","T",J22+273.15,"P",101325,"Water")</f>
        <v>985.0304055482269</v>
      </c>
      <c r="R22" cm="1">
        <f t="array" ref="R22">[1]!PropsSI("D","T",K22+273.15,"P",101325,"Water")</f>
        <v>986.46714772904431</v>
      </c>
      <c r="S22">
        <f t="shared" si="1"/>
        <v>985.7487766386356</v>
      </c>
      <c r="T22" cm="1">
        <f t="array" ref="T22">[1]!PropsSI("H","T",J22+273.15,"P",101325,"Water")</f>
        <v>236005.18846939571</v>
      </c>
      <c r="U22" cm="1">
        <f t="array" ref="U22">[1]!PropsSI("H","T",K22+273.15,"P",101325,"Water")</f>
        <v>223572.0285530767</v>
      </c>
      <c r="V22">
        <f t="shared" si="2"/>
        <v>383.39275151259267</v>
      </c>
    </row>
    <row r="23" spans="1:22" x14ac:dyDescent="0.2">
      <c r="A23">
        <v>46122.857237268516</v>
      </c>
      <c r="B23">
        <v>20.493048999999999</v>
      </c>
      <c r="C23">
        <v>20.499358000000001</v>
      </c>
      <c r="D23">
        <v>20.237525000000002</v>
      </c>
      <c r="E23">
        <v>20.314836</v>
      </c>
      <c r="F23">
        <v>39.653939000000001</v>
      </c>
      <c r="G23">
        <v>38.503729999999997</v>
      </c>
      <c r="H23">
        <v>34.590615</v>
      </c>
      <c r="I23">
        <v>27.450210999999999</v>
      </c>
      <c r="J23">
        <v>56.355130000000003</v>
      </c>
      <c r="K23">
        <v>53.386899</v>
      </c>
      <c r="L23">
        <v>17.915281</v>
      </c>
      <c r="M23">
        <v>-622.525305</v>
      </c>
      <c r="N23">
        <v>1.8753820000000001</v>
      </c>
      <c r="O23">
        <v>12.063344000000001</v>
      </c>
      <c r="P23">
        <f t="shared" si="0"/>
        <v>3.1256366666666668E-5</v>
      </c>
      <c r="Q23" cm="1">
        <f t="array" ref="Q23">[1]!PropsSI("D","T",J23+273.15,"P",101325,"Water")</f>
        <v>985.0312680081214</v>
      </c>
      <c r="R23" cm="1">
        <f t="array" ref="R23">[1]!PropsSI("D","T",K23+273.15,"P",101325,"Water")</f>
        <v>986.4660170341806</v>
      </c>
      <c r="S23">
        <f t="shared" si="1"/>
        <v>985.74864252115094</v>
      </c>
      <c r="T23" cm="1">
        <f t="array" ref="T23">[1]!PropsSI("H","T",J23+273.15,"P",101325,"Water")</f>
        <v>235997.86322924</v>
      </c>
      <c r="U23" cm="1">
        <f t="array" ref="U23">[1]!PropsSI("H","T",K23+273.15,"P",101325,"Water")</f>
        <v>223582.00355918854</v>
      </c>
      <c r="V23">
        <f t="shared" si="2"/>
        <v>382.54407158767316</v>
      </c>
    </row>
    <row r="24" spans="1:22" x14ac:dyDescent="0.2">
      <c r="A24">
        <v>46122.857295717593</v>
      </c>
      <c r="B24">
        <v>20.501552</v>
      </c>
      <c r="C24">
        <v>20.515913999999999</v>
      </c>
      <c r="D24">
        <v>20.252687000000002</v>
      </c>
      <c r="E24">
        <v>20.335584000000001</v>
      </c>
      <c r="F24">
        <v>39.878104</v>
      </c>
      <c r="G24">
        <v>39.144421999999999</v>
      </c>
      <c r="H24">
        <v>34.704470999999998</v>
      </c>
      <c r="I24">
        <v>27.478394999999999</v>
      </c>
      <c r="J24">
        <v>56.353696999999997</v>
      </c>
      <c r="K24">
        <v>53.385786000000003</v>
      </c>
      <c r="L24">
        <v>17.472854000000002</v>
      </c>
      <c r="M24">
        <v>-622.506122</v>
      </c>
      <c r="N24">
        <v>1.874825</v>
      </c>
      <c r="O24">
        <v>11.527316000000001</v>
      </c>
      <c r="P24">
        <f t="shared" si="0"/>
        <v>3.1247083333333338E-5</v>
      </c>
      <c r="Q24" cm="1">
        <f t="array" ref="Q24">[1]!PropsSI("D","T",J24+273.15,"P",101325,"Water")</f>
        <v>985.03197382225483</v>
      </c>
      <c r="R24" cm="1">
        <f t="array" ref="R24">[1]!PropsSI("D","T",K24+273.15,"P",101325,"Water")</f>
        <v>986.46654469625696</v>
      </c>
      <c r="S24">
        <f t="shared" si="1"/>
        <v>985.74925925925595</v>
      </c>
      <c r="T24" cm="1">
        <f t="array" ref="T24">[1]!PropsSI("H","T",J24+273.15,"P",101325,"Water")</f>
        <v>235991.86833050131</v>
      </c>
      <c r="U24" cm="1">
        <f t="array" ref="U24">[1]!PropsSI("H","T",K24+273.15,"P",101325,"Water")</f>
        <v>223577.34855607193</v>
      </c>
      <c r="V24">
        <f t="shared" si="2"/>
        <v>382.38942173001436</v>
      </c>
    </row>
    <row r="25" spans="1:22" x14ac:dyDescent="0.2">
      <c r="A25">
        <v>46122.85735416667</v>
      </c>
      <c r="B25">
        <v>20.501512000000002</v>
      </c>
      <c r="C25">
        <v>20.514018</v>
      </c>
      <c r="D25">
        <v>20.241274000000001</v>
      </c>
      <c r="E25">
        <v>20.330950999999999</v>
      </c>
      <c r="F25">
        <v>39.770778</v>
      </c>
      <c r="G25">
        <v>38.374085000000001</v>
      </c>
      <c r="H25">
        <v>35.028782</v>
      </c>
      <c r="I25">
        <v>27.549658000000001</v>
      </c>
      <c r="J25">
        <v>56.351469000000002</v>
      </c>
      <c r="K25">
        <v>53.381174000000001</v>
      </c>
      <c r="L25">
        <v>18.231183999999999</v>
      </c>
      <c r="M25">
        <v>-622.48775599999999</v>
      </c>
      <c r="N25">
        <v>1.87355</v>
      </c>
      <c r="O25">
        <v>11.635802</v>
      </c>
      <c r="P25">
        <f t="shared" si="0"/>
        <v>3.1225833333333335E-5</v>
      </c>
      <c r="Q25" cm="1">
        <f t="array" ref="Q25">[1]!PropsSI("D","T",J25+273.15,"P",101325,"Water")</f>
        <v>985.03307118316116</v>
      </c>
      <c r="R25" cm="1">
        <f t="array" ref="R25">[1]!PropsSI("D","T",K25+273.15,"P",101325,"Water")</f>
        <v>986.46873111556545</v>
      </c>
      <c r="S25">
        <f t="shared" si="1"/>
        <v>985.75090114936324</v>
      </c>
      <c r="T25" cm="1">
        <f t="array" ref="T25">[1]!PropsSI("H","T",J25+273.15,"P",101325,"Water")</f>
        <v>235982.54758229211</v>
      </c>
      <c r="U25" cm="1">
        <f t="array" ref="U25">[1]!PropsSI("H","T",K25+273.15,"P",101325,"Water")</f>
        <v>223558.05936535119</v>
      </c>
      <c r="V25">
        <f t="shared" si="2"/>
        <v>382.43684670259557</v>
      </c>
    </row>
    <row r="26" spans="1:22" x14ac:dyDescent="0.2">
      <c r="A26">
        <v>46122.85741261574</v>
      </c>
      <c r="B26">
        <v>20.482994000000001</v>
      </c>
      <c r="C26">
        <v>20.492636999999998</v>
      </c>
      <c r="D26">
        <v>20.234518999999999</v>
      </c>
      <c r="E26">
        <v>20.325184</v>
      </c>
      <c r="F26">
        <v>40.104126999999998</v>
      </c>
      <c r="G26">
        <v>37.2042</v>
      </c>
      <c r="H26">
        <v>34.761828999999999</v>
      </c>
      <c r="I26">
        <v>27.304857999999999</v>
      </c>
      <c r="J26">
        <v>56.351627999999998</v>
      </c>
      <c r="K26">
        <v>53.384990999999999</v>
      </c>
      <c r="L26">
        <v>21.749783000000001</v>
      </c>
      <c r="M26">
        <v>-622.49673499999994</v>
      </c>
      <c r="N26">
        <v>1.8739399999999999</v>
      </c>
      <c r="O26">
        <v>11.68671</v>
      </c>
      <c r="P26">
        <f t="shared" si="0"/>
        <v>3.1232333333333329E-5</v>
      </c>
      <c r="Q26" cm="1">
        <f t="array" ref="Q26">[1]!PropsSI("D","T",J26+273.15,"P",101325,"Water")</f>
        <v>985.03299287160507</v>
      </c>
      <c r="R26" cm="1">
        <f t="array" ref="R26">[1]!PropsSI("D","T",K26+273.15,"P",101325,"Water")</f>
        <v>986.46692159296617</v>
      </c>
      <c r="S26">
        <f t="shared" si="1"/>
        <v>985.74995723228562</v>
      </c>
      <c r="T26" cm="1">
        <f t="array" ref="T26">[1]!PropsSI("H","T",J26+273.15,"P",101325,"Water")</f>
        <v>235983.21275235721</v>
      </c>
      <c r="U26" cm="1">
        <f t="array" ref="U26">[1]!PropsSI("H","T",K26+273.15,"P",101325,"Water")</f>
        <v>223574.02355411398</v>
      </c>
      <c r="V26">
        <f t="shared" si="2"/>
        <v>382.04507380907518</v>
      </c>
    </row>
    <row r="27" spans="1:22" x14ac:dyDescent="0.2">
      <c r="A27">
        <v>46122.857471064817</v>
      </c>
      <c r="B27">
        <v>20.479963999999999</v>
      </c>
      <c r="C27">
        <v>20.500543</v>
      </c>
      <c r="D27">
        <v>20.235461000000001</v>
      </c>
      <c r="E27">
        <v>20.330939999999998</v>
      </c>
      <c r="F27">
        <v>39.879187000000002</v>
      </c>
      <c r="G27">
        <v>38.623798000000001</v>
      </c>
      <c r="H27">
        <v>34.890855000000002</v>
      </c>
      <c r="I27">
        <v>27.365213000000001</v>
      </c>
      <c r="J27">
        <v>56.349400000000003</v>
      </c>
      <c r="K27">
        <v>53.386263</v>
      </c>
      <c r="L27">
        <v>20.049052</v>
      </c>
      <c r="M27">
        <v>-622.51673400000004</v>
      </c>
      <c r="N27">
        <v>1.8677269999999999</v>
      </c>
      <c r="O27">
        <v>11.433405</v>
      </c>
      <c r="P27">
        <f t="shared" si="0"/>
        <v>3.1128783333333336E-5</v>
      </c>
      <c r="Q27" cm="1">
        <f t="array" ref="Q27">[1]!PropsSI("D","T",J27+273.15,"P",101325,"Water")</f>
        <v>985.03409020425875</v>
      </c>
      <c r="R27" cm="1">
        <f t="array" ref="R27">[1]!PropsSI("D","T",K27+273.15,"P",101325,"Water")</f>
        <v>986.46631855630915</v>
      </c>
      <c r="S27">
        <f t="shared" si="1"/>
        <v>985.750204380284</v>
      </c>
      <c r="T27" cm="1">
        <f t="array" ref="T27">[1]!PropsSI("H","T",J27+273.15,"P",101325,"Water")</f>
        <v>235973.89200595481</v>
      </c>
      <c r="U27" cm="1">
        <f t="array" ref="U27">[1]!PropsSI("H","T",K27+273.15,"P",101325,"Water")</f>
        <v>223579.3435573671</v>
      </c>
      <c r="V27">
        <f t="shared" si="2"/>
        <v>380.32925423838412</v>
      </c>
    </row>
    <row r="28" spans="1:22" x14ac:dyDescent="0.2">
      <c r="A28">
        <v>46122.857528935187</v>
      </c>
      <c r="B28">
        <v>20.497595</v>
      </c>
      <c r="C28">
        <v>20.515937000000001</v>
      </c>
      <c r="D28">
        <v>20.246907</v>
      </c>
      <c r="E28">
        <v>20.317689000000001</v>
      </c>
      <c r="F28">
        <v>40.016407999999998</v>
      </c>
      <c r="G28">
        <v>39.196421000000001</v>
      </c>
      <c r="H28">
        <v>34.588216000000003</v>
      </c>
      <c r="I28">
        <v>27.637467999999998</v>
      </c>
      <c r="J28">
        <v>56.349558999999999</v>
      </c>
      <c r="K28">
        <v>53.384196000000003</v>
      </c>
      <c r="L28">
        <v>17.806307</v>
      </c>
      <c r="M28">
        <v>-622.474695</v>
      </c>
      <c r="N28">
        <v>1.8714109999999999</v>
      </c>
      <c r="O28">
        <v>11.565642</v>
      </c>
      <c r="P28">
        <f t="shared" si="0"/>
        <v>3.1190183333333335E-5</v>
      </c>
      <c r="Q28" cm="1">
        <f t="array" ref="Q28">[1]!PropsSI("D","T",J28+273.15,"P",101325,"Water")</f>
        <v>985.03401189474937</v>
      </c>
      <c r="R28" cm="1">
        <f t="array" ref="R28">[1]!PropsSI("D","T",K28+273.15,"P",101325,"Water")</f>
        <v>986.46729848566451</v>
      </c>
      <c r="S28">
        <f t="shared" si="1"/>
        <v>985.750655190207</v>
      </c>
      <c r="T28" cm="1">
        <f t="array" ref="T28">[1]!PropsSI("H","T",J28+273.15,"P",101325,"Water")</f>
        <v>235974.55717584019</v>
      </c>
      <c r="U28" cm="1">
        <f t="array" ref="U28">[1]!PropsSI("H","T",K28+273.15,"P",101325,"Water")</f>
        <v>223570.69855237025</v>
      </c>
      <c r="V28">
        <f t="shared" si="2"/>
        <v>381.36585758663983</v>
      </c>
    </row>
    <row r="29" spans="1:22" x14ac:dyDescent="0.2">
      <c r="A29">
        <v>46122.857587384256</v>
      </c>
      <c r="B29">
        <v>20.457293</v>
      </c>
      <c r="C29">
        <v>20.478062000000001</v>
      </c>
      <c r="D29">
        <v>20.229230000000001</v>
      </c>
      <c r="E29">
        <v>20.313058000000002</v>
      </c>
      <c r="F29">
        <v>40.191746000000002</v>
      </c>
      <c r="G29">
        <v>38.849682999999999</v>
      </c>
      <c r="H29">
        <v>34.587727000000001</v>
      </c>
      <c r="I29">
        <v>27.509233999999999</v>
      </c>
      <c r="J29">
        <v>56.346853000000003</v>
      </c>
      <c r="K29">
        <v>53.383718000000002</v>
      </c>
      <c r="L29">
        <v>17.895282000000002</v>
      </c>
      <c r="M29">
        <v>-622.51469299999997</v>
      </c>
      <c r="N29">
        <v>1.87975</v>
      </c>
      <c r="O29">
        <v>11.654025000000001</v>
      </c>
      <c r="P29">
        <f t="shared" si="0"/>
        <v>3.1329166666666672E-5</v>
      </c>
      <c r="Q29" cm="1">
        <f t="array" ref="Q29">[1]!PropsSI("D","T",J29+273.15,"P",101325,"Water")</f>
        <v>985.03534461332526</v>
      </c>
      <c r="R29" cm="1">
        <f t="array" ref="R29">[1]!PropsSI("D","T",K29+273.15,"P",101325,"Water")</f>
        <v>986.46752509342252</v>
      </c>
      <c r="S29">
        <f t="shared" si="1"/>
        <v>985.75143485337389</v>
      </c>
      <c r="T29" cm="1">
        <f t="array" ref="T29">[1]!PropsSI("H","T",J29+273.15,"P",101325,"Water")</f>
        <v>235963.2367384659</v>
      </c>
      <c r="U29" cm="1">
        <f t="array" ref="U29">[1]!PropsSI("H","T",K29+273.15,"P",101325,"Water")</f>
        <v>223568.69936907047</v>
      </c>
      <c r="V29">
        <f t="shared" si="2"/>
        <v>382.7776591609088</v>
      </c>
    </row>
    <row r="30" spans="1:22" x14ac:dyDescent="0.2">
      <c r="A30">
        <v>46122.857645833334</v>
      </c>
      <c r="B30">
        <v>20.448741999999999</v>
      </c>
      <c r="C30">
        <v>20.457744000000002</v>
      </c>
      <c r="D30">
        <v>20.223072999999999</v>
      </c>
      <c r="E30">
        <v>20.279398</v>
      </c>
      <c r="F30">
        <v>39.841983999999997</v>
      </c>
      <c r="G30">
        <v>37.740267000000003</v>
      </c>
      <c r="H30">
        <v>34.830384000000002</v>
      </c>
      <c r="I30">
        <v>27.728937999999999</v>
      </c>
      <c r="J30">
        <v>56.349240000000002</v>
      </c>
      <c r="K30">
        <v>53.386422000000003</v>
      </c>
      <c r="L30">
        <v>15.599071</v>
      </c>
      <c r="M30">
        <v>-622.49061300000005</v>
      </c>
      <c r="N30">
        <v>1.8706</v>
      </c>
      <c r="O30">
        <v>11.382395000000001</v>
      </c>
      <c r="P30">
        <f t="shared" si="0"/>
        <v>3.1176666666666669E-5</v>
      </c>
      <c r="Q30" cm="1">
        <f t="array" ref="Q30">[1]!PropsSI("D","T",J30+273.15,"P",101325,"Water")</f>
        <v>985.03416900616867</v>
      </c>
      <c r="R30" cm="1">
        <f t="array" ref="R30">[1]!PropsSI("D","T",K30+273.15,"P",101325,"Water")</f>
        <v>986.46624317602254</v>
      </c>
      <c r="S30">
        <f t="shared" si="1"/>
        <v>985.75020609109561</v>
      </c>
      <c r="T30" cm="1">
        <f t="array" ref="T30">[1]!PropsSI("H","T",J30+273.15,"P",101325,"Water")</f>
        <v>235973.22265258391</v>
      </c>
      <c r="U30" cm="1">
        <f t="array" ref="U30">[1]!PropsSI("H","T",K30+273.15,"P",101325,"Water")</f>
        <v>223580.0085577984</v>
      </c>
      <c r="V30">
        <f t="shared" si="2"/>
        <v>380.87328214820081</v>
      </c>
    </row>
    <row r="31" spans="1:22" x14ac:dyDescent="0.2">
      <c r="A31">
        <v>46122.857704282411</v>
      </c>
      <c r="B31">
        <v>20.453976999999998</v>
      </c>
      <c r="C31">
        <v>20.455738</v>
      </c>
      <c r="D31">
        <v>20.223389000000001</v>
      </c>
      <c r="E31">
        <v>20.283156999999999</v>
      </c>
      <c r="F31">
        <v>40.034439999999996</v>
      </c>
      <c r="G31">
        <v>38.494818000000002</v>
      </c>
      <c r="H31">
        <v>35.405835000000003</v>
      </c>
      <c r="I31">
        <v>27.436292999999999</v>
      </c>
      <c r="J31">
        <v>56.350831999999997</v>
      </c>
      <c r="K31">
        <v>53.382128000000002</v>
      </c>
      <c r="L31">
        <v>18.574839999999998</v>
      </c>
      <c r="M31">
        <v>-622.47836800000005</v>
      </c>
      <c r="N31">
        <v>1.8745989999999999</v>
      </c>
      <c r="O31">
        <v>11.553303</v>
      </c>
      <c r="P31">
        <f t="shared" si="0"/>
        <v>3.124331666666667E-5</v>
      </c>
      <c r="Q31" cm="1">
        <f t="array" ref="Q31">[1]!PropsSI("D","T",J31+273.15,"P",101325,"Water")</f>
        <v>985.03338492034322</v>
      </c>
      <c r="R31" cm="1">
        <f t="array" ref="R31">[1]!PropsSI("D","T",K31+273.15,"P",101325,"Water")</f>
        <v>986.46827886206802</v>
      </c>
      <c r="S31">
        <f t="shared" si="1"/>
        <v>985.75083189120562</v>
      </c>
      <c r="T31" cm="1">
        <f t="array" ref="T31">[1]!PropsSI("H","T",J31+273.15,"P",101325,"Water")</f>
        <v>235979.88271884565</v>
      </c>
      <c r="U31" cm="1">
        <f t="array" ref="U31">[1]!PropsSI("H","T",K31+273.15,"P",101325,"Water")</f>
        <v>223562.04936650206</v>
      </c>
      <c r="V31">
        <f t="shared" si="2"/>
        <v>382.44598872226197</v>
      </c>
    </row>
    <row r="32" spans="1:22" x14ac:dyDescent="0.2">
      <c r="A32">
        <v>46122.85776215278</v>
      </c>
      <c r="B32">
        <v>20.451143999999999</v>
      </c>
      <c r="C32">
        <v>20.497035</v>
      </c>
      <c r="D32">
        <v>20.214079999999999</v>
      </c>
      <c r="E32">
        <v>20.264064999999999</v>
      </c>
      <c r="F32">
        <v>39.934838999999997</v>
      </c>
      <c r="G32">
        <v>36.761873000000001</v>
      </c>
      <c r="H32">
        <v>34.485213999999999</v>
      </c>
      <c r="I32">
        <v>27.692896000000001</v>
      </c>
      <c r="J32">
        <v>56.352741999999999</v>
      </c>
      <c r="K32">
        <v>53.384354999999999</v>
      </c>
      <c r="L32">
        <v>19.302558999999999</v>
      </c>
      <c r="M32">
        <v>-622.47877700000004</v>
      </c>
      <c r="N32">
        <v>1.8774839999999999</v>
      </c>
      <c r="O32">
        <v>11.510274000000001</v>
      </c>
      <c r="P32">
        <f t="shared" si="0"/>
        <v>3.1291400000000003E-5</v>
      </c>
      <c r="Q32" cm="1">
        <f t="array" ref="Q32">[1]!PropsSI("D","T",J32+273.15,"P",101325,"Water")</f>
        <v>985.03244419388807</v>
      </c>
      <c r="R32" cm="1">
        <f t="array" ref="R32">[1]!PropsSI("D","T",K32+273.15,"P",101325,"Water")</f>
        <v>986.46722310743917</v>
      </c>
      <c r="S32">
        <f t="shared" si="1"/>
        <v>985.74983365066362</v>
      </c>
      <c r="T32" cm="1">
        <f t="array" ref="T32">[1]!PropsSI("H","T",J32+273.15,"P",101325,"Water")</f>
        <v>235987.87312623815</v>
      </c>
      <c r="U32" cm="1">
        <f t="array" ref="U32">[1]!PropsSI("H","T",K32+273.15,"P",101325,"Water")</f>
        <v>223571.36355268757</v>
      </c>
      <c r="V32">
        <f t="shared" si="2"/>
        <v>382.99335099880352</v>
      </c>
    </row>
    <row r="33" spans="1:22" x14ac:dyDescent="0.2">
      <c r="A33">
        <v>46122.85782002315</v>
      </c>
      <c r="B33">
        <v>20.433042</v>
      </c>
      <c r="C33">
        <v>20.495336000000002</v>
      </c>
      <c r="D33">
        <v>20.226075999999999</v>
      </c>
      <c r="E33">
        <v>20.275708000000002</v>
      </c>
      <c r="F33">
        <v>39.599345999999997</v>
      </c>
      <c r="G33">
        <v>39.468454999999999</v>
      </c>
      <c r="H33">
        <v>33.879513000000003</v>
      </c>
      <c r="I33">
        <v>27.461793</v>
      </c>
      <c r="J33">
        <v>56.349558999999999</v>
      </c>
      <c r="K33">
        <v>53.385308999999999</v>
      </c>
      <c r="L33">
        <v>16.164348</v>
      </c>
      <c r="M33">
        <v>-622.51428499999997</v>
      </c>
      <c r="N33">
        <v>1.8741319999999999</v>
      </c>
      <c r="O33">
        <v>11.715684</v>
      </c>
      <c r="P33">
        <f t="shared" si="0"/>
        <v>3.1235533333333329E-5</v>
      </c>
      <c r="Q33" cm="1">
        <f t="array" ref="Q33">[1]!PropsSI("D","T",J33+273.15,"P",101325,"Water")</f>
        <v>985.03401189474937</v>
      </c>
      <c r="R33" cm="1">
        <f t="array" ref="R33">[1]!PropsSI("D","T",K33+273.15,"P",101325,"Water")</f>
        <v>986.46677083476084</v>
      </c>
      <c r="S33">
        <f t="shared" si="1"/>
        <v>985.75039136475516</v>
      </c>
      <c r="T33" cm="1">
        <f t="array" ref="T33">[1]!PropsSI("H","T",J33+273.15,"P",101325,"Water")</f>
        <v>235974.55717584019</v>
      </c>
      <c r="U33" cm="1">
        <f t="array" ref="U33">[1]!PropsSI("H","T",K33+273.15,"P",101325,"Water")</f>
        <v>223575.35355488336</v>
      </c>
      <c r="V33">
        <f t="shared" si="2"/>
        <v>381.77692531645522</v>
      </c>
    </row>
    <row r="34" spans="1:22" x14ac:dyDescent="0.2">
      <c r="A34">
        <v>46122.857877893519</v>
      </c>
      <c r="B34">
        <v>20.454913000000001</v>
      </c>
      <c r="C34">
        <v>20.501933000000001</v>
      </c>
      <c r="D34">
        <v>20.195533999999999</v>
      </c>
      <c r="E34">
        <v>20.258575</v>
      </c>
      <c r="F34">
        <v>40.003886999999999</v>
      </c>
      <c r="G34">
        <v>39.061022000000001</v>
      </c>
      <c r="H34">
        <v>33.956493000000002</v>
      </c>
      <c r="I34">
        <v>27.908821</v>
      </c>
      <c r="J34">
        <v>56.346533999999998</v>
      </c>
      <c r="K34">
        <v>53.383718000000002</v>
      </c>
      <c r="L34">
        <v>14.310563999999999</v>
      </c>
      <c r="M34">
        <v>-622.50938699999995</v>
      </c>
      <c r="N34">
        <v>1.8786639999999999</v>
      </c>
      <c r="O34">
        <v>11.505382000000001</v>
      </c>
      <c r="P34">
        <f t="shared" si="0"/>
        <v>3.1311066666666666E-5</v>
      </c>
      <c r="Q34" cm="1">
        <f t="array" ref="Q34">[1]!PropsSI("D","T",J34+273.15,"P",101325,"Water")</f>
        <v>985.0355017194654</v>
      </c>
      <c r="R34" cm="1">
        <f t="array" ref="R34">[1]!PropsSI("D","T",K34+273.15,"P",101325,"Water")</f>
        <v>986.46752509342252</v>
      </c>
      <c r="S34">
        <f t="shared" si="1"/>
        <v>985.75151340644402</v>
      </c>
      <c r="T34" cm="1">
        <f t="array" ref="T34">[1]!PropsSI("H","T",J34+273.15,"P",101325,"Water")</f>
        <v>235961.90221549748</v>
      </c>
      <c r="U34" cm="1">
        <f t="array" ref="U34">[1]!PropsSI("H","T",K34+273.15,"P",101325,"Water")</f>
        <v>223568.69936907047</v>
      </c>
      <c r="V34">
        <f t="shared" si="2"/>
        <v>382.51535509922905</v>
      </c>
    </row>
    <row r="35" spans="1:22" x14ac:dyDescent="0.2">
      <c r="A35">
        <v>46122.857935763888</v>
      </c>
      <c r="B35">
        <v>20.449563999999999</v>
      </c>
      <c r="C35">
        <v>20.521004000000001</v>
      </c>
      <c r="D35">
        <v>20.183499000000001</v>
      </c>
      <c r="E35">
        <v>20.262056000000001</v>
      </c>
      <c r="F35">
        <v>39.574959999999997</v>
      </c>
      <c r="G35">
        <v>38.784402999999998</v>
      </c>
      <c r="H35">
        <v>34.719096</v>
      </c>
      <c r="I35">
        <v>27.956599000000001</v>
      </c>
      <c r="J35">
        <v>56.344624000000003</v>
      </c>
      <c r="K35">
        <v>53.382286999999998</v>
      </c>
      <c r="L35">
        <v>16.140675999999999</v>
      </c>
      <c r="M35">
        <v>-622.48489900000004</v>
      </c>
      <c r="N35">
        <v>1.8704689999999999</v>
      </c>
      <c r="O35">
        <v>11.888954999999999</v>
      </c>
      <c r="P35">
        <f t="shared" si="0"/>
        <v>3.1174483333333334E-5</v>
      </c>
      <c r="Q35" cm="1">
        <f t="array" ref="Q35">[1]!PropsSI("D","T",J35+273.15,"P",101325,"Water")</f>
        <v>985.03644237333992</v>
      </c>
      <c r="R35" cm="1">
        <f t="array" ref="R35">[1]!PropsSI("D","T",K35+273.15,"P",101325,"Water")</f>
        <v>986.46820348591359</v>
      </c>
      <c r="S35">
        <f t="shared" si="1"/>
        <v>985.75232292962676</v>
      </c>
      <c r="T35" cm="1">
        <f t="array" ref="T35">[1]!PropsSI("H","T",J35+273.15,"P",101325,"Water")</f>
        <v>235953.91181264748</v>
      </c>
      <c r="U35" cm="1">
        <f t="array" ref="U35">[1]!PropsSI("H","T",K35+273.15,"P",101325,"Water")</f>
        <v>223562.71436669421</v>
      </c>
      <c r="V35">
        <f t="shared" si="2"/>
        <v>380.7854547912998</v>
      </c>
    </row>
    <row r="36" spans="1:22" x14ac:dyDescent="0.2">
      <c r="A36">
        <v>46122.857994212965</v>
      </c>
      <c r="B36">
        <v>20.435146</v>
      </c>
      <c r="C36">
        <v>20.499279000000001</v>
      </c>
      <c r="D36">
        <v>20.193111999999999</v>
      </c>
      <c r="E36">
        <v>20.267434999999999</v>
      </c>
      <c r="F36">
        <v>39.731507000000001</v>
      </c>
      <c r="G36">
        <v>38.360911999999999</v>
      </c>
      <c r="H36">
        <v>35.029584999999997</v>
      </c>
      <c r="I36">
        <v>27.287627000000001</v>
      </c>
      <c r="J36">
        <v>56.340167000000001</v>
      </c>
      <c r="K36">
        <v>53.375925000000002</v>
      </c>
      <c r="L36">
        <v>17.101036000000001</v>
      </c>
      <c r="M36">
        <v>-622.480817</v>
      </c>
      <c r="N36">
        <v>1.8667320000000001</v>
      </c>
      <c r="O36">
        <v>10.949135</v>
      </c>
      <c r="P36">
        <f t="shared" si="0"/>
        <v>3.1112200000000003E-5</v>
      </c>
      <c r="Q36" cm="1">
        <f t="array" ref="Q36">[1]!PropsSI("D","T",J36+273.15,"P",101325,"Water")</f>
        <v>985.03863730966441</v>
      </c>
      <c r="R36" cm="1">
        <f t="array" ref="R36">[1]!PropsSI("D","T",K36+273.15,"P",101325,"Water")</f>
        <v>986.47121935518737</v>
      </c>
      <c r="S36">
        <f t="shared" si="1"/>
        <v>985.75492833242583</v>
      </c>
      <c r="T36" cm="1">
        <f t="array" ref="T36">[1]!PropsSI("H","T",J36+273.15,"P",101325,"Water")</f>
        <v>235935.26615021026</v>
      </c>
      <c r="U36" cm="1">
        <f t="array" ref="U36">[1]!PropsSI("H","T",K36+273.15,"P",101325,"Water")</f>
        <v>223536.10599977677</v>
      </c>
      <c r="V36">
        <f t="shared" si="2"/>
        <v>380.26989821755575</v>
      </c>
    </row>
    <row r="37" spans="1:22" x14ac:dyDescent="0.2">
      <c r="A37">
        <v>46122.858052083335</v>
      </c>
      <c r="B37">
        <v>20.428972999999999</v>
      </c>
      <c r="C37">
        <v>20.501283000000001</v>
      </c>
      <c r="D37">
        <v>20.203704999999999</v>
      </c>
      <c r="E37">
        <v>20.277228999999998</v>
      </c>
      <c r="F37">
        <v>40.105992999999998</v>
      </c>
      <c r="G37">
        <v>38.906489000000001</v>
      </c>
      <c r="H37">
        <v>34.425437000000002</v>
      </c>
      <c r="I37">
        <v>27.633326</v>
      </c>
      <c r="J37">
        <v>56.341282</v>
      </c>
      <c r="K37">
        <v>53.372743999999997</v>
      </c>
      <c r="L37">
        <v>16.954104999999998</v>
      </c>
      <c r="M37">
        <v>-622.47265400000003</v>
      </c>
      <c r="N37">
        <v>1.872649</v>
      </c>
      <c r="O37">
        <v>11.647214</v>
      </c>
      <c r="P37">
        <f t="shared" si="0"/>
        <v>3.1210816666666666E-5</v>
      </c>
      <c r="Q37" cm="1">
        <f t="array" ref="Q37">[1]!PropsSI("D","T",J37+273.15,"P",101325,"Water")</f>
        <v>985.03808821764369</v>
      </c>
      <c r="R37" cm="1">
        <f t="array" ref="R37">[1]!PropsSI("D","T",K37+273.15,"P",101325,"Water")</f>
        <v>986.47272719395676</v>
      </c>
      <c r="S37">
        <f t="shared" si="1"/>
        <v>985.75540770580028</v>
      </c>
      <c r="T37" cm="1">
        <f t="array" ref="T37">[1]!PropsSI("H","T",J37+273.15,"P",101325,"Water")</f>
        <v>235939.9307027146</v>
      </c>
      <c r="U37" cm="1">
        <f t="array" ref="U37">[1]!PropsSI("H","T",K37+273.15,"P",101325,"Water")</f>
        <v>223522.80182143697</v>
      </c>
      <c r="V37">
        <f t="shared" si="2"/>
        <v>382.02825934364051</v>
      </c>
    </row>
    <row r="38" spans="1:22" x14ac:dyDescent="0.2">
      <c r="A38">
        <v>44660.858110532601</v>
      </c>
      <c r="B38">
        <v>20.483827000000002</v>
      </c>
      <c r="C38">
        <v>20.527585999999999</v>
      </c>
      <c r="D38">
        <v>20.231166000000002</v>
      </c>
      <c r="E38">
        <v>20.300042999999999</v>
      </c>
      <c r="F38">
        <v>39.858702999999998</v>
      </c>
      <c r="G38">
        <v>38.444529000000003</v>
      </c>
      <c r="H38">
        <v>35.043751</v>
      </c>
      <c r="I38">
        <v>28.028178</v>
      </c>
      <c r="J38">
        <v>56.340963000000002</v>
      </c>
      <c r="K38">
        <v>53.373381000000002</v>
      </c>
      <c r="L38">
        <v>13.632638</v>
      </c>
      <c r="M38">
        <v>-622.49550999999997</v>
      </c>
      <c r="N38">
        <v>1.872973</v>
      </c>
      <c r="O38">
        <v>11.862852999999999</v>
      </c>
      <c r="P38">
        <f t="shared" si="0"/>
        <v>3.1216216666666664E-5</v>
      </c>
      <c r="Q38" cm="1">
        <f t="array" ref="Q38">[1]!PropsSI("D","T",J38+273.15,"P",101325,"Water")</f>
        <v>985.03824531290695</v>
      </c>
      <c r="R38" cm="1">
        <f t="array" ref="R38">[1]!PropsSI("D","T",K38+273.15,"P",101325,"Water")</f>
        <v>986.47242525211982</v>
      </c>
      <c r="S38">
        <f t="shared" si="1"/>
        <v>985.75533528251344</v>
      </c>
      <c r="T38" cm="1">
        <f t="array" ref="T38">[1]!PropsSI("H","T",J38+273.15,"P",101325,"Water")</f>
        <v>235938.59618043326</v>
      </c>
      <c r="U38" cm="1">
        <f t="array" ref="U38">[1]!PropsSI("H","T",K38+273.15,"P",101325,"Water")</f>
        <v>223525.46600272608</v>
      </c>
      <c r="V38">
        <f t="shared" si="2"/>
        <v>381.97128231636628</v>
      </c>
    </row>
    <row r="39" spans="1:22" x14ac:dyDescent="0.2">
      <c r="A39">
        <v>44660.858168403</v>
      </c>
      <c r="B39">
        <v>20.480633000000001</v>
      </c>
      <c r="C39">
        <v>20.529062</v>
      </c>
      <c r="D39">
        <v>20.231017000000001</v>
      </c>
      <c r="E39">
        <v>20.301732999999999</v>
      </c>
      <c r="F39">
        <v>39.717087999999997</v>
      </c>
      <c r="G39">
        <v>37.898724999999999</v>
      </c>
      <c r="H39">
        <v>34.931077999999999</v>
      </c>
      <c r="I39">
        <v>27.815809000000002</v>
      </c>
      <c r="J39">
        <v>56.340803999999999</v>
      </c>
      <c r="K39">
        <v>53.376243000000002</v>
      </c>
      <c r="L39">
        <v>16.967573000000002</v>
      </c>
      <c r="M39">
        <v>-622.480817</v>
      </c>
      <c r="N39">
        <v>1.877013</v>
      </c>
      <c r="O39">
        <v>11.356344</v>
      </c>
      <c r="P39">
        <f t="shared" si="0"/>
        <v>3.1283550000000003E-5</v>
      </c>
      <c r="Q39" cm="1">
        <f t="array" ref="Q39">[1]!PropsSI("D","T",J39+273.15,"P",101325,"Water")</f>
        <v>985.03832361408365</v>
      </c>
      <c r="R39" cm="1">
        <f t="array" ref="R39">[1]!PropsSI("D","T",K39+273.15,"P",101325,"Water")</f>
        <v>986.4710686152124</v>
      </c>
      <c r="S39">
        <f t="shared" si="1"/>
        <v>985.75469611464803</v>
      </c>
      <c r="T39" cm="1">
        <f t="array" ref="T39">[1]!PropsSI("H","T",J39+273.15,"P",101325,"Water")</f>
        <v>235937.93101109049</v>
      </c>
      <c r="U39" cm="1">
        <f t="array" ref="U39">[1]!PropsSI("H","T",K39+273.15,"P",101325,"Water")</f>
        <v>223537.435999546</v>
      </c>
      <c r="V39">
        <f t="shared" si="2"/>
        <v>382.40530353274204</v>
      </c>
    </row>
    <row r="40" spans="1:22" x14ac:dyDescent="0.2">
      <c r="A40">
        <v>44660.858226273303</v>
      </c>
      <c r="B40">
        <v>20.509646</v>
      </c>
      <c r="C40">
        <v>20.532297</v>
      </c>
      <c r="D40">
        <v>20.256767</v>
      </c>
      <c r="E40">
        <v>20.322393000000002</v>
      </c>
      <c r="F40">
        <v>39.854469000000002</v>
      </c>
      <c r="G40">
        <v>38.040363999999997</v>
      </c>
      <c r="H40">
        <v>35.033755999999997</v>
      </c>
      <c r="I40">
        <v>27.396706999999999</v>
      </c>
      <c r="J40">
        <v>56.342872999999997</v>
      </c>
      <c r="K40">
        <v>53.377357000000003</v>
      </c>
      <c r="L40">
        <v>17.636928000000001</v>
      </c>
      <c r="M40">
        <v>-622.49306200000001</v>
      </c>
      <c r="N40">
        <v>1.8768899999999999</v>
      </c>
      <c r="O40">
        <v>11.657431000000001</v>
      </c>
      <c r="P40">
        <f t="shared" si="0"/>
        <v>3.1281500000000002E-5</v>
      </c>
      <c r="Q40" cm="1">
        <f t="array" ref="Q40">[1]!PropsSI("D","T",J40+273.15,"P",101325,"Water")</f>
        <v>985.03730470185155</v>
      </c>
      <c r="R40" cm="1">
        <f t="array" ref="R40">[1]!PropsSI("D","T",K40+273.15,"P",101325,"Water")</f>
        <v>986.47054054618297</v>
      </c>
      <c r="S40">
        <f t="shared" si="1"/>
        <v>985.75392262401726</v>
      </c>
      <c r="T40" cm="1">
        <f t="array" ref="T40">[1]!PropsSI("H","T",J40+273.15,"P",101325,"Water")</f>
        <v>235946.58658066473</v>
      </c>
      <c r="U40" cm="1">
        <f t="array" ref="U40">[1]!PropsSI("H","T",K40+273.15,"P",101325,"Water")</f>
        <v>223542.0951814405</v>
      </c>
      <c r="V40">
        <f t="shared" si="2"/>
        <v>382.50317666264237</v>
      </c>
    </row>
    <row r="41" spans="1:22" x14ac:dyDescent="0.2">
      <c r="A41">
        <v>44660.858284722402</v>
      </c>
      <c r="B41">
        <v>20.515460999999998</v>
      </c>
      <c r="C41">
        <v>20.530169999999998</v>
      </c>
      <c r="D41">
        <v>20.257425999999999</v>
      </c>
      <c r="E41">
        <v>20.315465</v>
      </c>
      <c r="F41">
        <v>39.534973999999998</v>
      </c>
      <c r="G41">
        <v>38.141399</v>
      </c>
      <c r="H41">
        <v>34.414656000000001</v>
      </c>
      <c r="I41">
        <v>27.405355</v>
      </c>
      <c r="J41">
        <v>56.341441000000003</v>
      </c>
      <c r="K41">
        <v>53.378310999999997</v>
      </c>
      <c r="L41">
        <v>16.657793000000002</v>
      </c>
      <c r="M41">
        <v>-622.48163399999999</v>
      </c>
      <c r="N41">
        <v>1.876841</v>
      </c>
      <c r="O41">
        <v>11.627986999999999</v>
      </c>
      <c r="P41">
        <f t="shared" si="0"/>
        <v>3.128068333333333E-5</v>
      </c>
      <c r="Q41" cm="1">
        <f t="array" ref="Q41">[1]!PropsSI("D","T",J41+273.15,"P",101325,"Water")</f>
        <v>985.03800991600133</v>
      </c>
      <c r="R41" cm="1">
        <f t="array" ref="R41">[1]!PropsSI("D","T",K41+273.15,"P",101325,"Water")</f>
        <v>986.47008831564426</v>
      </c>
      <c r="S41">
        <f t="shared" si="1"/>
        <v>985.7540491158228</v>
      </c>
      <c r="T41" cm="1">
        <f t="array" ref="T41">[1]!PropsSI("H","T",J41+273.15,"P",101325,"Water")</f>
        <v>235940.59587213621</v>
      </c>
      <c r="U41" cm="1">
        <f t="array" ref="U41">[1]!PropsSI("H","T",K41+273.15,"P",101325,"Water")</f>
        <v>223546.08518142768</v>
      </c>
      <c r="V41">
        <f t="shared" si="2"/>
        <v>382.18548397853465</v>
      </c>
    </row>
    <row r="42" spans="1:22" x14ac:dyDescent="0.2">
      <c r="A42">
        <v>46122.85834259259</v>
      </c>
      <c r="B42">
        <v>20.524059000000001</v>
      </c>
      <c r="C42">
        <v>20.517572000000001</v>
      </c>
      <c r="D42">
        <v>20.261308</v>
      </c>
      <c r="E42">
        <v>20.306902000000001</v>
      </c>
      <c r="F42">
        <v>39.735537000000001</v>
      </c>
      <c r="G42">
        <v>37.796143000000001</v>
      </c>
      <c r="H42">
        <v>34.569867000000002</v>
      </c>
      <c r="I42">
        <v>27.429748</v>
      </c>
      <c r="J42">
        <v>56.338735</v>
      </c>
      <c r="K42">
        <v>53.383400000000002</v>
      </c>
      <c r="L42">
        <v>16.289239999999999</v>
      </c>
      <c r="M42">
        <v>-622.49428599999999</v>
      </c>
      <c r="N42">
        <v>1.8790370000000001</v>
      </c>
      <c r="O42">
        <v>11.706115</v>
      </c>
      <c r="P42">
        <f t="shared" si="0"/>
        <v>3.1317283333333336E-5</v>
      </c>
      <c r="Q42" cm="1">
        <f t="array" ref="Q42">[1]!PropsSI("D","T",J42+273.15,"P",101325,"Water")</f>
        <v>985.03934250009388</v>
      </c>
      <c r="R42" cm="1">
        <f t="array" ref="R42">[1]!PropsSI("D","T",K42+273.15,"P",101325,"Water")</f>
        <v>986.46767584841962</v>
      </c>
      <c r="S42">
        <f t="shared" si="1"/>
        <v>985.75350917425681</v>
      </c>
      <c r="T42" cm="1">
        <f t="array" ref="T42">[1]!PropsSI("H","T",J42+273.15,"P",101325,"Water")</f>
        <v>235929.27544314112</v>
      </c>
      <c r="U42" cm="1">
        <f t="array" ref="U42">[1]!PropsSI("H","T",K42+273.15,"P",101325,"Water")</f>
        <v>223567.36936847368</v>
      </c>
      <c r="V42">
        <f t="shared" si="2"/>
        <v>381.62590988685537</v>
      </c>
    </row>
    <row r="43" spans="1:22" x14ac:dyDescent="0.2">
      <c r="A43">
        <v>46122.858401041667</v>
      </c>
      <c r="B43">
        <v>20.546481</v>
      </c>
      <c r="C43">
        <v>20.521469</v>
      </c>
      <c r="D43">
        <v>20.238512</v>
      </c>
      <c r="E43">
        <v>20.305934000000001</v>
      </c>
      <c r="F43">
        <v>40.205545999999998</v>
      </c>
      <c r="G43">
        <v>38.203851</v>
      </c>
      <c r="H43">
        <v>35.216782000000002</v>
      </c>
      <c r="I43">
        <v>27.637429000000001</v>
      </c>
      <c r="J43">
        <v>56.338417</v>
      </c>
      <c r="K43">
        <v>53.372267000000001</v>
      </c>
      <c r="L43">
        <v>15.356225999999999</v>
      </c>
      <c r="M43">
        <v>-622.48612300000002</v>
      </c>
      <c r="N43">
        <v>1.8719319999999999</v>
      </c>
      <c r="O43">
        <v>11.318830999999999</v>
      </c>
      <c r="P43">
        <f t="shared" si="0"/>
        <v>3.1198866666666664E-5</v>
      </c>
      <c r="Q43" cm="1">
        <f t="array" ref="Q43">[1]!PropsSI("D","T",J43+273.15,"P",101325,"Water")</f>
        <v>985.0394990979562</v>
      </c>
      <c r="R43" cm="1">
        <f t="array" ref="R43">[1]!PropsSI("D","T",K43+273.15,"P",101325,"Water")</f>
        <v>986.47295329315966</v>
      </c>
      <c r="S43">
        <f t="shared" si="1"/>
        <v>985.75622619555793</v>
      </c>
      <c r="T43" cm="1">
        <f t="array" ref="T43">[1]!PropsSI("H","T",J43+273.15,"P",101325,"Water")</f>
        <v>235927.94510465406</v>
      </c>
      <c r="U43" cm="1">
        <f t="array" ref="U43">[1]!PropsSI("H","T",K43+273.15,"P",101325,"Water")</f>
        <v>223520.80682229827</v>
      </c>
      <c r="V43">
        <f t="shared" si="2"/>
        <v>381.57504977071369</v>
      </c>
    </row>
    <row r="44" spans="1:22" x14ac:dyDescent="0.2">
      <c r="A44">
        <v>46122.858458912036</v>
      </c>
      <c r="B44">
        <v>20.572747</v>
      </c>
      <c r="C44">
        <v>20.533587000000001</v>
      </c>
      <c r="D44">
        <v>20.249236</v>
      </c>
      <c r="E44">
        <v>20.336763999999999</v>
      </c>
      <c r="F44">
        <v>40.095393999999999</v>
      </c>
      <c r="G44">
        <v>38.419978999999998</v>
      </c>
      <c r="H44">
        <v>34.757804999999998</v>
      </c>
      <c r="I44">
        <v>27.435459999999999</v>
      </c>
      <c r="J44">
        <v>56.338735</v>
      </c>
      <c r="K44">
        <v>53.373699000000002</v>
      </c>
      <c r="L44">
        <v>16.490046</v>
      </c>
      <c r="M44">
        <v>-622.49755100000004</v>
      </c>
      <c r="N44">
        <v>1.8709519999999999</v>
      </c>
      <c r="O44">
        <v>11.730945999999999</v>
      </c>
      <c r="P44">
        <f t="shared" si="0"/>
        <v>3.1182533333333335E-5</v>
      </c>
      <c r="Q44" cm="1">
        <f t="array" ref="Q44">[1]!PropsSI("D","T",J44+273.15,"P",101325,"Water")</f>
        <v>985.03934250009388</v>
      </c>
      <c r="R44" cm="1">
        <f t="array" ref="R44">[1]!PropsSI("D","T",K44+273.15,"P",101325,"Water")</f>
        <v>986.47227451723211</v>
      </c>
      <c r="S44">
        <f t="shared" si="1"/>
        <v>985.75580850866299</v>
      </c>
      <c r="T44" cm="1">
        <f t="array" ref="T44">[1]!PropsSI("H","T",J44+273.15,"P",101325,"Water")</f>
        <v>235929.27544314112</v>
      </c>
      <c r="U44" cm="1">
        <f t="array" ref="U44">[1]!PropsSI("H","T",K44+273.15,"P",101325,"Water")</f>
        <v>223526.79600222077</v>
      </c>
      <c r="V44">
        <f t="shared" si="2"/>
        <v>381.23191958705206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E083-9D13-2F4D-A2D6-A533B40D9CFE}">
  <dimension ref="A1:W72"/>
  <sheetViews>
    <sheetView topLeftCell="G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>
        <v>44660.850243634399</v>
      </c>
      <c r="B2">
        <v>20.511664</v>
      </c>
      <c r="C2">
        <v>20.549154000000001</v>
      </c>
      <c r="D2">
        <v>20.257375</v>
      </c>
      <c r="E2">
        <v>20.329657000000001</v>
      </c>
      <c r="F2">
        <v>36.114423000000002</v>
      </c>
      <c r="G2">
        <v>33.103067000000003</v>
      </c>
      <c r="H2">
        <v>30.626346000000002</v>
      </c>
      <c r="I2">
        <v>25.646732</v>
      </c>
      <c r="J2">
        <v>56.279682000000001</v>
      </c>
      <c r="K2">
        <v>52.695447999999999</v>
      </c>
      <c r="L2">
        <v>35.184212000000002</v>
      </c>
      <c r="M2">
        <v>-622.487348</v>
      </c>
      <c r="N2">
        <v>1.871014</v>
      </c>
      <c r="O2">
        <v>11.413136</v>
      </c>
      <c r="P2">
        <f t="shared" ref="P2:P65" si="0" xml:space="preserve"> N2*0.001/60</f>
        <v>3.1183566666666671E-5</v>
      </c>
      <c r="Q2" cm="1">
        <f t="array" ref="Q2">[1]!PropsSI("D","T",J2+273.15,"P",101325,"Water")</f>
        <v>985.068412297093</v>
      </c>
      <c r="R2" cm="1">
        <f t="array" ref="R2">[1]!PropsSI("D","T",K2+273.15,"P",101325,"Water")</f>
        <v>986.79231587223262</v>
      </c>
      <c r="S2">
        <f t="shared" ref="S2:S65" si="1">(Q2+R2)/2</f>
        <v>985.93036408466287</v>
      </c>
      <c r="T2" cm="1">
        <f t="array" ref="T2">[1]!PropsSI("H","T",J2+273.15,"P",101325,"Water")</f>
        <v>235682.23057670341</v>
      </c>
      <c r="U2" cm="1">
        <f t="array" ref="U2">[1]!PropsSI("H","T",K2+273.15,"P",101325,"Water")</f>
        <v>220690.16349754052</v>
      </c>
      <c r="V2">
        <f t="shared" ref="V2:V65" si="2">S2*P2*(T2-U2)</f>
        <v>460.92848229211864</v>
      </c>
      <c r="W2" s="2">
        <f>AVERAGE(V2:V72)</f>
        <v>461.31659367738257</v>
      </c>
    </row>
    <row r="3" spans="1:23" x14ac:dyDescent="0.2">
      <c r="A3">
        <v>44660.850302083498</v>
      </c>
      <c r="B3">
        <v>20.471339</v>
      </c>
      <c r="C3">
        <v>20.522167</v>
      </c>
      <c r="D3">
        <v>20.239674999999998</v>
      </c>
      <c r="E3">
        <v>20.290315</v>
      </c>
      <c r="F3">
        <v>35.884267999999999</v>
      </c>
      <c r="G3">
        <v>33.534179999999999</v>
      </c>
      <c r="H3">
        <v>31.049372999999999</v>
      </c>
      <c r="I3">
        <v>25.618285</v>
      </c>
      <c r="J3">
        <v>56.279522</v>
      </c>
      <c r="K3">
        <v>52.693857999999999</v>
      </c>
      <c r="L3">
        <v>39.621133</v>
      </c>
      <c r="M3">
        <v>-622.49020499999995</v>
      </c>
      <c r="N3">
        <v>1.874968</v>
      </c>
      <c r="O3">
        <v>11.704615</v>
      </c>
      <c r="P3">
        <f t="shared" si="0"/>
        <v>3.1249466666666666E-5</v>
      </c>
      <c r="Q3" cm="1">
        <f t="array" ref="Q3">[1]!PropsSI("D","T",J3+273.15,"P",101325,"Water")</f>
        <v>985.06849103065338</v>
      </c>
      <c r="R3" cm="1">
        <f t="array" ref="R3">[1]!PropsSI("D","T",K3+273.15,"P",101325,"Water")</f>
        <v>986.79306270320092</v>
      </c>
      <c r="S3">
        <f t="shared" si="1"/>
        <v>985.93077686692709</v>
      </c>
      <c r="T3" cm="1">
        <f t="array" ref="T3">[1]!PropsSI("H","T",J3+273.15,"P",101325,"Water")</f>
        <v>235681.56122762873</v>
      </c>
      <c r="U3" cm="1">
        <f t="array" ref="U3">[1]!PropsSI("H","T",K3+273.15,"P",101325,"Water")</f>
        <v>220683.51385770136</v>
      </c>
      <c r="V3">
        <f t="shared" si="2"/>
        <v>462.08700404676932</v>
      </c>
      <c r="W3" s="2"/>
    </row>
    <row r="4" spans="1:23" x14ac:dyDescent="0.2">
      <c r="A4">
        <v>44660.850360532597</v>
      </c>
      <c r="B4">
        <v>20.461888999999999</v>
      </c>
      <c r="C4">
        <v>20.519760999999999</v>
      </c>
      <c r="D4">
        <v>20.226590999999999</v>
      </c>
      <c r="E4">
        <v>20.290230999999999</v>
      </c>
      <c r="F4">
        <v>36.027166000000001</v>
      </c>
      <c r="G4">
        <v>34.039597000000001</v>
      </c>
      <c r="H4">
        <v>30.280557999999999</v>
      </c>
      <c r="I4">
        <v>25.621635000000001</v>
      </c>
      <c r="J4">
        <v>56.280954999999999</v>
      </c>
      <c r="K4">
        <v>52.695925000000003</v>
      </c>
      <c r="L4">
        <v>43.339314000000002</v>
      </c>
      <c r="M4">
        <v>-622.50449000000003</v>
      </c>
      <c r="N4">
        <v>1.8675060000000001</v>
      </c>
      <c r="O4">
        <v>11.64635</v>
      </c>
      <c r="P4">
        <f t="shared" si="0"/>
        <v>3.1125100000000005E-5</v>
      </c>
      <c r="Q4" cm="1">
        <f t="array" ref="Q4">[1]!PropsSI("D","T",J4+273.15,"P",101325,"Water")</f>
        <v>985.06778586745986</v>
      </c>
      <c r="R4" cm="1">
        <f t="array" ref="R4">[1]!PropsSI("D","T",K4+273.15,"P",101325,"Water")</f>
        <v>986.79209181979672</v>
      </c>
      <c r="S4">
        <f t="shared" si="1"/>
        <v>985.92993884362829</v>
      </c>
      <c r="T4" cm="1">
        <f t="array" ref="T4">[1]!PropsSI("H","T",J4+273.15,"P",101325,"Water")</f>
        <v>235687.55608573966</v>
      </c>
      <c r="U4" cm="1">
        <f t="array" ref="U4">[1]!PropsSI("H","T",K4+273.15,"P",101325,"Water")</f>
        <v>220692.15838953451</v>
      </c>
      <c r="V4">
        <f t="shared" si="2"/>
        <v>460.16628742306619</v>
      </c>
      <c r="W4" s="2"/>
    </row>
    <row r="5" spans="1:23" x14ac:dyDescent="0.2">
      <c r="A5">
        <v>44660.850418403003</v>
      </c>
      <c r="B5">
        <v>20.467876</v>
      </c>
      <c r="C5">
        <v>20.512001999999999</v>
      </c>
      <c r="D5">
        <v>20.232063</v>
      </c>
      <c r="E5">
        <v>20.297715</v>
      </c>
      <c r="F5">
        <v>35.983854000000001</v>
      </c>
      <c r="G5">
        <v>33.683971999999997</v>
      </c>
      <c r="H5">
        <v>31.086943999999999</v>
      </c>
      <c r="I5">
        <v>25.430129999999998</v>
      </c>
      <c r="J5">
        <v>56.284457000000003</v>
      </c>
      <c r="K5">
        <v>52.698310999999997</v>
      </c>
      <c r="L5">
        <v>39.209724999999999</v>
      </c>
      <c r="M5">
        <v>-622.49183700000003</v>
      </c>
      <c r="N5">
        <v>1.8724320000000001</v>
      </c>
      <c r="O5">
        <v>11.60754</v>
      </c>
      <c r="P5">
        <f t="shared" si="0"/>
        <v>3.1207200000000002E-5</v>
      </c>
      <c r="Q5" cm="1">
        <f t="array" ref="Q5">[1]!PropsSI("D","T",J5+273.15,"P",101325,"Water")</f>
        <v>985.06606251962421</v>
      </c>
      <c r="R5" cm="1">
        <f t="array" ref="R5">[1]!PropsSI("D","T",K5+273.15,"P",101325,"Water")</f>
        <v>986.79097106623317</v>
      </c>
      <c r="S5">
        <f t="shared" si="1"/>
        <v>985.92851679292869</v>
      </c>
      <c r="T5" cm="1">
        <f t="array" ref="T5">[1]!PropsSI("H","T",J5+273.15,"P",101325,"Water")</f>
        <v>235702.20646812991</v>
      </c>
      <c r="U5" cm="1">
        <f t="array" ref="U5">[1]!PropsSI("H","T",K5+273.15,"P",101325,"Water")</f>
        <v>220702.13703331113</v>
      </c>
      <c r="V5">
        <f t="shared" si="2"/>
        <v>461.52316251415857</v>
      </c>
      <c r="W5" s="2"/>
    </row>
    <row r="6" spans="1:23" x14ac:dyDescent="0.2">
      <c r="A6">
        <v>46122.850476273146</v>
      </c>
      <c r="B6">
        <v>20.453755000000001</v>
      </c>
      <c r="C6">
        <v>20.538855000000002</v>
      </c>
      <c r="D6">
        <v>20.209938000000001</v>
      </c>
      <c r="E6">
        <v>20.300628</v>
      </c>
      <c r="F6">
        <v>35.965390999999997</v>
      </c>
      <c r="G6">
        <v>33.600054999999998</v>
      </c>
      <c r="H6">
        <v>31.060490999999999</v>
      </c>
      <c r="I6">
        <v>25.554842000000001</v>
      </c>
      <c r="J6">
        <v>56.286526000000002</v>
      </c>
      <c r="K6">
        <v>52.700218999999997</v>
      </c>
      <c r="L6">
        <v>40.594146000000002</v>
      </c>
      <c r="M6">
        <v>-622.47796000000005</v>
      </c>
      <c r="N6">
        <v>1.8660509999999999</v>
      </c>
      <c r="O6">
        <v>11.646096</v>
      </c>
      <c r="P6">
        <f t="shared" si="0"/>
        <v>3.1100849999999995E-5</v>
      </c>
      <c r="Q6" cm="1">
        <f t="array" ref="Q6">[1]!PropsSI("D","T",J6+273.15,"P",101325,"Water")</f>
        <v>985.06504432138615</v>
      </c>
      <c r="R6" cm="1">
        <f t="array" ref="R6">[1]!PropsSI("D","T",K6+273.15,"P",101325,"Water")</f>
        <v>986.7900748130844</v>
      </c>
      <c r="S6">
        <f t="shared" si="1"/>
        <v>985.92755956723522</v>
      </c>
      <c r="T6" cm="1">
        <f t="array" ref="T6">[1]!PropsSI("H","T",J6+273.15,"P",101325,"Water")</f>
        <v>235710.86199328233</v>
      </c>
      <c r="U6" cm="1">
        <f t="array" ref="U6">[1]!PropsSI("H","T",K6+273.15,"P",101325,"Water")</f>
        <v>220710.11660390839</v>
      </c>
      <c r="V6">
        <f t="shared" si="2"/>
        <v>459.97063312687499</v>
      </c>
      <c r="W6" s="2"/>
    </row>
    <row r="7" spans="1:23" x14ac:dyDescent="0.2">
      <c r="A7">
        <v>46122.850534722224</v>
      </c>
      <c r="B7">
        <v>20.447324999999999</v>
      </c>
      <c r="C7">
        <v>20.508569999999999</v>
      </c>
      <c r="D7">
        <v>20.231417</v>
      </c>
      <c r="E7">
        <v>20.296385000000001</v>
      </c>
      <c r="F7">
        <v>36.106417</v>
      </c>
      <c r="G7">
        <v>33.60313</v>
      </c>
      <c r="H7">
        <v>31.251853000000001</v>
      </c>
      <c r="I7">
        <v>25.516957999999999</v>
      </c>
      <c r="J7">
        <v>56.288913999999998</v>
      </c>
      <c r="K7">
        <v>52.703558000000001</v>
      </c>
      <c r="L7">
        <v>40.183962000000001</v>
      </c>
      <c r="M7">
        <v>-622.49469399999998</v>
      </c>
      <c r="N7">
        <v>1.8750169999999999</v>
      </c>
      <c r="O7">
        <v>11.634124999999999</v>
      </c>
      <c r="P7">
        <f t="shared" si="0"/>
        <v>3.1250283333333331E-5</v>
      </c>
      <c r="Q7" cm="1">
        <f t="array" ref="Q7">[1]!PropsSI("D","T",J7+273.15,"P",101325,"Water")</f>
        <v>985.06386910392985</v>
      </c>
      <c r="R7" cm="1">
        <f t="array" ref="R7">[1]!PropsSI("D","T",K7+273.15,"P",101325,"Water")</f>
        <v>986.78850631432101</v>
      </c>
      <c r="S7">
        <f t="shared" si="1"/>
        <v>985.92618770912543</v>
      </c>
      <c r="T7" cm="1">
        <f t="array" ref="T7">[1]!PropsSI("H","T",J7+273.15,"P",101325,"Water")</f>
        <v>235720.85203583812</v>
      </c>
      <c r="U7" cm="1">
        <f t="array" ref="U7">[1]!PropsSI("H","T",K7+273.15,"P",101325,"Water")</f>
        <v>220724.08085537003</v>
      </c>
      <c r="V7">
        <f t="shared" si="2"/>
        <v>462.05760921887139</v>
      </c>
      <c r="W7" s="2"/>
    </row>
    <row r="8" spans="1:23" x14ac:dyDescent="0.2">
      <c r="A8">
        <v>46122.850592592593</v>
      </c>
      <c r="B8">
        <v>20.399456000000001</v>
      </c>
      <c r="C8">
        <v>20.457388999999999</v>
      </c>
      <c r="D8">
        <v>20.221094000000001</v>
      </c>
      <c r="E8">
        <v>20.278818000000001</v>
      </c>
      <c r="F8">
        <v>36.094357000000002</v>
      </c>
      <c r="G8">
        <v>33.615293000000001</v>
      </c>
      <c r="H8">
        <v>31.539563000000001</v>
      </c>
      <c r="I8">
        <v>25.366643</v>
      </c>
      <c r="J8">
        <v>56.290824000000001</v>
      </c>
      <c r="K8">
        <v>52.690519000000002</v>
      </c>
      <c r="L8">
        <v>33.390425</v>
      </c>
      <c r="M8">
        <v>-622.48204199999998</v>
      </c>
      <c r="N8">
        <v>1.8742099999999999</v>
      </c>
      <c r="O8">
        <v>11.477767999999999</v>
      </c>
      <c r="P8">
        <f t="shared" si="0"/>
        <v>3.1236833333333332E-5</v>
      </c>
      <c r="Q8" cm="1">
        <f t="array" ref="Q8">[1]!PropsSI("D","T",J8+273.15,"P",101325,"Water")</f>
        <v>985.0629291016968</v>
      </c>
      <c r="R8" cm="1">
        <f t="array" ref="R8">[1]!PropsSI("D","T",K8+273.15,"P",101325,"Water")</f>
        <v>986.79463099584632</v>
      </c>
      <c r="S8">
        <f t="shared" si="1"/>
        <v>985.92878004877161</v>
      </c>
      <c r="T8" cm="1">
        <f t="array" ref="T8">[1]!PropsSI("H","T",J8+273.15,"P",101325,"Water")</f>
        <v>235728.84239804902</v>
      </c>
      <c r="U8" cm="1">
        <f t="array" ref="U8">[1]!PropsSI("H","T",K8+273.15,"P",101325,"Water")</f>
        <v>220669.54961686634</v>
      </c>
      <c r="V8">
        <f t="shared" si="2"/>
        <v>463.78545186753865</v>
      </c>
      <c r="W8" s="2"/>
    </row>
    <row r="9" spans="1:23" x14ac:dyDescent="0.2">
      <c r="A9">
        <v>46122.85065104167</v>
      </c>
      <c r="B9">
        <v>20.407712</v>
      </c>
      <c r="C9">
        <v>20.476023000000001</v>
      </c>
      <c r="D9">
        <v>20.189356</v>
      </c>
      <c r="E9">
        <v>20.266013999999998</v>
      </c>
      <c r="F9">
        <v>35.920411000000001</v>
      </c>
      <c r="G9">
        <v>33.011437000000001</v>
      </c>
      <c r="H9">
        <v>31.31888</v>
      </c>
      <c r="I9">
        <v>25.077220000000001</v>
      </c>
      <c r="J9">
        <v>56.294325000000001</v>
      </c>
      <c r="K9">
        <v>52.701014000000001</v>
      </c>
      <c r="L9">
        <v>38.136718000000002</v>
      </c>
      <c r="M9">
        <v>-622.46204299999999</v>
      </c>
      <c r="N9">
        <v>1.8720829999999999</v>
      </c>
      <c r="O9">
        <v>11.500718000000001</v>
      </c>
      <c r="P9">
        <f t="shared" si="0"/>
        <v>3.1201383333333332E-5</v>
      </c>
      <c r="Q9" cm="1">
        <f t="array" ref="Q9">[1]!PropsSI("D","T",J9+273.15,"P",101325,"Water")</f>
        <v>985.06120603432294</v>
      </c>
      <c r="R9" cm="1">
        <f t="array" ref="R9">[1]!PropsSI("D","T",K9+273.15,"P",101325,"Water")</f>
        <v>986.78970136743362</v>
      </c>
      <c r="S9">
        <f t="shared" si="1"/>
        <v>985.92545370087828</v>
      </c>
      <c r="T9" cm="1">
        <f t="array" ref="T9">[1]!PropsSI("H","T",J9+273.15,"P",101325,"Water")</f>
        <v>235743.48861025434</v>
      </c>
      <c r="U9" cm="1">
        <f t="array" ref="U9">[1]!PropsSI("H","T",K9+273.15,"P",101325,"Water")</f>
        <v>220713.44142535012</v>
      </c>
      <c r="V9">
        <f t="shared" si="2"/>
        <v>462.3578889390003</v>
      </c>
      <c r="W9" s="2"/>
    </row>
    <row r="10" spans="1:23" x14ac:dyDescent="0.2">
      <c r="A10">
        <v>44660.850708912199</v>
      </c>
      <c r="B10">
        <v>20.535852999999999</v>
      </c>
      <c r="C10">
        <v>20.566175999999999</v>
      </c>
      <c r="D10">
        <v>20.215439</v>
      </c>
      <c r="E10">
        <v>20.270233999999999</v>
      </c>
      <c r="F10">
        <v>36.057496</v>
      </c>
      <c r="G10">
        <v>33.790615000000003</v>
      </c>
      <c r="H10">
        <v>30.984690000000001</v>
      </c>
      <c r="I10">
        <v>25.687785000000002</v>
      </c>
      <c r="J10">
        <v>56.295121000000002</v>
      </c>
      <c r="K10">
        <v>52.705784000000001</v>
      </c>
      <c r="L10">
        <v>35.478074999999997</v>
      </c>
      <c r="M10">
        <v>-622.493878</v>
      </c>
      <c r="N10">
        <v>1.8639939999999999</v>
      </c>
      <c r="O10">
        <v>11.705467000000001</v>
      </c>
      <c r="P10">
        <f t="shared" si="0"/>
        <v>3.1066566666666665E-5</v>
      </c>
      <c r="Q10" cm="1">
        <f t="array" ref="Q10">[1]!PropsSI("D","T",J10+273.15,"P",101325,"Water")</f>
        <v>985.06081426104026</v>
      </c>
      <c r="R10" cm="1">
        <f t="array" ref="R10">[1]!PropsSI("D","T",K10+273.15,"P",101325,"Water")</f>
        <v>986.78746060908213</v>
      </c>
      <c r="S10">
        <f t="shared" si="1"/>
        <v>985.9241374350612</v>
      </c>
      <c r="T10" cm="1">
        <f t="array" ref="T10">[1]!PropsSI("H","T",J10+273.15,"P",101325,"Water")</f>
        <v>235746.81862657872</v>
      </c>
      <c r="U10" cm="1">
        <f t="array" ref="U10">[1]!PropsSI("H","T",K10+273.15,"P",101325,"Water")</f>
        <v>220733.39035827384</v>
      </c>
      <c r="V10">
        <f t="shared" si="2"/>
        <v>459.85046732074778</v>
      </c>
    </row>
    <row r="11" spans="1:23" x14ac:dyDescent="0.2">
      <c r="A11">
        <v>44660.850767361298</v>
      </c>
      <c r="B11">
        <v>20.582373</v>
      </c>
      <c r="C11">
        <v>20.625071999999999</v>
      </c>
      <c r="D11">
        <v>20.238123999999999</v>
      </c>
      <c r="E11">
        <v>20.298199</v>
      </c>
      <c r="F11">
        <v>35.942042999999998</v>
      </c>
      <c r="G11">
        <v>32.516613999999997</v>
      </c>
      <c r="H11">
        <v>31.325723</v>
      </c>
      <c r="I11">
        <v>25.560663999999999</v>
      </c>
      <c r="J11">
        <v>56.294961999999998</v>
      </c>
      <c r="K11">
        <v>52.710394999999998</v>
      </c>
      <c r="L11">
        <v>41.126364000000002</v>
      </c>
      <c r="M11">
        <v>-622.49469399999998</v>
      </c>
      <c r="N11">
        <v>1.8752549999999999</v>
      </c>
      <c r="O11">
        <v>11.6196</v>
      </c>
      <c r="P11">
        <f t="shared" si="0"/>
        <v>3.125425E-5</v>
      </c>
      <c r="Q11" cm="1">
        <f t="array" ref="Q11">[1]!PropsSI("D","T",J11+273.15,"P",101325,"Water")</f>
        <v>985.06089251756703</v>
      </c>
      <c r="R11" cm="1">
        <f t="array" ref="R11">[1]!PropsSI("D","T",K11+273.15,"P",101325,"Water")</f>
        <v>986.78529440508044</v>
      </c>
      <c r="S11">
        <f t="shared" si="1"/>
        <v>985.92309346132379</v>
      </c>
      <c r="T11" cm="1">
        <f t="array" ref="T11">[1]!PropsSI("H","T",J11+273.15,"P",101325,"Water")</f>
        <v>235746.15345995477</v>
      </c>
      <c r="U11" cm="1">
        <f t="array" ref="U11">[1]!PropsSI("H","T",K11+273.15,"P",101325,"Water")</f>
        <v>220752.67433385155</v>
      </c>
      <c r="V11">
        <f t="shared" si="2"/>
        <v>462.01336657847605</v>
      </c>
    </row>
    <row r="12" spans="1:23" x14ac:dyDescent="0.2">
      <c r="A12">
        <v>44660.850825231697</v>
      </c>
      <c r="B12">
        <v>20.525528000000001</v>
      </c>
      <c r="C12">
        <v>20.583559999999999</v>
      </c>
      <c r="D12">
        <v>20.230270000000001</v>
      </c>
      <c r="E12">
        <v>20.301223</v>
      </c>
      <c r="F12">
        <v>36.149869000000002</v>
      </c>
      <c r="G12">
        <v>33.791499999999999</v>
      </c>
      <c r="H12">
        <v>30.954189</v>
      </c>
      <c r="I12">
        <v>25.869052</v>
      </c>
      <c r="J12">
        <v>56.294325000000001</v>
      </c>
      <c r="K12">
        <v>52.716437999999997</v>
      </c>
      <c r="L12">
        <v>37.335124999999998</v>
      </c>
      <c r="M12">
        <v>-622.50816299999997</v>
      </c>
      <c r="N12">
        <v>1.8712470000000001</v>
      </c>
      <c r="O12">
        <v>12.014623</v>
      </c>
      <c r="P12">
        <f t="shared" si="0"/>
        <v>3.1187450000000002E-5</v>
      </c>
      <c r="Q12" cm="1">
        <f t="array" ref="Q12">[1]!PropsSI("D","T",J12+273.15,"P",101325,"Water")</f>
        <v>985.06120603432294</v>
      </c>
      <c r="R12" cm="1">
        <f t="array" ref="R12">[1]!PropsSI("D","T",K12+273.15,"P",101325,"Water")</f>
        <v>986.7824552562621</v>
      </c>
      <c r="S12">
        <f t="shared" si="1"/>
        <v>985.92183064529252</v>
      </c>
      <c r="T12" cm="1">
        <f t="array" ref="T12">[1]!PropsSI("H","T",J12+273.15,"P",101325,"Water")</f>
        <v>235743.48861025434</v>
      </c>
      <c r="U12" cm="1">
        <f t="array" ref="U12">[1]!PropsSI("H","T",K12+273.15,"P",101325,"Water")</f>
        <v>220777.94718413195</v>
      </c>
      <c r="V12">
        <f t="shared" si="2"/>
        <v>460.16627136485226</v>
      </c>
    </row>
    <row r="13" spans="1:23" x14ac:dyDescent="0.2">
      <c r="A13">
        <v>44660.850883680701</v>
      </c>
      <c r="B13">
        <v>20.475529000000002</v>
      </c>
      <c r="C13">
        <v>20.504038000000001</v>
      </c>
      <c r="D13">
        <v>20.216439999999999</v>
      </c>
      <c r="E13">
        <v>20.296264999999998</v>
      </c>
      <c r="F13">
        <v>36.03895</v>
      </c>
      <c r="G13">
        <v>33.368482999999998</v>
      </c>
      <c r="H13">
        <v>30.974298999999998</v>
      </c>
      <c r="I13">
        <v>25.962071000000002</v>
      </c>
      <c r="J13">
        <v>56.299101</v>
      </c>
      <c r="K13">
        <v>52.716755999999997</v>
      </c>
      <c r="L13">
        <v>34.854433</v>
      </c>
      <c r="M13">
        <v>-622.49673499999994</v>
      </c>
      <c r="N13">
        <v>1.87337</v>
      </c>
      <c r="O13">
        <v>11.767747999999999</v>
      </c>
      <c r="P13">
        <f t="shared" si="0"/>
        <v>3.1222833333333335E-5</v>
      </c>
      <c r="Q13" cm="1">
        <f t="array" ref="Q13">[1]!PropsSI("D","T",J13+273.15,"P",101325,"Water")</f>
        <v>985.05885533634785</v>
      </c>
      <c r="R13" cm="1">
        <f t="array" ref="R13">[1]!PropsSI("D","T",K13+273.15,"P",101325,"Water")</f>
        <v>986.78230584569235</v>
      </c>
      <c r="S13">
        <f t="shared" si="1"/>
        <v>985.9205805910201</v>
      </c>
      <c r="T13" cm="1">
        <f t="array" ref="T13">[1]!PropsSI("H","T",J13+273.15,"P",101325,"Water")</f>
        <v>235763.46871178842</v>
      </c>
      <c r="U13" cm="1">
        <f t="array" ref="U13">[1]!PropsSI("H","T",K13+273.15,"P",101325,"Water")</f>
        <v>220779.27711435055</v>
      </c>
      <c r="V13">
        <f t="shared" si="2"/>
        <v>461.26187576072414</v>
      </c>
    </row>
    <row r="14" spans="1:23" x14ac:dyDescent="0.2">
      <c r="A14">
        <v>44660.8509415511</v>
      </c>
      <c r="B14">
        <v>20.434352000000001</v>
      </c>
      <c r="C14">
        <v>20.434419999999999</v>
      </c>
      <c r="D14">
        <v>20.203002000000001</v>
      </c>
      <c r="E14">
        <v>20.270330999999999</v>
      </c>
      <c r="F14">
        <v>35.905650000000001</v>
      </c>
      <c r="G14">
        <v>33.735503000000001</v>
      </c>
      <c r="H14">
        <v>31.038685999999998</v>
      </c>
      <c r="I14">
        <v>25.248260999999999</v>
      </c>
      <c r="J14">
        <v>56.300533000000001</v>
      </c>
      <c r="K14">
        <v>52.721685000000001</v>
      </c>
      <c r="L14">
        <v>37.789796000000003</v>
      </c>
      <c r="M14">
        <v>-622.51550899999995</v>
      </c>
      <c r="N14">
        <v>1.873005</v>
      </c>
      <c r="O14">
        <v>11.745597999999999</v>
      </c>
      <c r="P14">
        <f t="shared" si="0"/>
        <v>3.1216749999999999E-5</v>
      </c>
      <c r="Q14" cm="1">
        <f t="array" ref="Q14">[1]!PropsSI("D","T",J14+273.15,"P",101325,"Water")</f>
        <v>985.05815049348428</v>
      </c>
      <c r="R14" cm="1">
        <f t="array" ref="R14">[1]!PropsSI("D","T",K14+273.15,"P",101325,"Water")</f>
        <v>986.77998989924731</v>
      </c>
      <c r="S14">
        <f t="shared" si="1"/>
        <v>985.91907019636574</v>
      </c>
      <c r="T14" cm="1">
        <f t="array" ref="T14">[1]!PropsSI("H","T",J14+273.15,"P",101325,"Water")</f>
        <v>235769.4593971523</v>
      </c>
      <c r="U14" cm="1">
        <f t="array" ref="U14">[1]!PropsSI("H","T",K14+273.15,"P",101325,"Water")</f>
        <v>220799.89103719077</v>
      </c>
      <c r="V14">
        <f t="shared" si="2"/>
        <v>460.72123667714737</v>
      </c>
    </row>
    <row r="15" spans="1:23" x14ac:dyDescent="0.2">
      <c r="A15">
        <v>46122.851000000002</v>
      </c>
      <c r="B15">
        <v>20.3886</v>
      </c>
      <c r="C15">
        <v>20.381157999999999</v>
      </c>
      <c r="D15">
        <v>20.186888</v>
      </c>
      <c r="E15">
        <v>20.257828</v>
      </c>
      <c r="F15">
        <v>35.659778000000003</v>
      </c>
      <c r="G15">
        <v>33.072451000000001</v>
      </c>
      <c r="H15">
        <v>31.179582</v>
      </c>
      <c r="I15">
        <v>25.272667999999999</v>
      </c>
      <c r="J15">
        <v>56.300055999999998</v>
      </c>
      <c r="K15">
        <v>52.721367000000001</v>
      </c>
      <c r="L15">
        <v>40.219062000000001</v>
      </c>
      <c r="M15">
        <v>-622.512652</v>
      </c>
      <c r="N15">
        <v>1.877947</v>
      </c>
      <c r="O15">
        <v>11.704958</v>
      </c>
      <c r="P15">
        <f t="shared" si="0"/>
        <v>3.129911666666667E-5</v>
      </c>
      <c r="Q15" cm="1">
        <f t="array" ref="Q15">[1]!PropsSI("D","T",J15+273.15,"P",101325,"Water")</f>
        <v>985.05838527844844</v>
      </c>
      <c r="R15" cm="1">
        <f t="array" ref="R15">[1]!PropsSI("D","T",K15+273.15,"P",101325,"Water")</f>
        <v>986.78013931979558</v>
      </c>
      <c r="S15">
        <f t="shared" si="1"/>
        <v>985.91926229912201</v>
      </c>
      <c r="T15" cm="1">
        <f t="array" ref="T15">[1]!PropsSI("H","T",J15+273.15,"P",101325,"Water")</f>
        <v>235767.46389644203</v>
      </c>
      <c r="U15" cm="1">
        <f t="array" ref="U15">[1]!PropsSI("H","T",K15+273.15,"P",101325,"Water")</f>
        <v>220798.5611064629</v>
      </c>
      <c r="V15">
        <f t="shared" si="2"/>
        <v>461.91642001085535</v>
      </c>
    </row>
    <row r="16" spans="1:23" x14ac:dyDescent="0.2">
      <c r="A16">
        <v>46122.851057870372</v>
      </c>
      <c r="B16">
        <v>20.353186000000001</v>
      </c>
      <c r="C16">
        <v>20.360666999999999</v>
      </c>
      <c r="D16">
        <v>20.175685000000001</v>
      </c>
      <c r="E16">
        <v>20.238700000000001</v>
      </c>
      <c r="F16">
        <v>36.125700999999999</v>
      </c>
      <c r="G16">
        <v>33.234248000000001</v>
      </c>
      <c r="H16">
        <v>31.295712000000002</v>
      </c>
      <c r="I16">
        <v>25.393977</v>
      </c>
      <c r="J16">
        <v>56.298464000000003</v>
      </c>
      <c r="K16">
        <v>52.716915</v>
      </c>
      <c r="L16">
        <v>42.21284</v>
      </c>
      <c r="M16">
        <v>-622.49428599999999</v>
      </c>
      <c r="N16">
        <v>1.8668009999999999</v>
      </c>
      <c r="O16">
        <v>11.70642</v>
      </c>
      <c r="P16">
        <f t="shared" si="0"/>
        <v>3.1113350000000003E-5</v>
      </c>
      <c r="Q16" cm="1">
        <f t="array" ref="Q16">[1]!PropsSI("D","T",J16+273.15,"P",101325,"Water")</f>
        <v>985.0591688692424</v>
      </c>
      <c r="R16" cm="1">
        <f t="array" ref="R16">[1]!PropsSI("D","T",K16+273.15,"P",101325,"Water")</f>
        <v>986.78223114011917</v>
      </c>
      <c r="S16">
        <f t="shared" si="1"/>
        <v>985.92070000468084</v>
      </c>
      <c r="T16" cm="1">
        <f t="array" ref="T16">[1]!PropsSI("H","T",J16+273.15,"P",101325,"Water")</f>
        <v>235760.80386108317</v>
      </c>
      <c r="U16" cm="1">
        <f t="array" ref="U16">[1]!PropsSI("H","T",K16+273.15,"P",101325,"Water")</f>
        <v>220779.9420795046</v>
      </c>
      <c r="V16">
        <f t="shared" si="2"/>
        <v>459.54236666097728</v>
      </c>
    </row>
    <row r="17" spans="1:22" x14ac:dyDescent="0.2">
      <c r="A17">
        <v>46122.851115740741</v>
      </c>
      <c r="B17">
        <v>20.369415</v>
      </c>
      <c r="C17">
        <v>20.441065999999999</v>
      </c>
      <c r="D17">
        <v>20.165776000000001</v>
      </c>
      <c r="E17">
        <v>20.230732</v>
      </c>
      <c r="F17">
        <v>36.031305000000003</v>
      </c>
      <c r="G17">
        <v>33.020854</v>
      </c>
      <c r="H17">
        <v>31.571086999999999</v>
      </c>
      <c r="I17">
        <v>25.495256000000001</v>
      </c>
      <c r="J17">
        <v>56.302124999999997</v>
      </c>
      <c r="K17">
        <v>52.705148000000001</v>
      </c>
      <c r="L17">
        <v>39.361145999999998</v>
      </c>
      <c r="M17">
        <v>-622.51550899999995</v>
      </c>
      <c r="N17">
        <v>1.872317</v>
      </c>
      <c r="O17">
        <v>11.271202000000001</v>
      </c>
      <c r="P17">
        <f t="shared" si="0"/>
        <v>3.1205283333333334E-5</v>
      </c>
      <c r="Q17" cm="1">
        <f t="array" ref="Q17">[1]!PropsSI("D","T",J17+273.15,"P",101325,"Water")</f>
        <v>985.05736688248214</v>
      </c>
      <c r="R17" cm="1">
        <f t="array" ref="R17">[1]!PropsSI("D","T",K17+273.15,"P",101325,"Water")</f>
        <v>986.78775938522574</v>
      </c>
      <c r="S17">
        <f t="shared" si="1"/>
        <v>985.92256313385394</v>
      </c>
      <c r="T17" cm="1">
        <f t="array" ref="T17">[1]!PropsSI("H","T",J17+273.15,"P",101325,"Water")</f>
        <v>235776.11943383148</v>
      </c>
      <c r="U17" cm="1">
        <f t="array" ref="U17">[1]!PropsSI("H","T",K17+273.15,"P",101325,"Water")</f>
        <v>220730.73050018479</v>
      </c>
      <c r="V17">
        <f t="shared" si="2"/>
        <v>462.8863295213248</v>
      </c>
    </row>
    <row r="18" spans="1:22" x14ac:dyDescent="0.2">
      <c r="A18">
        <v>46122.851174189818</v>
      </c>
      <c r="B18">
        <v>20.393046999999999</v>
      </c>
      <c r="C18">
        <v>20.421783999999999</v>
      </c>
      <c r="D18">
        <v>20.175512000000001</v>
      </c>
      <c r="E18">
        <v>20.226354000000001</v>
      </c>
      <c r="F18">
        <v>35.978192999999997</v>
      </c>
      <c r="G18">
        <v>33.245899000000001</v>
      </c>
      <c r="H18">
        <v>30.611858999999999</v>
      </c>
      <c r="I18">
        <v>25.550650000000001</v>
      </c>
      <c r="J18">
        <v>56.302602</v>
      </c>
      <c r="K18">
        <v>52.712781</v>
      </c>
      <c r="L18">
        <v>41.892448000000002</v>
      </c>
      <c r="M18">
        <v>-622.51755000000003</v>
      </c>
      <c r="N18">
        <v>1.8619330000000001</v>
      </c>
      <c r="O18">
        <v>11.60313</v>
      </c>
      <c r="P18">
        <f t="shared" si="0"/>
        <v>3.1032216666666668E-5</v>
      </c>
      <c r="Q18" cm="1">
        <f t="array" ref="Q18">[1]!PropsSI("D","T",J18+273.15,"P",101325,"Water")</f>
        <v>985.05713209148553</v>
      </c>
      <c r="R18" cm="1">
        <f t="array" ref="R18">[1]!PropsSI("D","T",K18+273.15,"P",101325,"Water")</f>
        <v>986.78417343183196</v>
      </c>
      <c r="S18">
        <f t="shared" si="1"/>
        <v>985.92065276165874</v>
      </c>
      <c r="T18" cm="1">
        <f t="array" ref="T18">[1]!PropsSI("H","T",J18+273.15,"P",101325,"Water")</f>
        <v>235778.11493496128</v>
      </c>
      <c r="U18" cm="1">
        <f t="array" ref="U18">[1]!PropsSI("H","T",K18+273.15,"P",101325,"Water")</f>
        <v>220762.65298886676</v>
      </c>
      <c r="V18">
        <f t="shared" si="2"/>
        <v>459.40261262018407</v>
      </c>
    </row>
    <row r="19" spans="1:22" x14ac:dyDescent="0.2">
      <c r="A19">
        <v>46122.851232638888</v>
      </c>
      <c r="B19">
        <v>20.436764</v>
      </c>
      <c r="C19">
        <v>20.443311999999999</v>
      </c>
      <c r="D19">
        <v>20.168022000000001</v>
      </c>
      <c r="E19">
        <v>20.23732</v>
      </c>
      <c r="F19">
        <v>35.828705999999997</v>
      </c>
      <c r="G19">
        <v>33.946848000000003</v>
      </c>
      <c r="H19">
        <v>31.288889000000001</v>
      </c>
      <c r="I19">
        <v>25.850245000000001</v>
      </c>
      <c r="J19">
        <v>56.302284</v>
      </c>
      <c r="K19">
        <v>52.711348999999998</v>
      </c>
      <c r="L19">
        <v>39.615011000000003</v>
      </c>
      <c r="M19">
        <v>-622.48000100000002</v>
      </c>
      <c r="N19">
        <v>1.8696250000000001</v>
      </c>
      <c r="O19">
        <v>11.703217</v>
      </c>
      <c r="P19">
        <f t="shared" si="0"/>
        <v>3.1160416666666671E-5</v>
      </c>
      <c r="Q19" cm="1">
        <f t="array" ref="Q19">[1]!PropsSI("D","T",J19+273.15,"P",101325,"Water")</f>
        <v>985.05728861896205</v>
      </c>
      <c r="R19" cm="1">
        <f t="array" ref="R19">[1]!PropsSI("D","T",K19+273.15,"P",101325,"Water")</f>
        <v>986.78484620805</v>
      </c>
      <c r="S19">
        <f t="shared" si="1"/>
        <v>985.92106741350608</v>
      </c>
      <c r="T19" cm="1">
        <f t="array" ref="T19">[1]!PropsSI("H","T",J19+273.15,"P",101325,"Water")</f>
        <v>235776.78460088096</v>
      </c>
      <c r="U19" cm="1">
        <f t="array" ref="U19">[1]!PropsSI("H","T",K19+273.15,"P",101325,"Water")</f>
        <v>220756.66412275491</v>
      </c>
      <c r="V19">
        <f t="shared" si="2"/>
        <v>461.44380443516678</v>
      </c>
    </row>
    <row r="20" spans="1:22" x14ac:dyDescent="0.2">
      <c r="A20">
        <v>46122.851291087965</v>
      </c>
      <c r="B20">
        <v>20.422961999999998</v>
      </c>
      <c r="C20">
        <v>20.444019000000001</v>
      </c>
      <c r="D20">
        <v>20.157354000000002</v>
      </c>
      <c r="E20">
        <v>20.211138999999999</v>
      </c>
      <c r="F20">
        <v>35.774687</v>
      </c>
      <c r="G20">
        <v>33.02852</v>
      </c>
      <c r="H20">
        <v>30.948246999999999</v>
      </c>
      <c r="I20">
        <v>25.469776</v>
      </c>
      <c r="J20">
        <v>56.304989999999997</v>
      </c>
      <c r="K20">
        <v>52.715007</v>
      </c>
      <c r="L20">
        <v>31.000340000000001</v>
      </c>
      <c r="M20">
        <v>-622.48285799999996</v>
      </c>
      <c r="N20">
        <v>1.8696900000000001</v>
      </c>
      <c r="O20">
        <v>11.704666</v>
      </c>
      <c r="P20">
        <f t="shared" si="0"/>
        <v>3.1161500000000003E-5</v>
      </c>
      <c r="Q20" cm="1">
        <f t="array" ref="Q20">[1]!PropsSI("D","T",J20+273.15,"P",101325,"Water")</f>
        <v>985.0559566388938</v>
      </c>
      <c r="R20" cm="1">
        <f t="array" ref="R20">[1]!PropsSI("D","T",K20+273.15,"P",101325,"Water")</f>
        <v>986.78312759597873</v>
      </c>
      <c r="S20">
        <f t="shared" si="1"/>
        <v>985.91954211743632</v>
      </c>
      <c r="T20" cm="1">
        <f t="array" ref="T20">[1]!PropsSI("H","T",J20+273.15,"P",101325,"Water")</f>
        <v>235788.10499219809</v>
      </c>
      <c r="U20" cm="1">
        <f t="array" ref="U20">[1]!PropsSI("H","T",K20+273.15,"P",101325,"Water")</f>
        <v>220771.96249851063</v>
      </c>
      <c r="V20">
        <f t="shared" si="2"/>
        <v>461.33691867971896</v>
      </c>
    </row>
    <row r="21" spans="1:22" x14ac:dyDescent="0.2">
      <c r="A21">
        <v>46122.851349537035</v>
      </c>
      <c r="B21">
        <v>20.391563999999999</v>
      </c>
      <c r="C21">
        <v>20.37574</v>
      </c>
      <c r="D21">
        <v>20.144098</v>
      </c>
      <c r="E21">
        <v>20.202612999999999</v>
      </c>
      <c r="F21">
        <v>35.806159999999998</v>
      </c>
      <c r="G21">
        <v>33.574913000000002</v>
      </c>
      <c r="H21">
        <v>30.727581000000001</v>
      </c>
      <c r="I21">
        <v>25.484863000000001</v>
      </c>
      <c r="J21">
        <v>56.307855000000004</v>
      </c>
      <c r="K21">
        <v>52.719299999999997</v>
      </c>
      <c r="L21">
        <v>39.372166</v>
      </c>
      <c r="M21">
        <v>-622.46938899999998</v>
      </c>
      <c r="N21">
        <v>1.876906</v>
      </c>
      <c r="O21">
        <v>11.517645</v>
      </c>
      <c r="P21">
        <f t="shared" si="0"/>
        <v>3.1281766666666669E-5</v>
      </c>
      <c r="Q21" cm="1">
        <f t="array" ref="Q21">[1]!PropsSI("D","T",J21+273.15,"P",101325,"Water")</f>
        <v>985.05454634503997</v>
      </c>
      <c r="R21" cm="1">
        <f t="array" ref="R21">[1]!PropsSI("D","T",K21+273.15,"P",101325,"Water")</f>
        <v>986.78111053775729</v>
      </c>
      <c r="S21">
        <f t="shared" si="1"/>
        <v>985.91782844139857</v>
      </c>
      <c r="T21" cm="1">
        <f t="array" ref="T21">[1]!PropsSI("H","T",J21+273.15,"P",101325,"Water")</f>
        <v>235800.09055368867</v>
      </c>
      <c r="U21" cm="1">
        <f t="array" ref="U21">[1]!PropsSI("H","T",K21+273.15,"P",101325,"Water")</f>
        <v>220789.91655743556</v>
      </c>
      <c r="V21">
        <f t="shared" si="2"/>
        <v>462.93255070397174</v>
      </c>
    </row>
    <row r="22" spans="1:22" x14ac:dyDescent="0.2">
      <c r="A22">
        <v>46122.851407407405</v>
      </c>
      <c r="B22">
        <v>20.392720000000001</v>
      </c>
      <c r="C22">
        <v>20.356456000000001</v>
      </c>
      <c r="D22">
        <v>20.138976</v>
      </c>
      <c r="E22">
        <v>20.208572</v>
      </c>
      <c r="F22">
        <v>35.984997999999997</v>
      </c>
      <c r="G22">
        <v>33.015067000000002</v>
      </c>
      <c r="H22">
        <v>31.371845</v>
      </c>
      <c r="I22">
        <v>25.598638000000001</v>
      </c>
      <c r="J22">
        <v>56.308492000000001</v>
      </c>
      <c r="K22">
        <v>52.723911000000001</v>
      </c>
      <c r="L22">
        <v>44.488236000000001</v>
      </c>
      <c r="M22">
        <v>-622.51387699999998</v>
      </c>
      <c r="N22">
        <v>1.8757919999999999</v>
      </c>
      <c r="O22">
        <v>11.538587</v>
      </c>
      <c r="P22">
        <f t="shared" si="0"/>
        <v>3.1263200000000002E-5</v>
      </c>
      <c r="Q22" cm="1">
        <f t="array" ref="Q22">[1]!PropsSI("D","T",J22+273.15,"P",101325,"Water")</f>
        <v>985.05423277548459</v>
      </c>
      <c r="R22" cm="1">
        <f t="array" ref="R22">[1]!PropsSI("D","T",K22+273.15,"P",101325,"Water")</f>
        <v>986.77894393726797</v>
      </c>
      <c r="S22">
        <f t="shared" si="1"/>
        <v>985.91658835637622</v>
      </c>
      <c r="T22" cm="1">
        <f t="array" ref="T22">[1]!PropsSI("H","T",J22+273.15,"P",101325,"Water")</f>
        <v>235802.75540668593</v>
      </c>
      <c r="U22" cm="1">
        <f t="array" ref="U22">[1]!PropsSI("H","T",K22+273.15,"P",101325,"Water")</f>
        <v>220809.20055330914</v>
      </c>
      <c r="V22">
        <f t="shared" si="2"/>
        <v>462.1449541184507</v>
      </c>
    </row>
    <row r="23" spans="1:22" x14ac:dyDescent="0.2">
      <c r="A23">
        <v>46122.851465856482</v>
      </c>
      <c r="B23">
        <v>20.347633999999999</v>
      </c>
      <c r="C23">
        <v>20.328230000000001</v>
      </c>
      <c r="D23">
        <v>20.118414999999999</v>
      </c>
      <c r="E23">
        <v>20.202466999999999</v>
      </c>
      <c r="F23">
        <v>35.972681999999999</v>
      </c>
      <c r="G23">
        <v>33.546135</v>
      </c>
      <c r="H23">
        <v>31.226427999999999</v>
      </c>
      <c r="I23">
        <v>25.474641999999999</v>
      </c>
      <c r="J23">
        <v>56.307696</v>
      </c>
      <c r="K23">
        <v>52.716755999999997</v>
      </c>
      <c r="L23">
        <v>37.941625000000002</v>
      </c>
      <c r="M23">
        <v>-622.48857199999998</v>
      </c>
      <c r="N23">
        <v>1.8763080000000001</v>
      </c>
      <c r="O23">
        <v>11.666568</v>
      </c>
      <c r="P23">
        <f t="shared" si="0"/>
        <v>3.1271800000000001E-5</v>
      </c>
      <c r="Q23" cm="1">
        <f t="array" ref="Q23">[1]!PropsSI("D","T",J23+273.15,"P",101325,"Water")</f>
        <v>985.05462461397667</v>
      </c>
      <c r="R23" cm="1">
        <f t="array" ref="R23">[1]!PropsSI("D","T",K23+273.15,"P",101325,"Water")</f>
        <v>986.78230584569235</v>
      </c>
      <c r="S23">
        <f t="shared" si="1"/>
        <v>985.91846522983451</v>
      </c>
      <c r="T23" cm="1">
        <f t="array" ref="T23">[1]!PropsSI("H","T",J23+273.15,"P",101325,"Water")</f>
        <v>235799.42538631041</v>
      </c>
      <c r="U23" cm="1">
        <f t="array" ref="U23">[1]!PropsSI("H","T",K23+273.15,"P",101325,"Water")</f>
        <v>220779.27711435055</v>
      </c>
      <c r="V23">
        <f t="shared" si="2"/>
        <v>463.092876254619</v>
      </c>
    </row>
    <row r="24" spans="1:22" x14ac:dyDescent="0.2">
      <c r="A24">
        <v>46122.851524305559</v>
      </c>
      <c r="B24">
        <v>20.275385</v>
      </c>
      <c r="C24">
        <v>20.265176</v>
      </c>
      <c r="D24">
        <v>20.108298999999999</v>
      </c>
      <c r="E24">
        <v>20.183955000000001</v>
      </c>
      <c r="F24">
        <v>35.891171999999997</v>
      </c>
      <c r="G24">
        <v>32.834496000000001</v>
      </c>
      <c r="H24">
        <v>31.323156999999998</v>
      </c>
      <c r="I24">
        <v>25.482982</v>
      </c>
      <c r="J24">
        <v>56.31279</v>
      </c>
      <c r="K24">
        <v>52.727887000000003</v>
      </c>
      <c r="L24">
        <v>36.791479000000002</v>
      </c>
      <c r="M24">
        <v>-622.48693900000001</v>
      </c>
      <c r="N24">
        <v>1.875316</v>
      </c>
      <c r="O24">
        <v>11.587513</v>
      </c>
      <c r="P24">
        <f t="shared" si="0"/>
        <v>3.1255266666666665E-5</v>
      </c>
      <c r="Q24" cm="1">
        <f t="array" ref="Q24">[1]!PropsSI("D","T",J24+273.15,"P",101325,"Water")</f>
        <v>985.05211697753214</v>
      </c>
      <c r="R24" cm="1">
        <f t="array" ref="R24">[1]!PropsSI("D","T",K24+273.15,"P",101325,"Water")</f>
        <v>986.7770755997459</v>
      </c>
      <c r="S24">
        <f t="shared" si="1"/>
        <v>985.91459628863902</v>
      </c>
      <c r="T24" cm="1">
        <f t="array" ref="T24">[1]!PropsSI("H","T",J24+273.15,"P",101325,"Water")</f>
        <v>235820.73584752055</v>
      </c>
      <c r="U24" cm="1">
        <f t="array" ref="U24">[1]!PropsSI("H","T",K24+273.15,"P",101325,"Water")</f>
        <v>220825.8288754652</v>
      </c>
      <c r="V24">
        <f t="shared" si="2"/>
        <v>462.06841248700709</v>
      </c>
    </row>
    <row r="25" spans="1:22" x14ac:dyDescent="0.2">
      <c r="A25">
        <v>46122.851582175928</v>
      </c>
      <c r="B25">
        <v>20.322299000000001</v>
      </c>
      <c r="C25">
        <v>20.325859000000001</v>
      </c>
      <c r="D25">
        <v>20.110009000000002</v>
      </c>
      <c r="E25">
        <v>20.201729</v>
      </c>
      <c r="F25">
        <v>35.803666</v>
      </c>
      <c r="G25">
        <v>33.557223</v>
      </c>
      <c r="H25">
        <v>31.274811</v>
      </c>
      <c r="I25">
        <v>25.383232</v>
      </c>
      <c r="J25">
        <v>56.312153000000002</v>
      </c>
      <c r="K25">
        <v>52.726615000000002</v>
      </c>
      <c r="L25">
        <v>35.617660000000001</v>
      </c>
      <c r="M25">
        <v>-622.49347</v>
      </c>
      <c r="N25">
        <v>1.8764350000000001</v>
      </c>
      <c r="O25">
        <v>11.802275</v>
      </c>
      <c r="P25">
        <f t="shared" si="0"/>
        <v>3.1273916666666669E-5</v>
      </c>
      <c r="Q25" cm="1">
        <f t="array" ref="Q25">[1]!PropsSI("D","T",J25+273.15,"P",101325,"Water")</f>
        <v>985.05243056384722</v>
      </c>
      <c r="R25" cm="1">
        <f t="array" ref="R25">[1]!PropsSI("D","T",K25+273.15,"P",101325,"Water")</f>
        <v>986.77767332832934</v>
      </c>
      <c r="S25">
        <f t="shared" si="1"/>
        <v>985.91505194608828</v>
      </c>
      <c r="T25" cm="1">
        <f t="array" ref="T25">[1]!PropsSI("H","T",J25+273.15,"P",101325,"Water")</f>
        <v>235818.07099349785</v>
      </c>
      <c r="U25" cm="1">
        <f t="array" ref="U25">[1]!PropsSI("H","T",K25+273.15,"P",101325,"Water")</f>
        <v>220820.50915008454</v>
      </c>
      <c r="V25">
        <f t="shared" si="2"/>
        <v>462.42620090593385</v>
      </c>
    </row>
    <row r="26" spans="1:22" x14ac:dyDescent="0.2">
      <c r="A26">
        <v>46122.851640624998</v>
      </c>
      <c r="B26">
        <v>20.305332</v>
      </c>
      <c r="C26">
        <v>20.278155000000002</v>
      </c>
      <c r="D26">
        <v>20.135435999999999</v>
      </c>
      <c r="E26">
        <v>20.236771999999998</v>
      </c>
      <c r="F26">
        <v>35.992066000000001</v>
      </c>
      <c r="G26">
        <v>32.887909999999998</v>
      </c>
      <c r="H26">
        <v>31.202627</v>
      </c>
      <c r="I26">
        <v>25.547297</v>
      </c>
      <c r="J26">
        <v>56.313267000000003</v>
      </c>
      <c r="K26">
        <v>52.726773999999999</v>
      </c>
      <c r="L26">
        <v>39.661538999999998</v>
      </c>
      <c r="M26">
        <v>-622.50122399999998</v>
      </c>
      <c r="N26">
        <v>1.8715999999999999</v>
      </c>
      <c r="O26">
        <v>11.704183</v>
      </c>
      <c r="P26">
        <f t="shared" si="0"/>
        <v>3.1193333333333332E-5</v>
      </c>
      <c r="Q26" cm="1">
        <f t="array" ref="Q26">[1]!PropsSI("D","T",J26+273.15,"P",101325,"Water")</f>
        <v>985.05188215538453</v>
      </c>
      <c r="R26" cm="1">
        <f t="array" ref="R26">[1]!PropsSI("D","T",K26+273.15,"P",101325,"Water")</f>
        <v>986.77759861280242</v>
      </c>
      <c r="S26">
        <f t="shared" si="1"/>
        <v>985.91474038409342</v>
      </c>
      <c r="T26" cm="1">
        <f t="array" ref="T26">[1]!PropsSI("H","T",J26+273.15,"P",101325,"Water")</f>
        <v>235822.73135062875</v>
      </c>
      <c r="U26" cm="1">
        <f t="array" ref="U26">[1]!PropsSI("H","T",K26+273.15,"P",101325,"Water")</f>
        <v>220821.17411576369</v>
      </c>
      <c r="V26">
        <f t="shared" si="2"/>
        <v>461.35739817557891</v>
      </c>
    </row>
    <row r="27" spans="1:22" x14ac:dyDescent="0.2">
      <c r="A27">
        <v>46122.851698495368</v>
      </c>
      <c r="B27">
        <v>20.266292</v>
      </c>
      <c r="C27">
        <v>20.279377</v>
      </c>
      <c r="D27">
        <v>20.145942000000002</v>
      </c>
      <c r="E27">
        <v>20.223507999999999</v>
      </c>
      <c r="F27">
        <v>35.827298999999996</v>
      </c>
      <c r="G27">
        <v>32.914118000000002</v>
      </c>
      <c r="H27">
        <v>31.468465999999999</v>
      </c>
      <c r="I27">
        <v>25.540258999999999</v>
      </c>
      <c r="J27">
        <v>56.316132000000003</v>
      </c>
      <c r="K27">
        <v>52.725977999999998</v>
      </c>
      <c r="L27">
        <v>41.407981999999997</v>
      </c>
      <c r="M27">
        <v>-622.48489900000004</v>
      </c>
      <c r="N27">
        <v>1.8786069999999999</v>
      </c>
      <c r="O27">
        <v>11.583382</v>
      </c>
      <c r="P27">
        <f t="shared" si="0"/>
        <v>3.1310116666666667E-5</v>
      </c>
      <c r="Q27" cm="1">
        <f t="array" ref="Q27">[1]!PropsSI("D","T",J27+273.15,"P",101325,"Water")</f>
        <v>985.05047171629042</v>
      </c>
      <c r="R27" cm="1">
        <f t="array" ref="R27">[1]!PropsSI("D","T",K27+273.15,"P",101325,"Water")</f>
        <v>986.7779726586715</v>
      </c>
      <c r="S27">
        <f t="shared" si="1"/>
        <v>985.91422218748096</v>
      </c>
      <c r="T27" cm="1">
        <f t="array" ref="T27">[1]!PropsSI("H","T",J27+273.15,"P",101325,"Water")</f>
        <v>235834.71692119414</v>
      </c>
      <c r="U27" cm="1">
        <f t="array" ref="U27">[1]!PropsSI("H","T",K27+273.15,"P",101325,"Water")</f>
        <v>220817.84510546213</v>
      </c>
      <c r="V27">
        <f t="shared" si="2"/>
        <v>463.55715738706152</v>
      </c>
    </row>
    <row r="28" spans="1:22" x14ac:dyDescent="0.2">
      <c r="A28">
        <v>46122.851756365744</v>
      </c>
      <c r="B28">
        <v>20.221164000000002</v>
      </c>
      <c r="C28">
        <v>20.234162999999999</v>
      </c>
      <c r="D28">
        <v>20.129522999999999</v>
      </c>
      <c r="E28">
        <v>20.207028000000001</v>
      </c>
      <c r="F28">
        <v>35.815635</v>
      </c>
      <c r="G28">
        <v>33.291786999999999</v>
      </c>
      <c r="H28">
        <v>31.045611999999998</v>
      </c>
      <c r="I28">
        <v>25.623197999999999</v>
      </c>
      <c r="J28">
        <v>56.318519999999999</v>
      </c>
      <c r="K28">
        <v>52.730907999999999</v>
      </c>
      <c r="L28">
        <v>37.784081999999998</v>
      </c>
      <c r="M28">
        <v>-622.47347100000002</v>
      </c>
      <c r="N28">
        <v>1.8796520000000001</v>
      </c>
      <c r="O28">
        <v>11.935148</v>
      </c>
      <c r="P28">
        <f t="shared" si="0"/>
        <v>3.1327533333333335E-5</v>
      </c>
      <c r="Q28" cm="1">
        <f t="array" ref="Q28">[1]!PropsSI("D","T",J28+273.15,"P",101325,"Water")</f>
        <v>985.04929606583232</v>
      </c>
      <c r="R28" cm="1">
        <f t="array" ref="R28">[1]!PropsSI("D","T",K28+273.15,"P",101325,"Water")</f>
        <v>986.77565595313706</v>
      </c>
      <c r="S28">
        <f t="shared" si="1"/>
        <v>985.91247600948464</v>
      </c>
      <c r="T28" cm="1">
        <f t="array" ref="T28">[1]!PropsSI("H","T",J28+273.15,"P",101325,"Water")</f>
        <v>235844.70699074704</v>
      </c>
      <c r="U28" cm="1">
        <f t="array" ref="U28">[1]!PropsSI("H","T",K28+273.15,"P",101325,"Water")</f>
        <v>220838.46322529341</v>
      </c>
      <c r="V28">
        <f t="shared" si="2"/>
        <v>463.48593556478642</v>
      </c>
    </row>
    <row r="29" spans="1:22" x14ac:dyDescent="0.2">
      <c r="A29">
        <v>46122.851814814814</v>
      </c>
      <c r="B29">
        <v>20.248991</v>
      </c>
      <c r="C29">
        <v>20.253166</v>
      </c>
      <c r="D29">
        <v>20.119039999999998</v>
      </c>
      <c r="E29">
        <v>20.213425000000001</v>
      </c>
      <c r="F29">
        <v>35.851233999999998</v>
      </c>
      <c r="G29">
        <v>33.297888</v>
      </c>
      <c r="H29">
        <v>31.480084999999999</v>
      </c>
      <c r="I29">
        <v>25.381149000000001</v>
      </c>
      <c r="J29">
        <v>56.318041999999998</v>
      </c>
      <c r="K29">
        <v>52.731703000000003</v>
      </c>
      <c r="L29">
        <v>35.211965999999997</v>
      </c>
      <c r="M29">
        <v>-622.48163399999999</v>
      </c>
      <c r="N29">
        <v>1.876185</v>
      </c>
      <c r="O29">
        <v>11.746169999999999</v>
      </c>
      <c r="P29">
        <f t="shared" si="0"/>
        <v>3.126975E-5</v>
      </c>
      <c r="Q29" cm="1">
        <f t="array" ref="Q29">[1]!PropsSI("D","T",J29+273.15,"P",101325,"Water")</f>
        <v>985.0495313956477</v>
      </c>
      <c r="R29" cm="1">
        <f t="array" ref="R29">[1]!PropsSI("D","T",K29+273.15,"P",101325,"Water")</f>
        <v>986.7752823522585</v>
      </c>
      <c r="S29">
        <f t="shared" si="1"/>
        <v>985.91240687395316</v>
      </c>
      <c r="T29" cm="1">
        <f t="array" ref="T29">[1]!PropsSI("H","T",J29+273.15,"P",101325,"Water")</f>
        <v>235842.70730321665</v>
      </c>
      <c r="U29" cm="1">
        <f t="array" ref="U29">[1]!PropsSI("H","T",K29+273.15,"P",101325,"Water")</f>
        <v>220841.788054662</v>
      </c>
      <c r="V29">
        <f t="shared" si="2"/>
        <v>462.46685700194314</v>
      </c>
    </row>
    <row r="30" spans="1:22" x14ac:dyDescent="0.2">
      <c r="A30">
        <v>46122.851873263891</v>
      </c>
      <c r="B30">
        <v>20.303618</v>
      </c>
      <c r="C30">
        <v>20.303388000000002</v>
      </c>
      <c r="D30">
        <v>20.122826</v>
      </c>
      <c r="E30">
        <v>20.180183</v>
      </c>
      <c r="F30">
        <v>35.866937999999998</v>
      </c>
      <c r="G30">
        <v>33.469099</v>
      </c>
      <c r="H30">
        <v>30.720613</v>
      </c>
      <c r="I30">
        <v>25.430451000000001</v>
      </c>
      <c r="J30">
        <v>56.316450000000003</v>
      </c>
      <c r="K30">
        <v>52.731225999999999</v>
      </c>
      <c r="L30">
        <v>39.752963000000001</v>
      </c>
      <c r="M30">
        <v>-622.474287</v>
      </c>
      <c r="N30">
        <v>1.8768370000000001</v>
      </c>
      <c r="O30">
        <v>11.70459</v>
      </c>
      <c r="P30">
        <f t="shared" si="0"/>
        <v>3.128061666666667E-5</v>
      </c>
      <c r="Q30" cm="1">
        <f t="array" ref="Q30">[1]!PropsSI("D","T",J30+273.15,"P",101325,"Water")</f>
        <v>985.05031516184749</v>
      </c>
      <c r="R30" cm="1">
        <f t="array" ref="R30">[1]!PropsSI("D","T",K30+273.15,"P",101325,"Water")</f>
        <v>986.77550651326715</v>
      </c>
      <c r="S30">
        <f t="shared" si="1"/>
        <v>985.91291083755732</v>
      </c>
      <c r="T30" cm="1">
        <f t="array" ref="T30">[1]!PropsSI("H","T",J30+273.15,"P",101325,"Water")</f>
        <v>235836.04725691237</v>
      </c>
      <c r="U30" cm="1">
        <f t="array" ref="U30">[1]!PropsSI("H","T",K30+273.15,"P",101325,"Water")</f>
        <v>220839.79315701043</v>
      </c>
      <c r="V30">
        <f t="shared" si="2"/>
        <v>462.48393403586988</v>
      </c>
    </row>
    <row r="31" spans="1:22" x14ac:dyDescent="0.2">
      <c r="A31">
        <v>46122.851931134261</v>
      </c>
      <c r="B31">
        <v>20.322793000000001</v>
      </c>
      <c r="C31">
        <v>20.35746</v>
      </c>
      <c r="D31">
        <v>20.092624000000001</v>
      </c>
      <c r="E31">
        <v>20.148682999999998</v>
      </c>
      <c r="F31">
        <v>35.849901000000003</v>
      </c>
      <c r="G31">
        <v>32.874851999999997</v>
      </c>
      <c r="H31">
        <v>31.432392</v>
      </c>
      <c r="I31">
        <v>25.476451000000001</v>
      </c>
      <c r="J31">
        <v>56.316132000000003</v>
      </c>
      <c r="K31">
        <v>52.731862</v>
      </c>
      <c r="L31">
        <v>41.774903000000002</v>
      </c>
      <c r="M31">
        <v>-622.49183700000003</v>
      </c>
      <c r="N31">
        <v>1.873964</v>
      </c>
      <c r="O31">
        <v>11.704984</v>
      </c>
      <c r="P31">
        <f t="shared" si="0"/>
        <v>3.1232733333333337E-5</v>
      </c>
      <c r="Q31" cm="1">
        <f t="array" ref="Q31">[1]!PropsSI("D","T",J31+273.15,"P",101325,"Water")</f>
        <v>985.05047171629042</v>
      </c>
      <c r="R31" cm="1">
        <f t="array" ref="R31">[1]!PropsSI("D","T",K31+273.15,"P",101325,"Water")</f>
        <v>986.77520763162261</v>
      </c>
      <c r="S31">
        <f t="shared" si="1"/>
        <v>985.91283967395657</v>
      </c>
      <c r="T31" cm="1">
        <f t="array" ref="T31">[1]!PropsSI("H","T",J31+273.15,"P",101325,"Water")</f>
        <v>235834.71692119414</v>
      </c>
      <c r="U31" cm="1">
        <f t="array" ref="U31">[1]!PropsSI("H","T",K31+273.15,"P",101325,"Water")</f>
        <v>220842.45302054545</v>
      </c>
      <c r="V31">
        <f t="shared" si="2"/>
        <v>461.65307637664182</v>
      </c>
    </row>
    <row r="32" spans="1:22" x14ac:dyDescent="0.2">
      <c r="A32">
        <v>46122.851989583331</v>
      </c>
      <c r="B32">
        <v>20.287132</v>
      </c>
      <c r="C32">
        <v>20.315132999999999</v>
      </c>
      <c r="D32">
        <v>20.077463000000002</v>
      </c>
      <c r="E32">
        <v>20.123108999999999</v>
      </c>
      <c r="F32">
        <v>35.889372000000002</v>
      </c>
      <c r="G32">
        <v>33.747132999999998</v>
      </c>
      <c r="H32">
        <v>31.269309</v>
      </c>
      <c r="I32">
        <v>25.433333000000001</v>
      </c>
      <c r="J32">
        <v>56.318201000000002</v>
      </c>
      <c r="K32">
        <v>52.732816</v>
      </c>
      <c r="L32">
        <v>36.390683000000003</v>
      </c>
      <c r="M32">
        <v>-622.49183700000003</v>
      </c>
      <c r="N32">
        <v>1.8692150000000001</v>
      </c>
      <c r="O32">
        <v>11.605062</v>
      </c>
      <c r="P32">
        <f t="shared" si="0"/>
        <v>3.1153583333333336E-5</v>
      </c>
      <c r="Q32" cm="1">
        <f t="array" ref="Q32">[1]!PropsSI("D","T",J32+273.15,"P",101325,"Water")</f>
        <v>985.04945311662232</v>
      </c>
      <c r="R32" cm="1">
        <f t="array" ref="R32">[1]!PropsSI("D","T",K32+273.15,"P",101325,"Water")</f>
        <v>986.77475930430046</v>
      </c>
      <c r="S32">
        <f t="shared" si="1"/>
        <v>985.91210621046139</v>
      </c>
      <c r="T32" cm="1">
        <f t="array" ref="T32">[1]!PropsSI("H","T",J32+273.15,"P",101325,"Water")</f>
        <v>235843.37247124323</v>
      </c>
      <c r="U32" cm="1">
        <f t="array" ref="U32">[1]!PropsSI("H","T",K32+273.15,"P",101325,"Water")</f>
        <v>220846.44281616845</v>
      </c>
      <c r="V32">
        <f t="shared" si="2"/>
        <v>460.62611969474636</v>
      </c>
    </row>
    <row r="33" spans="1:22" x14ac:dyDescent="0.2">
      <c r="A33">
        <v>46122.852048032408</v>
      </c>
      <c r="B33">
        <v>20.284828000000001</v>
      </c>
      <c r="C33">
        <v>20.330725999999999</v>
      </c>
      <c r="D33">
        <v>20.105357999999999</v>
      </c>
      <c r="E33">
        <v>20.155542000000001</v>
      </c>
      <c r="F33">
        <v>35.971246000000001</v>
      </c>
      <c r="G33">
        <v>34.095635999999999</v>
      </c>
      <c r="H33">
        <v>30.795397000000001</v>
      </c>
      <c r="I33">
        <v>25.696432000000001</v>
      </c>
      <c r="J33">
        <v>56.314858999999998</v>
      </c>
      <c r="K33">
        <v>52.723593000000001</v>
      </c>
      <c r="L33">
        <v>47.286464000000002</v>
      </c>
      <c r="M33">
        <v>-622.47755199999995</v>
      </c>
      <c r="N33">
        <v>1.873931</v>
      </c>
      <c r="O33">
        <v>11.475047999999999</v>
      </c>
      <c r="P33">
        <f t="shared" si="0"/>
        <v>3.1232183333333332E-5</v>
      </c>
      <c r="Q33" cm="1">
        <f t="array" ref="Q33">[1]!PropsSI("D","T",J33+273.15,"P",101325,"Water")</f>
        <v>985.05109842021341</v>
      </c>
      <c r="R33" cm="1">
        <f t="array" ref="R33">[1]!PropsSI("D","T",K33+273.15,"P",101325,"Water")</f>
        <v>986.77909336235382</v>
      </c>
      <c r="S33">
        <f t="shared" si="1"/>
        <v>985.91509589128361</v>
      </c>
      <c r="T33" cm="1">
        <f t="array" ref="T33">[1]!PropsSI("H","T",J33+273.15,"P",101325,"Water")</f>
        <v>235829.39139499291</v>
      </c>
      <c r="U33" cm="1">
        <f t="array" ref="U33">[1]!PropsSI("H","T",K33+273.15,"P",101325,"Water")</f>
        <v>220807.87062232094</v>
      </c>
      <c r="V33">
        <f t="shared" si="2"/>
        <v>462.54688906967363</v>
      </c>
    </row>
    <row r="34" spans="1:22" x14ac:dyDescent="0.2">
      <c r="A34">
        <v>46122.852106481485</v>
      </c>
      <c r="B34">
        <v>20.288291000000001</v>
      </c>
      <c r="C34">
        <v>20.318373000000001</v>
      </c>
      <c r="D34">
        <v>20.086970000000001</v>
      </c>
      <c r="E34">
        <v>20.144465</v>
      </c>
      <c r="F34">
        <v>35.973726999999997</v>
      </c>
      <c r="G34">
        <v>33.783245999999998</v>
      </c>
      <c r="H34">
        <v>30.958891000000001</v>
      </c>
      <c r="I34">
        <v>25.853641</v>
      </c>
      <c r="J34">
        <v>56.318997000000003</v>
      </c>
      <c r="K34">
        <v>52.729635999999999</v>
      </c>
      <c r="L34">
        <v>41.750413999999999</v>
      </c>
      <c r="M34">
        <v>-622.48571500000003</v>
      </c>
      <c r="N34">
        <v>1.8755949999999999</v>
      </c>
      <c r="O34">
        <v>11.766629</v>
      </c>
      <c r="P34">
        <f t="shared" si="0"/>
        <v>3.1259916666666665E-5</v>
      </c>
      <c r="Q34" cm="1">
        <f t="array" ref="Q34">[1]!PropsSI("D","T",J34+273.15,"P",101325,"Water")</f>
        <v>985.04906122695343</v>
      </c>
      <c r="R34" cm="1">
        <f t="array" ref="R34">[1]!PropsSI("D","T",K34+273.15,"P",101325,"Water")</f>
        <v>986.77625370615681</v>
      </c>
      <c r="S34">
        <f t="shared" si="1"/>
        <v>985.91265746655517</v>
      </c>
      <c r="T34" cm="1">
        <f t="array" ref="T34">[1]!PropsSI("H","T",J34+273.15,"P",101325,"Water")</f>
        <v>235846.70249480812</v>
      </c>
      <c r="U34" cm="1">
        <f t="array" ref="U34">[1]!PropsSI("H","T",K34+273.15,"P",101325,"Water")</f>
        <v>220833.14349863652</v>
      </c>
      <c r="V34">
        <f t="shared" si="2"/>
        <v>462.7110948219854</v>
      </c>
    </row>
    <row r="35" spans="1:22" x14ac:dyDescent="0.2">
      <c r="A35">
        <v>46122.852164351854</v>
      </c>
      <c r="B35">
        <v>20.241833</v>
      </c>
      <c r="C35">
        <v>20.259765999999999</v>
      </c>
      <c r="D35">
        <v>20.087337000000002</v>
      </c>
      <c r="E35">
        <v>20.130814000000001</v>
      </c>
      <c r="F35">
        <v>35.890644000000002</v>
      </c>
      <c r="G35">
        <v>32.897869</v>
      </c>
      <c r="H35">
        <v>30.632370000000002</v>
      </c>
      <c r="I35">
        <v>25.50123</v>
      </c>
      <c r="J35">
        <v>56.320906999999998</v>
      </c>
      <c r="K35">
        <v>52.734247000000003</v>
      </c>
      <c r="L35">
        <v>40.198655000000002</v>
      </c>
      <c r="M35">
        <v>-622.47959300000002</v>
      </c>
      <c r="N35">
        <v>1.8747879999999999</v>
      </c>
      <c r="O35">
        <v>11.418956</v>
      </c>
      <c r="P35">
        <f t="shared" si="0"/>
        <v>3.1246466666666666E-5</v>
      </c>
      <c r="Q35" cm="1">
        <f t="array" ref="Q35">[1]!PropsSI("D","T",J35+273.15,"P",101325,"Water")</f>
        <v>985.04812087278412</v>
      </c>
      <c r="R35" cm="1">
        <f t="array" ref="R35">[1]!PropsSI("D","T",K35+273.15,"P",101325,"Water")</f>
        <v>986.77408680247856</v>
      </c>
      <c r="S35">
        <f t="shared" si="1"/>
        <v>985.91110383763134</v>
      </c>
      <c r="T35" cm="1">
        <f t="array" ref="T35">[1]!PropsSI("H","T",J35+273.15,"P",101325,"Water")</f>
        <v>235854.69287899192</v>
      </c>
      <c r="U35" cm="1">
        <f t="array" ref="U35">[1]!PropsSI("H","T",K35+273.15,"P",101325,"Water")</f>
        <v>220852.4275101379</v>
      </c>
      <c r="V35">
        <f t="shared" si="2"/>
        <v>462.163364128463</v>
      </c>
    </row>
    <row r="36" spans="1:22" x14ac:dyDescent="0.2">
      <c r="A36">
        <v>46122.852222222224</v>
      </c>
      <c r="B36">
        <v>20.245480000000001</v>
      </c>
      <c r="C36">
        <v>20.291709000000001</v>
      </c>
      <c r="D36">
        <v>20.065881000000001</v>
      </c>
      <c r="E36">
        <v>20.112335000000002</v>
      </c>
      <c r="F36">
        <v>35.856982000000002</v>
      </c>
      <c r="G36">
        <v>33.059883999999997</v>
      </c>
      <c r="H36">
        <v>30.881367000000001</v>
      </c>
      <c r="I36">
        <v>25.669407</v>
      </c>
      <c r="J36">
        <v>56.319474999999997</v>
      </c>
      <c r="K36">
        <v>52.735201000000004</v>
      </c>
      <c r="L36">
        <v>37.357573000000002</v>
      </c>
      <c r="M36">
        <v>-622.48653100000001</v>
      </c>
      <c r="N36">
        <v>1.8762840000000001</v>
      </c>
      <c r="O36">
        <v>11.666555000000001</v>
      </c>
      <c r="P36">
        <f t="shared" si="0"/>
        <v>3.12714E-5</v>
      </c>
      <c r="Q36" cm="1">
        <f t="array" ref="Q36">[1]!PropsSI("D","T",J36+273.15,"P",101325,"Water")</f>
        <v>985.04882589434362</v>
      </c>
      <c r="R36" cm="1">
        <f t="array" ref="R36">[1]!PropsSI("D","T",K36+273.15,"P",101325,"Water")</f>
        <v>986.77363846070068</v>
      </c>
      <c r="S36">
        <f t="shared" si="1"/>
        <v>985.91123217752215</v>
      </c>
      <c r="T36" cm="1">
        <f t="array" ref="T36">[1]!PropsSI("H","T",J36+273.15,"P",101325,"Water")</f>
        <v>235848.70218242519</v>
      </c>
      <c r="U36" cm="1">
        <f t="array" ref="U36">[1]!PropsSI("H","T",K36+273.15,"P",101325,"Water")</f>
        <v>220856.41730648367</v>
      </c>
      <c r="V36">
        <f t="shared" si="2"/>
        <v>462.22450395285415</v>
      </c>
    </row>
    <row r="37" spans="1:22" x14ac:dyDescent="0.2">
      <c r="A37">
        <v>46122.852280092593</v>
      </c>
      <c r="B37">
        <v>20.229040999999999</v>
      </c>
      <c r="C37">
        <v>20.327881000000001</v>
      </c>
      <c r="D37">
        <v>20.071636999999999</v>
      </c>
      <c r="E37">
        <v>20.106545000000001</v>
      </c>
      <c r="F37">
        <v>35.772790000000001</v>
      </c>
      <c r="G37">
        <v>33.364666</v>
      </c>
      <c r="H37">
        <v>31.154914000000002</v>
      </c>
      <c r="I37">
        <v>25.509557999999998</v>
      </c>
      <c r="J37">
        <v>56.319634000000001</v>
      </c>
      <c r="K37">
        <v>52.733611000000003</v>
      </c>
      <c r="L37">
        <v>39.942340999999999</v>
      </c>
      <c r="M37">
        <v>-622.47183800000005</v>
      </c>
      <c r="N37">
        <v>1.875583</v>
      </c>
      <c r="O37">
        <v>11.697003</v>
      </c>
      <c r="P37">
        <f t="shared" si="0"/>
        <v>3.1259716666666672E-5</v>
      </c>
      <c r="Q37" cm="1">
        <f t="array" ref="Q37">[1]!PropsSI("D","T",J37+273.15,"P",101325,"Water")</f>
        <v>985.04874761392978</v>
      </c>
      <c r="R37" cm="1">
        <f t="array" ref="R37">[1]!PropsSI("D","T",K37+273.15,"P",101325,"Water")</f>
        <v>986.7743856937783</v>
      </c>
      <c r="S37">
        <f t="shared" si="1"/>
        <v>985.91156665385404</v>
      </c>
      <c r="T37" cm="1">
        <f t="array" ref="T37">[1]!PropsSI("H","T",J37+273.15,"P",101325,"Water")</f>
        <v>235849.36735053174</v>
      </c>
      <c r="U37" cm="1">
        <f t="array" ref="U37">[1]!PropsSI("H","T",K37+273.15,"P",101325,"Water")</f>
        <v>220849.76764610925</v>
      </c>
      <c r="V37">
        <f t="shared" si="2"/>
        <v>462.27740664384453</v>
      </c>
    </row>
    <row r="38" spans="1:22" x14ac:dyDescent="0.2">
      <c r="A38">
        <v>44660.852338541801</v>
      </c>
      <c r="B38">
        <v>20.257805999999999</v>
      </c>
      <c r="C38">
        <v>20.385421999999998</v>
      </c>
      <c r="D38">
        <v>20.092030999999999</v>
      </c>
      <c r="E38">
        <v>20.143041</v>
      </c>
      <c r="F38">
        <v>35.935062000000002</v>
      </c>
      <c r="G38">
        <v>33.790244000000001</v>
      </c>
      <c r="H38">
        <v>31.072330999999998</v>
      </c>
      <c r="I38">
        <v>25.282371000000001</v>
      </c>
      <c r="J38">
        <v>56.317245999999997</v>
      </c>
      <c r="K38">
        <v>52.734565000000003</v>
      </c>
      <c r="L38">
        <v>38.505679000000001</v>
      </c>
      <c r="M38">
        <v>-622.474287</v>
      </c>
      <c r="N38">
        <v>1.8727549999999999</v>
      </c>
      <c r="O38">
        <v>11.811704000000001</v>
      </c>
      <c r="P38">
        <f t="shared" si="0"/>
        <v>3.1212583333333337E-5</v>
      </c>
      <c r="Q38" cm="1">
        <f t="array" ref="Q38">[1]!PropsSI("D","T",J38+273.15,"P",101325,"Water")</f>
        <v>985.04992328069727</v>
      </c>
      <c r="R38" cm="1">
        <f t="array" ref="R38">[1]!PropsSI("D","T",K38+273.15,"P",101325,"Water")</f>
        <v>986.77393735587771</v>
      </c>
      <c r="S38">
        <f t="shared" si="1"/>
        <v>985.91193031828743</v>
      </c>
      <c r="T38" cm="1">
        <f t="array" ref="T38">[1]!PropsSI("H","T",J38+273.15,"P",101325,"Water")</f>
        <v>235839.37727993802</v>
      </c>
      <c r="U38" cm="1">
        <f t="array" ref="U38">[1]!PropsSI("H","T",K38+273.15,"P",101325,"Water")</f>
        <v>220853.75744221278</v>
      </c>
      <c r="V38">
        <f t="shared" si="2"/>
        <v>461.15035557001858</v>
      </c>
    </row>
    <row r="39" spans="1:22" x14ac:dyDescent="0.2">
      <c r="A39">
        <v>44660.8523964122</v>
      </c>
      <c r="B39">
        <v>20.285706000000001</v>
      </c>
      <c r="C39">
        <v>20.447908000000002</v>
      </c>
      <c r="D39">
        <v>20.140816000000001</v>
      </c>
      <c r="E39">
        <v>20.173175000000001</v>
      </c>
      <c r="F39">
        <v>35.793483000000002</v>
      </c>
      <c r="G39">
        <v>33.372622</v>
      </c>
      <c r="H39">
        <v>30.549638999999999</v>
      </c>
      <c r="I39">
        <v>25.158048000000001</v>
      </c>
      <c r="J39">
        <v>56.313904000000001</v>
      </c>
      <c r="K39">
        <v>52.731862</v>
      </c>
      <c r="L39">
        <v>39.141973</v>
      </c>
      <c r="M39">
        <v>-622.46326699999997</v>
      </c>
      <c r="N39">
        <v>1.86985</v>
      </c>
      <c r="O39">
        <v>11.301231</v>
      </c>
      <c r="P39">
        <f t="shared" si="0"/>
        <v>3.1164166666666669E-5</v>
      </c>
      <c r="Q39" cm="1">
        <f t="array" ref="Q39">[1]!PropsSI("D","T",J39+273.15,"P",101325,"Water")</f>
        <v>985.05156856472115</v>
      </c>
      <c r="R39" cm="1">
        <f t="array" ref="R39">[1]!PropsSI("D","T",K39+273.15,"P",101325,"Water")</f>
        <v>986.77520763162261</v>
      </c>
      <c r="S39">
        <f t="shared" si="1"/>
        <v>985.91338809817194</v>
      </c>
      <c r="T39" cm="1">
        <f t="array" ref="T39">[1]!PropsSI("H","T",J39+273.15,"P",101325,"Water")</f>
        <v>235825.39620494496</v>
      </c>
      <c r="U39" cm="1">
        <f t="array" ref="U39">[1]!PropsSI("H","T",K39+273.15,"P",101325,"Water")</f>
        <v>220842.45302054545</v>
      </c>
      <c r="V39">
        <f t="shared" si="2"/>
        <v>460.3534636394316</v>
      </c>
    </row>
    <row r="40" spans="1:22" x14ac:dyDescent="0.2">
      <c r="A40">
        <v>44660.852454861299</v>
      </c>
      <c r="B40">
        <v>20.276477</v>
      </c>
      <c r="C40">
        <v>20.421579000000001</v>
      </c>
      <c r="D40">
        <v>20.128881</v>
      </c>
      <c r="E40">
        <v>20.188013000000002</v>
      </c>
      <c r="F40">
        <v>35.823276</v>
      </c>
      <c r="G40">
        <v>33.232286999999999</v>
      </c>
      <c r="H40">
        <v>31.261464</v>
      </c>
      <c r="I40">
        <v>25.488171000000001</v>
      </c>
      <c r="J40">
        <v>56.313267000000003</v>
      </c>
      <c r="K40">
        <v>52.729795000000003</v>
      </c>
      <c r="L40">
        <v>40.693323999999997</v>
      </c>
      <c r="M40">
        <v>-622.47183800000005</v>
      </c>
      <c r="N40">
        <v>1.8749389999999999</v>
      </c>
      <c r="O40">
        <v>11.704933</v>
      </c>
      <c r="P40">
        <f t="shared" si="0"/>
        <v>3.1248983333333335E-5</v>
      </c>
      <c r="Q40" cm="1">
        <f t="array" ref="Q40">[1]!PropsSI("D","T",J40+273.15,"P",101325,"Water")</f>
        <v>985.05188215538453</v>
      </c>
      <c r="R40" cm="1">
        <f t="array" ref="R40">[1]!PropsSI("D","T",K40+273.15,"P",101325,"Water")</f>
        <v>986.7761789875849</v>
      </c>
      <c r="S40">
        <f t="shared" si="1"/>
        <v>985.91403057148477</v>
      </c>
      <c r="T40" cm="1">
        <f t="array" ref="T40">[1]!PropsSI("H","T",J40+273.15,"P",101325,"Water")</f>
        <v>235822.73135062875</v>
      </c>
      <c r="U40" cm="1">
        <f t="array" ref="U40">[1]!PropsSI("H","T",K40+273.15,"P",101325,"Water")</f>
        <v>220833.80846451619</v>
      </c>
      <c r="V40">
        <f t="shared" si="2"/>
        <v>461.7908939320215</v>
      </c>
    </row>
    <row r="41" spans="1:22" x14ac:dyDescent="0.2">
      <c r="A41">
        <v>44660.852512731697</v>
      </c>
      <c r="B41">
        <v>20.266162999999999</v>
      </c>
      <c r="C41">
        <v>20.344258</v>
      </c>
      <c r="D41">
        <v>20.113548000000002</v>
      </c>
      <c r="E41">
        <v>20.165714999999999</v>
      </c>
      <c r="F41">
        <v>35.989010999999998</v>
      </c>
      <c r="G41">
        <v>33.704292000000002</v>
      </c>
      <c r="H41">
        <v>30.766344</v>
      </c>
      <c r="I41">
        <v>25.655062000000001</v>
      </c>
      <c r="J41">
        <v>56.315018000000002</v>
      </c>
      <c r="K41">
        <v>52.732657000000003</v>
      </c>
      <c r="L41">
        <v>38.810969999999998</v>
      </c>
      <c r="M41">
        <v>-622.50367300000005</v>
      </c>
      <c r="N41">
        <v>1.8705020000000001</v>
      </c>
      <c r="O41">
        <v>11.715569</v>
      </c>
      <c r="P41">
        <f t="shared" si="0"/>
        <v>3.1175033333333339E-5</v>
      </c>
      <c r="Q41" cm="1">
        <f t="array" ref="Q41">[1]!PropsSI("D","T",J41+273.15,"P",101325,"Water")</f>
        <v>985.05102014431259</v>
      </c>
      <c r="R41" cm="1">
        <f t="array" ref="R41">[1]!PropsSI("D","T",K41+273.15,"P",101325,"Water")</f>
        <v>986.77483402591474</v>
      </c>
      <c r="S41">
        <f t="shared" si="1"/>
        <v>985.91292708511367</v>
      </c>
      <c r="T41" cm="1">
        <f t="array" ref="T41">[1]!PropsSI("H","T",J41+273.15,"P",101325,"Water")</f>
        <v>235830.05656283427</v>
      </c>
      <c r="U41" cm="1">
        <f t="array" ref="U41">[1]!PropsSI("H","T",K41+273.15,"P",101325,"Water")</f>
        <v>220845.77785022141</v>
      </c>
      <c r="V41">
        <f t="shared" si="2"/>
        <v>460.55481806497056</v>
      </c>
    </row>
    <row r="42" spans="1:22" x14ac:dyDescent="0.2">
      <c r="A42">
        <v>46122.852570601855</v>
      </c>
      <c r="B42">
        <v>20.261025</v>
      </c>
      <c r="C42">
        <v>20.360755000000001</v>
      </c>
      <c r="D42">
        <v>20.141185</v>
      </c>
      <c r="E42">
        <v>20.186176</v>
      </c>
      <c r="F42">
        <v>35.944889000000003</v>
      </c>
      <c r="G42">
        <v>33.991911999999999</v>
      </c>
      <c r="H42">
        <v>31.251232999999999</v>
      </c>
      <c r="I42">
        <v>25.573802000000001</v>
      </c>
      <c r="J42">
        <v>56.317405999999998</v>
      </c>
      <c r="K42">
        <v>52.735042</v>
      </c>
      <c r="L42">
        <v>35.413589000000002</v>
      </c>
      <c r="M42">
        <v>-622.50163299999997</v>
      </c>
      <c r="N42">
        <v>1.876144</v>
      </c>
      <c r="O42">
        <v>11.556582000000001</v>
      </c>
      <c r="P42">
        <f t="shared" si="0"/>
        <v>3.1269066666666668E-5</v>
      </c>
      <c r="Q42" cm="1">
        <f t="array" ref="Q42">[1]!PropsSI("D","T",J42+273.15,"P",101325,"Water")</f>
        <v>985.04984451013695</v>
      </c>
      <c r="R42" cm="1">
        <f t="array" ref="R42">[1]!PropsSI("D","T",K42+273.15,"P",101325,"Water")</f>
        <v>986.77371318473536</v>
      </c>
      <c r="S42">
        <f t="shared" si="1"/>
        <v>985.91177884743615</v>
      </c>
      <c r="T42" cm="1">
        <f t="array" ref="T42">[1]!PropsSI("H","T",J42+273.15,"P",101325,"Water")</f>
        <v>235840.04663135929</v>
      </c>
      <c r="U42" cm="1">
        <f t="array" ref="U42">[1]!PropsSI("H","T",K42+273.15,"P",101325,"Water")</f>
        <v>220855.75234038837</v>
      </c>
      <c r="V42">
        <f t="shared" si="2"/>
        <v>461.94393300654667</v>
      </c>
    </row>
    <row r="43" spans="1:22" x14ac:dyDescent="0.2">
      <c r="A43">
        <v>46122.852629050925</v>
      </c>
      <c r="B43">
        <v>20.245941999999999</v>
      </c>
      <c r="C43">
        <v>20.300293</v>
      </c>
      <c r="D43">
        <v>20.138767000000001</v>
      </c>
      <c r="E43">
        <v>20.181715000000001</v>
      </c>
      <c r="F43">
        <v>35.907322000000001</v>
      </c>
      <c r="G43">
        <v>33.282654000000001</v>
      </c>
      <c r="H43">
        <v>31.681244</v>
      </c>
      <c r="I43">
        <v>25.461058000000001</v>
      </c>
      <c r="J43">
        <v>56.318041999999998</v>
      </c>
      <c r="K43">
        <v>52.73695</v>
      </c>
      <c r="L43">
        <v>37.472261000000003</v>
      </c>
      <c r="M43">
        <v>-622.52489700000001</v>
      </c>
      <c r="N43">
        <v>1.8733580000000001</v>
      </c>
      <c r="O43">
        <v>11.577499</v>
      </c>
      <c r="P43">
        <f t="shared" si="0"/>
        <v>3.1222633333333335E-5</v>
      </c>
      <c r="Q43" cm="1">
        <f t="array" ref="Q43">[1]!PropsSI("D","T",J43+273.15,"P",101325,"Water")</f>
        <v>985.0495313956477</v>
      </c>
      <c r="R43" cm="1">
        <f t="array" ref="R43">[1]!PropsSI("D","T",K43+273.15,"P",101325,"Water")</f>
        <v>986.77281648573944</v>
      </c>
      <c r="S43">
        <f t="shared" si="1"/>
        <v>985.91117394069352</v>
      </c>
      <c r="T43" cm="1">
        <f t="array" ref="T43">[1]!PropsSI("H","T",J43+273.15,"P",101325,"Water")</f>
        <v>235842.70730321665</v>
      </c>
      <c r="U43" cm="1">
        <f t="array" ref="U43">[1]!PropsSI("H","T",K43+273.15,"P",101325,"Water")</f>
        <v>220863.7319338758</v>
      </c>
      <c r="V43">
        <f t="shared" si="2"/>
        <v>461.09395044379818</v>
      </c>
    </row>
    <row r="44" spans="1:22" x14ac:dyDescent="0.2">
      <c r="A44">
        <v>46122.852687500003</v>
      </c>
      <c r="B44">
        <v>20.303159000000001</v>
      </c>
      <c r="C44">
        <v>20.331955000000001</v>
      </c>
      <c r="D44">
        <v>20.112157</v>
      </c>
      <c r="E44">
        <v>20.169853</v>
      </c>
      <c r="F44">
        <v>36.025562000000001</v>
      </c>
      <c r="G44">
        <v>33.528421000000002</v>
      </c>
      <c r="H44">
        <v>31.419011999999999</v>
      </c>
      <c r="I44">
        <v>25.477170999999998</v>
      </c>
      <c r="J44">
        <v>56.315176999999998</v>
      </c>
      <c r="K44">
        <v>52.73695</v>
      </c>
      <c r="L44">
        <v>39.054631000000001</v>
      </c>
      <c r="M44">
        <v>-622.50244899999996</v>
      </c>
      <c r="N44">
        <v>1.8793280000000001</v>
      </c>
      <c r="O44">
        <v>11.799581</v>
      </c>
      <c r="P44">
        <f t="shared" si="0"/>
        <v>3.1322133333333336E-5</v>
      </c>
      <c r="Q44" cm="1">
        <f t="array" ref="Q44">[1]!PropsSI("D","T",J44+273.15,"P",101325,"Water")</f>
        <v>985.0509418682509</v>
      </c>
      <c r="R44" cm="1">
        <f t="array" ref="R44">[1]!PropsSI("D","T",K44+273.15,"P",101325,"Water")</f>
        <v>986.77281648573944</v>
      </c>
      <c r="S44">
        <f t="shared" si="1"/>
        <v>985.91187917699517</v>
      </c>
      <c r="T44" cm="1">
        <f t="array" ref="T44">[1]!PropsSI("H","T",J44+273.15,"P",101325,"Water")</f>
        <v>235830.72173061944</v>
      </c>
      <c r="U44" cm="1">
        <f t="array" ref="U44">[1]!PropsSI("H","T",K44+273.15,"P",101325,"Water")</f>
        <v>220863.7319338758</v>
      </c>
      <c r="V44">
        <f t="shared" si="2"/>
        <v>462.19356644208239</v>
      </c>
    </row>
    <row r="45" spans="1:22" x14ac:dyDescent="0.2">
      <c r="A45">
        <v>46122.852745370372</v>
      </c>
      <c r="B45">
        <v>20.369332</v>
      </c>
      <c r="C45">
        <v>20.383875</v>
      </c>
      <c r="D45">
        <v>20.118572</v>
      </c>
      <c r="E45">
        <v>20.188607999999999</v>
      </c>
      <c r="F45">
        <v>35.951689999999999</v>
      </c>
      <c r="G45">
        <v>33.265380999999998</v>
      </c>
      <c r="H45">
        <v>31.400514000000001</v>
      </c>
      <c r="I45">
        <v>25.567754000000001</v>
      </c>
      <c r="J45">
        <v>56.314540000000001</v>
      </c>
      <c r="K45">
        <v>52.734406</v>
      </c>
      <c r="L45">
        <v>34.917695000000002</v>
      </c>
      <c r="M45">
        <v>-622.47673599999996</v>
      </c>
      <c r="N45">
        <v>1.872833</v>
      </c>
      <c r="O45">
        <v>11.140629000000001</v>
      </c>
      <c r="P45">
        <f t="shared" si="0"/>
        <v>3.1213883333333333E-5</v>
      </c>
      <c r="Q45" cm="1">
        <f t="array" ref="Q45">[1]!PropsSI("D","T",J45+273.15,"P",101325,"Water")</f>
        <v>985.05125546388501</v>
      </c>
      <c r="R45" cm="1">
        <f t="array" ref="R45">[1]!PropsSI("D","T",K45+273.15,"P",101325,"Water")</f>
        <v>986.77401207924811</v>
      </c>
      <c r="S45">
        <f t="shared" si="1"/>
        <v>985.91263377156656</v>
      </c>
      <c r="T45" cm="1">
        <f t="array" ref="T45">[1]!PropsSI("H","T",J45+273.15,"P",101325,"Water")</f>
        <v>235828.05687600683</v>
      </c>
      <c r="U45" cm="1">
        <f t="array" ref="U45">[1]!PropsSI("H","T",K45+273.15,"P",101325,"Water")</f>
        <v>220853.09247619187</v>
      </c>
      <c r="V45">
        <f t="shared" si="2"/>
        <v>460.84197929703168</v>
      </c>
    </row>
    <row r="46" spans="1:22" x14ac:dyDescent="0.2">
      <c r="A46">
        <v>46122.852803819442</v>
      </c>
      <c r="B46">
        <v>20.371081</v>
      </c>
      <c r="C46">
        <v>20.452701000000001</v>
      </c>
      <c r="D46">
        <v>20.133306000000001</v>
      </c>
      <c r="E46">
        <v>20.201581999999998</v>
      </c>
      <c r="F46">
        <v>35.998691999999998</v>
      </c>
      <c r="G46">
        <v>33.970345999999999</v>
      </c>
      <c r="H46">
        <v>31.368110999999999</v>
      </c>
      <c r="I46">
        <v>25.550691</v>
      </c>
      <c r="J46">
        <v>56.312311999999999</v>
      </c>
      <c r="K46">
        <v>52.720571999999997</v>
      </c>
      <c r="L46">
        <v>33.749589999999998</v>
      </c>
      <c r="M46">
        <v>-622.50571400000001</v>
      </c>
      <c r="N46">
        <v>1.871497</v>
      </c>
      <c r="O46">
        <v>11.679212</v>
      </c>
      <c r="P46">
        <f t="shared" si="0"/>
        <v>3.1191616666666665E-5</v>
      </c>
      <c r="Q46" cm="1">
        <f t="array" ref="Q46">[1]!PropsSI("D","T",J46+273.15,"P",101325,"Water")</f>
        <v>985.05235229058519</v>
      </c>
      <c r="R46" cm="1">
        <f t="array" ref="R46">[1]!PropsSI("D","T",K46+273.15,"P",101325,"Water")</f>
        <v>986.78051286837399</v>
      </c>
      <c r="S46">
        <f t="shared" si="1"/>
        <v>985.91643257947953</v>
      </c>
      <c r="T46" cm="1">
        <f t="array" ref="T46">[1]!PropsSI("H","T",J46+273.15,"P",101325,"Water")</f>
        <v>235818.73616115606</v>
      </c>
      <c r="U46" cm="1">
        <f t="array" ref="U46">[1]!PropsSI("H","T",K46+273.15,"P",101325,"Water")</f>
        <v>220795.23627973426</v>
      </c>
      <c r="V46">
        <f t="shared" si="2"/>
        <v>462.00758750385791</v>
      </c>
    </row>
    <row r="47" spans="1:22" x14ac:dyDescent="0.2">
      <c r="A47">
        <v>46122.852862268519</v>
      </c>
      <c r="B47">
        <v>20.371365999999998</v>
      </c>
      <c r="C47">
        <v>20.489429999999999</v>
      </c>
      <c r="D47">
        <v>20.167479</v>
      </c>
      <c r="E47">
        <v>20.210362</v>
      </c>
      <c r="F47">
        <v>36.007475999999997</v>
      </c>
      <c r="G47">
        <v>33.774799000000002</v>
      </c>
      <c r="H47">
        <v>31.441364</v>
      </c>
      <c r="I47">
        <v>25.571117000000001</v>
      </c>
      <c r="J47">
        <v>56.315655</v>
      </c>
      <c r="K47">
        <v>52.731544</v>
      </c>
      <c r="L47">
        <v>37.915095999999998</v>
      </c>
      <c r="M47">
        <v>-622.50693799999999</v>
      </c>
      <c r="N47">
        <v>1.875427</v>
      </c>
      <c r="O47">
        <v>11.763109</v>
      </c>
      <c r="P47">
        <f t="shared" si="0"/>
        <v>3.1257116666666666E-5</v>
      </c>
      <c r="Q47" cm="1">
        <f t="array" ref="Q47">[1]!PropsSI("D","T",J47+273.15,"P",101325,"Water")</f>
        <v>985.05070654683004</v>
      </c>
      <c r="R47" cm="1">
        <f t="array" ref="R47">[1]!PropsSI("D","T",K47+273.15,"P",101325,"Water")</f>
        <v>986.77535707276184</v>
      </c>
      <c r="S47">
        <f t="shared" si="1"/>
        <v>985.91303180979594</v>
      </c>
      <c r="T47" cm="1">
        <f t="array" ref="T47">[1]!PropsSI("H","T",J47+273.15,"P",101325,"Water")</f>
        <v>235832.72141751161</v>
      </c>
      <c r="U47" cm="1">
        <f t="array" ref="U47">[1]!PropsSI("H","T",K47+273.15,"P",101325,"Water")</f>
        <v>220841.12308879045</v>
      </c>
      <c r="V47">
        <f t="shared" si="2"/>
        <v>461.99306726479284</v>
      </c>
    </row>
    <row r="48" spans="1:22" x14ac:dyDescent="0.2">
      <c r="A48">
        <v>46122.852920138888</v>
      </c>
      <c r="B48">
        <v>20.373142999999999</v>
      </c>
      <c r="C48">
        <v>20.499317000000001</v>
      </c>
      <c r="D48">
        <v>20.175276</v>
      </c>
      <c r="E48">
        <v>20.221525</v>
      </c>
      <c r="F48">
        <v>35.752433000000003</v>
      </c>
      <c r="G48">
        <v>32.999920000000003</v>
      </c>
      <c r="H48">
        <v>31.086114999999999</v>
      </c>
      <c r="I48">
        <v>25.431127</v>
      </c>
      <c r="J48">
        <v>56.314858999999998</v>
      </c>
      <c r="K48">
        <v>52.735836999999997</v>
      </c>
      <c r="L48">
        <v>38.777909999999999</v>
      </c>
      <c r="M48">
        <v>-622.47796000000005</v>
      </c>
      <c r="N48">
        <v>1.879705</v>
      </c>
      <c r="O48">
        <v>11.684854</v>
      </c>
      <c r="P48">
        <f t="shared" si="0"/>
        <v>3.1328416666666666E-5</v>
      </c>
      <c r="Q48" cm="1">
        <f t="array" ref="Q48">[1]!PropsSI("D","T",J48+273.15,"P",101325,"Water")</f>
        <v>985.05109842021341</v>
      </c>
      <c r="R48" cm="1">
        <f t="array" ref="R48">[1]!PropsSI("D","T",K48+273.15,"P",101325,"Water")</f>
        <v>986.77333956297684</v>
      </c>
      <c r="S48">
        <f t="shared" si="1"/>
        <v>985.91221899159518</v>
      </c>
      <c r="T48" cm="1">
        <f t="array" ref="T48">[1]!PropsSI("H","T",J48+273.15,"P",101325,"Water")</f>
        <v>235829.39139499291</v>
      </c>
      <c r="U48" cm="1">
        <f t="array" ref="U48">[1]!PropsSI("H","T",K48+273.15,"P",101325,"Water")</f>
        <v>220859.07717084498</v>
      </c>
      <c r="V48">
        <f t="shared" si="2"/>
        <v>462.38912529897311</v>
      </c>
    </row>
    <row r="49" spans="1:22" x14ac:dyDescent="0.2">
      <c r="A49">
        <v>44660.852978009403</v>
      </c>
      <c r="B49">
        <v>20.370308999999999</v>
      </c>
      <c r="C49">
        <v>20.454488999999999</v>
      </c>
      <c r="D49">
        <v>20.188946999999999</v>
      </c>
      <c r="E49">
        <v>20.235975</v>
      </c>
      <c r="F49">
        <v>35.912880000000001</v>
      </c>
      <c r="G49">
        <v>32.720207000000002</v>
      </c>
      <c r="H49">
        <v>31.311886000000001</v>
      </c>
      <c r="I49">
        <v>25.496817</v>
      </c>
      <c r="J49">
        <v>56.315655</v>
      </c>
      <c r="K49">
        <v>52.741244000000002</v>
      </c>
      <c r="L49">
        <v>39.035448000000002</v>
      </c>
      <c r="M49">
        <v>-622.45755299999996</v>
      </c>
      <c r="N49">
        <v>1.875316</v>
      </c>
      <c r="O49">
        <v>11.686481000000001</v>
      </c>
      <c r="P49">
        <f t="shared" si="0"/>
        <v>3.1255266666666665E-5</v>
      </c>
      <c r="Q49" cm="1">
        <f t="array" ref="Q49">[1]!PropsSI("D","T",J49+273.15,"P",101325,"Water")</f>
        <v>985.05070654683004</v>
      </c>
      <c r="R49" cm="1">
        <f t="array" ref="R49">[1]!PropsSI("D","T",K49+273.15,"P",101325,"Water")</f>
        <v>986.77079835833649</v>
      </c>
      <c r="S49">
        <f t="shared" si="1"/>
        <v>985.91075245258321</v>
      </c>
      <c r="T49" cm="1">
        <f t="array" ref="T49">[1]!PropsSI("H","T",J49+273.15,"P",101325,"Water")</f>
        <v>235832.72141751161</v>
      </c>
      <c r="U49" cm="1">
        <f t="array" ref="U49">[1]!PropsSI("H","T",K49+273.15,"P",101325,"Water")</f>
        <v>220881.69020573556</v>
      </c>
      <c r="V49">
        <f t="shared" si="2"/>
        <v>460.71458367906388</v>
      </c>
    </row>
    <row r="50" spans="1:22" x14ac:dyDescent="0.2">
      <c r="A50" t="s">
        <v>17</v>
      </c>
      <c r="B50">
        <v>20.340183</v>
      </c>
      <c r="C50">
        <v>20.491938999999999</v>
      </c>
      <c r="D50">
        <v>20.154900000000001</v>
      </c>
      <c r="E50">
        <v>20.216521</v>
      </c>
      <c r="F50">
        <v>35.892494999999997</v>
      </c>
      <c r="G50">
        <v>34.187486</v>
      </c>
      <c r="H50">
        <v>31.102765999999999</v>
      </c>
      <c r="I50">
        <v>25.817163000000001</v>
      </c>
      <c r="J50">
        <v>56.316291</v>
      </c>
      <c r="K50">
        <v>52.743152000000002</v>
      </c>
      <c r="L50">
        <v>30.201605000000001</v>
      </c>
      <c r="M50">
        <v>-622.51714200000004</v>
      </c>
      <c r="N50">
        <v>1.8811560000000001</v>
      </c>
      <c r="O50">
        <v>11.684524</v>
      </c>
      <c r="P50">
        <f t="shared" si="0"/>
        <v>3.1352600000000002E-5</v>
      </c>
      <c r="Q50" cm="1">
        <f t="array" ref="Q50">[1]!PropsSI("D","T",J50+273.15,"P",101325,"Water")</f>
        <v>985.05039343916019</v>
      </c>
      <c r="R50" cm="1">
        <f t="array" ref="R50">[1]!PropsSI("D","T",K50+273.15,"P",101325,"Water")</f>
        <v>986.76990158406204</v>
      </c>
      <c r="S50">
        <f t="shared" si="1"/>
        <v>985.91014751161106</v>
      </c>
      <c r="T50" cm="1">
        <f t="array" ref="T50">[1]!PropsSI("H","T",J50+273.15,"P",101325,"Water")</f>
        <v>235835.38208901681</v>
      </c>
      <c r="U50" cm="1">
        <f t="array" ref="U50">[1]!PropsSI("H","T",K50+273.15,"P",101325,"Water")</f>
        <v>220889.66980309453</v>
      </c>
      <c r="V50">
        <f t="shared" si="2"/>
        <v>461.98461816689155</v>
      </c>
    </row>
    <row r="51" spans="1:22" x14ac:dyDescent="0.2">
      <c r="A51">
        <v>46122.853094328704</v>
      </c>
      <c r="B51">
        <v>20.363226000000001</v>
      </c>
      <c r="C51">
        <v>20.490877000000001</v>
      </c>
      <c r="D51">
        <v>20.138052999999999</v>
      </c>
      <c r="E51">
        <v>20.207659</v>
      </c>
      <c r="F51">
        <v>35.901788000000003</v>
      </c>
      <c r="G51">
        <v>33.391508000000002</v>
      </c>
      <c r="H51">
        <v>31.557577999999999</v>
      </c>
      <c r="I51">
        <v>25.362579</v>
      </c>
      <c r="J51">
        <v>56.314062999999997</v>
      </c>
      <c r="K51">
        <v>52.743470000000002</v>
      </c>
      <c r="L51">
        <v>40.831277</v>
      </c>
      <c r="M51">
        <v>-622.49877600000002</v>
      </c>
      <c r="N51">
        <v>1.8741650000000001</v>
      </c>
      <c r="O51">
        <v>11.617438999999999</v>
      </c>
      <c r="P51">
        <f t="shared" si="0"/>
        <v>3.1236083333333334E-5</v>
      </c>
      <c r="Q51" cm="1">
        <f t="array" ref="Q51">[1]!PropsSI("D","T",J51+273.15,"P",101325,"Water")</f>
        <v>985.05149028974779</v>
      </c>
      <c r="R51" cm="1">
        <f t="array" ref="R51">[1]!PropsSI("D","T",K51+273.15,"P",101325,"Water")</f>
        <v>986.76975211944068</v>
      </c>
      <c r="S51">
        <f t="shared" si="1"/>
        <v>985.91062120459424</v>
      </c>
      <c r="T51" cm="1">
        <f t="array" ref="T51">[1]!PropsSI("H","T",J51+273.15,"P",101325,"Water")</f>
        <v>235826.06137269179</v>
      </c>
      <c r="U51" cm="1">
        <f t="array" ref="U51">[1]!PropsSI("H","T",K51+273.15,"P",101325,"Water")</f>
        <v>220890.99973609636</v>
      </c>
      <c r="V51">
        <f t="shared" si="2"/>
        <v>459.93995389622137</v>
      </c>
    </row>
    <row r="52" spans="1:22" x14ac:dyDescent="0.2">
      <c r="A52">
        <v>46122.853152777781</v>
      </c>
      <c r="B52">
        <v>20.340430999999999</v>
      </c>
      <c r="C52">
        <v>20.493115</v>
      </c>
      <c r="D52">
        <v>20.112666000000001</v>
      </c>
      <c r="E52">
        <v>20.180696000000001</v>
      </c>
      <c r="F52">
        <v>35.991585999999998</v>
      </c>
      <c r="G52">
        <v>33.356197999999999</v>
      </c>
      <c r="H52">
        <v>31.476571</v>
      </c>
      <c r="I52">
        <v>25.584824000000001</v>
      </c>
      <c r="J52">
        <v>56.313267000000003</v>
      </c>
      <c r="K52">
        <v>52.738062999999997</v>
      </c>
      <c r="L52">
        <v>38.675466</v>
      </c>
      <c r="M52">
        <v>-622.50897899999995</v>
      </c>
      <c r="N52">
        <v>1.8699520000000001</v>
      </c>
      <c r="O52">
        <v>11.799327</v>
      </c>
      <c r="P52">
        <f t="shared" si="0"/>
        <v>3.1165866666666666E-5</v>
      </c>
      <c r="Q52" cm="1">
        <f t="array" ref="Q52">[1]!PropsSI("D","T",J52+273.15,"P",101325,"Water")</f>
        <v>985.05188215538453</v>
      </c>
      <c r="R52" cm="1">
        <f t="array" ref="R52">[1]!PropsSI("D","T",K52+273.15,"P",101325,"Water")</f>
        <v>986.7722934006099</v>
      </c>
      <c r="S52">
        <f t="shared" si="1"/>
        <v>985.91208777799716</v>
      </c>
      <c r="T52" cm="1">
        <f t="array" ref="T52">[1]!PropsSI("H","T",J52+273.15,"P",101325,"Water")</f>
        <v>235822.73135062875</v>
      </c>
      <c r="U52" cm="1">
        <f t="array" ref="U52">[1]!PropsSI("H","T",K52+273.15,"P",101325,"Water")</f>
        <v>220868.38669731858</v>
      </c>
      <c r="V52">
        <f t="shared" si="2"/>
        <v>459.49922717115538</v>
      </c>
    </row>
    <row r="53" spans="1:22" x14ac:dyDescent="0.2">
      <c r="A53">
        <v>46122.853211226851</v>
      </c>
      <c r="B53">
        <v>20.279212000000001</v>
      </c>
      <c r="C53">
        <v>20.436129999999999</v>
      </c>
      <c r="D53">
        <v>20.127414000000002</v>
      </c>
      <c r="E53">
        <v>20.190695999999999</v>
      </c>
      <c r="F53">
        <v>35.87171</v>
      </c>
      <c r="G53">
        <v>33.888480999999999</v>
      </c>
      <c r="H53">
        <v>31.108813000000001</v>
      </c>
      <c r="I53">
        <v>25.739014000000001</v>
      </c>
      <c r="J53">
        <v>56.312949000000003</v>
      </c>
      <c r="K53">
        <v>52.729477000000003</v>
      </c>
      <c r="L53">
        <v>39.736637000000002</v>
      </c>
      <c r="M53">
        <v>-622.49061300000005</v>
      </c>
      <c r="N53">
        <v>1.8762509999999999</v>
      </c>
      <c r="O53">
        <v>11.764609</v>
      </c>
      <c r="P53">
        <f t="shared" si="0"/>
        <v>3.1270850000000002E-5</v>
      </c>
      <c r="Q53" cm="1">
        <f t="array" ref="Q53">[1]!PropsSI("D","T",J53+273.15,"P",101325,"Water")</f>
        <v>985.05203870363493</v>
      </c>
      <c r="R53" cm="1">
        <f t="array" ref="R53">[1]!PropsSI("D","T",K53+273.15,"P",101325,"Water")</f>
        <v>986.77632842457797</v>
      </c>
      <c r="S53">
        <f t="shared" si="1"/>
        <v>985.91418356410645</v>
      </c>
      <c r="T53" cm="1">
        <f t="array" ref="T53">[1]!PropsSI("H","T",J53+273.15,"P",101325,"Water")</f>
        <v>235821.40101522577</v>
      </c>
      <c r="U53" cm="1">
        <f t="array" ref="U53">[1]!PropsSI("H","T",K53+273.15,"P",101325,"Water")</f>
        <v>220832.47853284221</v>
      </c>
      <c r="V53">
        <f t="shared" si="2"/>
        <v>462.11409418941741</v>
      </c>
    </row>
    <row r="54" spans="1:22" x14ac:dyDescent="0.2">
      <c r="A54">
        <v>46122.853269097221</v>
      </c>
      <c r="B54">
        <v>20.320409000000001</v>
      </c>
      <c r="C54">
        <v>20.449815999999998</v>
      </c>
      <c r="D54">
        <v>20.116724000000001</v>
      </c>
      <c r="E54">
        <v>20.165182999999999</v>
      </c>
      <c r="F54">
        <v>35.962043999999999</v>
      </c>
      <c r="G54">
        <v>32.981223</v>
      </c>
      <c r="H54">
        <v>31.26229</v>
      </c>
      <c r="I54">
        <v>25.315432999999999</v>
      </c>
      <c r="J54">
        <v>56.313904000000001</v>
      </c>
      <c r="K54">
        <v>52.731862</v>
      </c>
      <c r="L54">
        <v>36.811886000000001</v>
      </c>
      <c r="M54">
        <v>-622.47551099999998</v>
      </c>
      <c r="N54">
        <v>1.8760829999999999</v>
      </c>
      <c r="O54">
        <v>11.780506000000001</v>
      </c>
      <c r="P54">
        <f t="shared" si="0"/>
        <v>3.1268049999999996E-5</v>
      </c>
      <c r="Q54" cm="1">
        <f t="array" ref="Q54">[1]!PropsSI("D","T",J54+273.15,"P",101325,"Water")</f>
        <v>985.05156856472115</v>
      </c>
      <c r="R54" cm="1">
        <f t="array" ref="R54">[1]!PropsSI("D","T",K54+273.15,"P",101325,"Water")</f>
        <v>986.77520763162261</v>
      </c>
      <c r="S54">
        <f t="shared" si="1"/>
        <v>985.91338809817194</v>
      </c>
      <c r="T54" cm="1">
        <f t="array" ref="T54">[1]!PropsSI("H","T",J54+273.15,"P",101325,"Water")</f>
        <v>235825.39620494496</v>
      </c>
      <c r="U54" cm="1">
        <f t="array" ref="U54">[1]!PropsSI("H","T",K54+273.15,"P",101325,"Water")</f>
        <v>220842.45302054545</v>
      </c>
      <c r="V54">
        <f t="shared" si="2"/>
        <v>461.88801621790816</v>
      </c>
    </row>
    <row r="55" spans="1:22" x14ac:dyDescent="0.2">
      <c r="A55">
        <v>46122.85332696759</v>
      </c>
      <c r="B55">
        <v>20.291834000000001</v>
      </c>
      <c r="C55">
        <v>20.443306</v>
      </c>
      <c r="D55">
        <v>20.114858000000002</v>
      </c>
      <c r="E55">
        <v>20.161268</v>
      </c>
      <c r="F55">
        <v>36.049382000000001</v>
      </c>
      <c r="G55">
        <v>33.781913000000003</v>
      </c>
      <c r="H55">
        <v>31.513497000000001</v>
      </c>
      <c r="I55">
        <v>25.515552</v>
      </c>
      <c r="J55">
        <v>56.314380999999997</v>
      </c>
      <c r="K55">
        <v>52.735042</v>
      </c>
      <c r="L55">
        <v>37.723269000000002</v>
      </c>
      <c r="M55">
        <v>-622.48571500000003</v>
      </c>
      <c r="N55">
        <v>1.8737060000000001</v>
      </c>
      <c r="O55">
        <v>11.695453000000001</v>
      </c>
      <c r="P55">
        <f t="shared" si="0"/>
        <v>3.1228433333333334E-5</v>
      </c>
      <c r="Q55" cm="1">
        <f t="array" ref="Q55">[1]!PropsSI("D","T",J55+273.15,"P",101325,"Water")</f>
        <v>985.05133373931812</v>
      </c>
      <c r="R55" cm="1">
        <f t="array" ref="R55">[1]!PropsSI("D","T",K55+273.15,"P",101325,"Water")</f>
        <v>986.77371318473536</v>
      </c>
      <c r="S55">
        <f t="shared" si="1"/>
        <v>985.91252346202668</v>
      </c>
      <c r="T55" cm="1">
        <f t="array" ref="T55">[1]!PropsSI("H","T",J55+273.15,"P",101325,"Water")</f>
        <v>235827.39170822615</v>
      </c>
      <c r="U55" cm="1">
        <f t="array" ref="U55">[1]!PropsSI("H","T",K55+273.15,"P",101325,"Water")</f>
        <v>220855.75234038837</v>
      </c>
      <c r="V55">
        <f t="shared" si="2"/>
        <v>460.95437124857204</v>
      </c>
    </row>
    <row r="56" spans="1:22" x14ac:dyDescent="0.2">
      <c r="A56">
        <v>46122.853385416667</v>
      </c>
      <c r="B56">
        <v>20.297628</v>
      </c>
      <c r="C56">
        <v>20.381260999999999</v>
      </c>
      <c r="D56">
        <v>20.096923</v>
      </c>
      <c r="E56">
        <v>20.182804999999998</v>
      </c>
      <c r="F56">
        <v>35.987031000000002</v>
      </c>
      <c r="G56">
        <v>33.278733000000003</v>
      </c>
      <c r="H56">
        <v>30.886989</v>
      </c>
      <c r="I56">
        <v>25.488934</v>
      </c>
      <c r="J56">
        <v>56.313426</v>
      </c>
      <c r="K56">
        <v>52.736314</v>
      </c>
      <c r="L56">
        <v>40.918210999999999</v>
      </c>
      <c r="M56">
        <v>-622.49265300000002</v>
      </c>
      <c r="N56">
        <v>1.8714360000000001</v>
      </c>
      <c r="O56">
        <v>11.702887</v>
      </c>
      <c r="P56">
        <f t="shared" si="0"/>
        <v>3.1190600000000006E-5</v>
      </c>
      <c r="Q56" cm="1">
        <f t="array" ref="Q56">[1]!PropsSI("D","T",J56+273.15,"P",101325,"Water")</f>
        <v>985.05180388102531</v>
      </c>
      <c r="R56" cm="1">
        <f t="array" ref="R56">[1]!PropsSI("D","T",K56+273.15,"P",101325,"Water")</f>
        <v>986.77311538796857</v>
      </c>
      <c r="S56">
        <f t="shared" si="1"/>
        <v>985.91245963449694</v>
      </c>
      <c r="T56" cm="1">
        <f t="array" ref="T56">[1]!PropsSI("H","T",J56+273.15,"P",101325,"Water")</f>
        <v>235823.39651830765</v>
      </c>
      <c r="U56" cm="1">
        <f t="array" ref="U56">[1]!PropsSI("H","T",K56+273.15,"P",101325,"Water")</f>
        <v>220861.07206927671</v>
      </c>
      <c r="V56">
        <f t="shared" si="2"/>
        <v>460.10944900534196</v>
      </c>
    </row>
    <row r="57" spans="1:22" x14ac:dyDescent="0.2">
      <c r="A57">
        <v>46122.853443287036</v>
      </c>
      <c r="B57">
        <v>20.281216000000001</v>
      </c>
      <c r="C57">
        <v>20.322732999999999</v>
      </c>
      <c r="D57">
        <v>20.090401</v>
      </c>
      <c r="E57">
        <v>20.156592</v>
      </c>
      <c r="F57">
        <v>35.967700000000001</v>
      </c>
      <c r="G57">
        <v>33.899512000000001</v>
      </c>
      <c r="H57">
        <v>30.940646000000001</v>
      </c>
      <c r="I57">
        <v>25.626968999999999</v>
      </c>
      <c r="J57">
        <v>56.315176999999998</v>
      </c>
      <c r="K57">
        <v>52.738222</v>
      </c>
      <c r="L57">
        <v>37.313085000000001</v>
      </c>
      <c r="M57">
        <v>-622.47347100000002</v>
      </c>
      <c r="N57">
        <v>1.871874</v>
      </c>
      <c r="O57">
        <v>11.429109</v>
      </c>
      <c r="P57">
        <f t="shared" si="0"/>
        <v>3.1197900000000002E-5</v>
      </c>
      <c r="Q57" cm="1">
        <f t="array" ref="Q57">[1]!PropsSI("D","T",J57+273.15,"P",101325,"Water")</f>
        <v>985.0509418682509</v>
      </c>
      <c r="R57" cm="1">
        <f t="array" ref="R57">[1]!PropsSI("D","T",K57+273.15,"P",101325,"Water")</f>
        <v>986.77221867354797</v>
      </c>
      <c r="S57">
        <f t="shared" si="1"/>
        <v>985.91158027089944</v>
      </c>
      <c r="T57" cm="1">
        <f t="array" ref="T57">[1]!PropsSI("H","T",J57+273.15,"P",101325,"Water")</f>
        <v>235830.72173061944</v>
      </c>
      <c r="U57" cm="1">
        <f t="array" ref="U57">[1]!PropsSI("H","T",K57+273.15,"P",101325,"Water")</f>
        <v>220869.05166350628</v>
      </c>
      <c r="V57">
        <f t="shared" si="2"/>
        <v>460.19659706007491</v>
      </c>
    </row>
    <row r="58" spans="1:22" x14ac:dyDescent="0.2">
      <c r="A58">
        <v>46122.853501736114</v>
      </c>
      <c r="B58">
        <v>20.270323999999999</v>
      </c>
      <c r="C58">
        <v>20.381815</v>
      </c>
      <c r="D58">
        <v>20.097245000000001</v>
      </c>
      <c r="E58">
        <v>20.153486000000001</v>
      </c>
      <c r="F58">
        <v>35.830337999999998</v>
      </c>
      <c r="G58">
        <v>33.383828000000001</v>
      </c>
      <c r="H58">
        <v>31.095859999999998</v>
      </c>
      <c r="I58">
        <v>25.562289</v>
      </c>
      <c r="J58">
        <v>56.315018000000002</v>
      </c>
      <c r="K58">
        <v>52.737904</v>
      </c>
      <c r="L58">
        <v>35.556846999999998</v>
      </c>
      <c r="M58">
        <v>-622.48489900000004</v>
      </c>
      <c r="N58">
        <v>1.875521</v>
      </c>
      <c r="O58">
        <v>11.478645</v>
      </c>
      <c r="P58">
        <f t="shared" si="0"/>
        <v>3.1258683333333336E-5</v>
      </c>
      <c r="Q58" cm="1">
        <f t="array" ref="Q58">[1]!PropsSI("D","T",J58+273.15,"P",101325,"Water")</f>
        <v>985.05102014431259</v>
      </c>
      <c r="R58" cm="1">
        <f t="array" ref="R58">[1]!PropsSI("D","T",K58+273.15,"P",101325,"Water")</f>
        <v>986.77236812755268</v>
      </c>
      <c r="S58">
        <f t="shared" si="1"/>
        <v>985.91169413593263</v>
      </c>
      <c r="T58" cm="1">
        <f t="array" ref="T58">[1]!PropsSI("H","T",J58+273.15,"P",101325,"Water")</f>
        <v>235830.05656283427</v>
      </c>
      <c r="U58" cm="1">
        <f t="array" ref="U58">[1]!PropsSI("H","T",K58+273.15,"P",101325,"Water")</f>
        <v>220867.72173106743</v>
      </c>
      <c r="V58">
        <f t="shared" si="2"/>
        <v>461.11374511592072</v>
      </c>
    </row>
    <row r="59" spans="1:22" x14ac:dyDescent="0.2">
      <c r="A59">
        <v>46122.853560185184</v>
      </c>
      <c r="B59">
        <v>20.259506999999999</v>
      </c>
      <c r="C59">
        <v>20.35716</v>
      </c>
      <c r="D59">
        <v>20.091628</v>
      </c>
      <c r="E59">
        <v>20.147466999999999</v>
      </c>
      <c r="F59">
        <v>35.809831000000003</v>
      </c>
      <c r="G59">
        <v>32.997340000000001</v>
      </c>
      <c r="H59">
        <v>31.162216000000001</v>
      </c>
      <c r="I59">
        <v>25.40128</v>
      </c>
      <c r="J59">
        <v>56.317245999999997</v>
      </c>
      <c r="K59">
        <v>52.730589999999999</v>
      </c>
      <c r="L59">
        <v>36.368234999999999</v>
      </c>
      <c r="M59">
        <v>-622.49795900000004</v>
      </c>
      <c r="N59">
        <v>1.876009</v>
      </c>
      <c r="O59">
        <v>11.600462</v>
      </c>
      <c r="P59">
        <f t="shared" si="0"/>
        <v>3.1266816666666667E-5</v>
      </c>
      <c r="Q59" cm="1">
        <f t="array" ref="Q59">[1]!PropsSI("D","T",J59+273.15,"P",101325,"Water")</f>
        <v>985.04992328069727</v>
      </c>
      <c r="R59" cm="1">
        <f t="array" ref="R59">[1]!PropsSI("D","T",K59+273.15,"P",101325,"Water")</f>
        <v>986.77580539234123</v>
      </c>
      <c r="S59">
        <f t="shared" si="1"/>
        <v>985.91286433651931</v>
      </c>
      <c r="T59" cm="1">
        <f t="array" ref="T59">[1]!PropsSI("H","T",J59+273.15,"P",101325,"Water")</f>
        <v>235839.37727993802</v>
      </c>
      <c r="U59" cm="1">
        <f t="array" ref="U59">[1]!PropsSI("H","T",K59+273.15,"P",101325,"Water")</f>
        <v>220837.13329359182</v>
      </c>
      <c r="V59">
        <f t="shared" si="2"/>
        <v>462.46452560148657</v>
      </c>
    </row>
    <row r="60" spans="1:22" x14ac:dyDescent="0.2">
      <c r="A60">
        <v>46122.853618055553</v>
      </c>
      <c r="B60">
        <v>20.327596</v>
      </c>
      <c r="C60">
        <v>20.428387000000001</v>
      </c>
      <c r="D60">
        <v>20.152866</v>
      </c>
      <c r="E60">
        <v>20.167870000000001</v>
      </c>
      <c r="F60">
        <v>35.989787999999997</v>
      </c>
      <c r="G60">
        <v>33.469873</v>
      </c>
      <c r="H60">
        <v>31.050515000000001</v>
      </c>
      <c r="I60">
        <v>25.307805999999999</v>
      </c>
      <c r="J60">
        <v>56.317245999999997</v>
      </c>
      <c r="K60">
        <v>52.735518999999996</v>
      </c>
      <c r="L60">
        <v>33.834076000000003</v>
      </c>
      <c r="M60">
        <v>-622.49959200000001</v>
      </c>
      <c r="N60">
        <v>1.876976</v>
      </c>
      <c r="O60">
        <v>11.741417</v>
      </c>
      <c r="P60">
        <f t="shared" si="0"/>
        <v>3.1282933333333332E-5</v>
      </c>
      <c r="Q60" cm="1">
        <f t="array" ref="Q60">[1]!PropsSI("D","T",J60+273.15,"P",101325,"Water")</f>
        <v>985.04992328069727</v>
      </c>
      <c r="R60" cm="1">
        <f t="array" ref="R60">[1]!PropsSI("D","T",K60+273.15,"P",101325,"Water")</f>
        <v>986.77348901216124</v>
      </c>
      <c r="S60">
        <f t="shared" si="1"/>
        <v>985.9117061464292</v>
      </c>
      <c r="T60" cm="1">
        <f t="array" ref="T60">[1]!PropsSI("H","T",J60+273.15,"P",101325,"Water")</f>
        <v>235839.37727993802</v>
      </c>
      <c r="U60" cm="1">
        <f t="array" ref="U60">[1]!PropsSI("H","T",K60+273.15,"P",101325,"Water")</f>
        <v>220857.74723861986</v>
      </c>
      <c r="V60">
        <f t="shared" si="2"/>
        <v>462.0665825123865</v>
      </c>
    </row>
    <row r="61" spans="1:22" x14ac:dyDescent="0.2">
      <c r="A61">
        <v>46122.853675925922</v>
      </c>
      <c r="B61">
        <v>20.36618</v>
      </c>
      <c r="C61">
        <v>20.441109000000001</v>
      </c>
      <c r="D61">
        <v>20.21294</v>
      </c>
      <c r="E61">
        <v>20.242491000000001</v>
      </c>
      <c r="F61">
        <v>35.76146</v>
      </c>
      <c r="G61">
        <v>33.526187</v>
      </c>
      <c r="H61">
        <v>31.081852999999999</v>
      </c>
      <c r="I61">
        <v>25.437139999999999</v>
      </c>
      <c r="J61">
        <v>56.316609999999997</v>
      </c>
      <c r="K61">
        <v>52.738698999999997</v>
      </c>
      <c r="L61">
        <v>34.587508</v>
      </c>
      <c r="M61">
        <v>-622.48857199999998</v>
      </c>
      <c r="N61">
        <v>1.874099</v>
      </c>
      <c r="O61">
        <v>11.564194000000001</v>
      </c>
      <c r="P61">
        <f t="shared" si="0"/>
        <v>3.1234983333333332E-5</v>
      </c>
      <c r="Q61" cm="1">
        <f t="array" ref="Q61">[1]!PropsSI("D","T",J61+273.15,"P",101325,"Water")</f>
        <v>985.05023639208139</v>
      </c>
      <c r="R61" cm="1">
        <f t="array" ref="R61">[1]!PropsSI("D","T",K61+273.15,"P",101325,"Water")</f>
        <v>986.77199449131342</v>
      </c>
      <c r="S61">
        <f t="shared" si="1"/>
        <v>985.91111544169735</v>
      </c>
      <c r="T61" cm="1">
        <f t="array" ref="T61">[1]!PropsSI("H","T",J61+273.15,"P",101325,"Water")</f>
        <v>235836.71660827246</v>
      </c>
      <c r="U61" cm="1">
        <f t="array" ref="U61">[1]!PropsSI("H","T",K61+273.15,"P",101325,"Water")</f>
        <v>220871.04656232614</v>
      </c>
      <c r="V61">
        <f t="shared" si="2"/>
        <v>460.86657078995495</v>
      </c>
    </row>
    <row r="62" spans="1:22" x14ac:dyDescent="0.2">
      <c r="A62">
        <v>46122.853734374999</v>
      </c>
      <c r="B62">
        <v>20.356532000000001</v>
      </c>
      <c r="C62">
        <v>20.435489</v>
      </c>
      <c r="D62">
        <v>20.213124000000001</v>
      </c>
      <c r="E62">
        <v>20.252551</v>
      </c>
      <c r="F62">
        <v>35.915674000000003</v>
      </c>
      <c r="G62">
        <v>33.291594000000003</v>
      </c>
      <c r="H62">
        <v>31.166172</v>
      </c>
      <c r="I62">
        <v>25.440525999999998</v>
      </c>
      <c r="J62">
        <v>56.315655</v>
      </c>
      <c r="K62">
        <v>52.738698999999997</v>
      </c>
      <c r="L62">
        <v>36.434353999999999</v>
      </c>
      <c r="M62">
        <v>-622.49550999999997</v>
      </c>
      <c r="N62">
        <v>1.8782749999999999</v>
      </c>
      <c r="O62">
        <v>11.690573000000001</v>
      </c>
      <c r="P62">
        <f t="shared" si="0"/>
        <v>3.1304583333333335E-5</v>
      </c>
      <c r="Q62" cm="1">
        <f t="array" ref="Q62">[1]!PropsSI("D","T",J62+273.15,"P",101325,"Water")</f>
        <v>985.05070654683004</v>
      </c>
      <c r="R62" cm="1">
        <f t="array" ref="R62">[1]!PropsSI("D","T",K62+273.15,"P",101325,"Water")</f>
        <v>986.77199449131342</v>
      </c>
      <c r="S62">
        <f t="shared" si="1"/>
        <v>985.91135051907168</v>
      </c>
      <c r="T62" cm="1">
        <f t="array" ref="T62">[1]!PropsSI("H","T",J62+273.15,"P",101325,"Water")</f>
        <v>235832.72141751161</v>
      </c>
      <c r="U62" cm="1">
        <f t="array" ref="U62">[1]!PropsSI("H","T",K62+273.15,"P",101325,"Water")</f>
        <v>220871.04656232614</v>
      </c>
      <c r="V62">
        <f t="shared" si="2"/>
        <v>461.77031067955147</v>
      </c>
    </row>
    <row r="63" spans="1:22" x14ac:dyDescent="0.2">
      <c r="A63">
        <v>46122.853792824077</v>
      </c>
      <c r="B63">
        <v>20.440999000000001</v>
      </c>
      <c r="C63">
        <v>20.535028000000001</v>
      </c>
      <c r="D63">
        <v>20.217949999999998</v>
      </c>
      <c r="E63">
        <v>20.281908000000001</v>
      </c>
      <c r="F63">
        <v>35.928269</v>
      </c>
      <c r="G63">
        <v>33.821016999999998</v>
      </c>
      <c r="H63">
        <v>31.117460999999999</v>
      </c>
      <c r="I63">
        <v>25.598230999999998</v>
      </c>
      <c r="J63">
        <v>56.315973</v>
      </c>
      <c r="K63">
        <v>52.742516000000002</v>
      </c>
      <c r="L63">
        <v>36.260893000000003</v>
      </c>
      <c r="M63">
        <v>-622.48979599999996</v>
      </c>
      <c r="N63">
        <v>1.872538</v>
      </c>
      <c r="O63">
        <v>11.584500999999999</v>
      </c>
      <c r="P63">
        <f t="shared" si="0"/>
        <v>3.1208966666666665E-5</v>
      </c>
      <c r="Q63" cm="1">
        <f t="array" ref="Q63">[1]!PropsSI("D","T",J63+273.15,"P",101325,"Water")</f>
        <v>985.05054999328752</v>
      </c>
      <c r="R63" cm="1">
        <f t="array" ref="R63">[1]!PropsSI("D","T",K63+273.15,"P",101325,"Water")</f>
        <v>986.77020051137447</v>
      </c>
      <c r="S63">
        <f t="shared" si="1"/>
        <v>985.91037525233105</v>
      </c>
      <c r="T63" cm="1">
        <f t="array" ref="T63">[1]!PropsSI("H","T",J63+273.15,"P",101325,"Water")</f>
        <v>235834.05175329655</v>
      </c>
      <c r="U63" cm="1">
        <f t="array" ref="U63">[1]!PropsSI("H","T",K63+273.15,"P",101325,"Water")</f>
        <v>220887.0099371906</v>
      </c>
      <c r="V63">
        <f t="shared" si="2"/>
        <v>459.90917727953973</v>
      </c>
    </row>
    <row r="64" spans="1:22" x14ac:dyDescent="0.2">
      <c r="A64">
        <v>46122.853850694446</v>
      </c>
      <c r="B64">
        <v>20.461478</v>
      </c>
      <c r="C64">
        <v>20.525853999999999</v>
      </c>
      <c r="D64">
        <v>20.262626000000001</v>
      </c>
      <c r="E64">
        <v>20.357136000000001</v>
      </c>
      <c r="F64">
        <v>36.143295999999999</v>
      </c>
      <c r="G64">
        <v>33.477795</v>
      </c>
      <c r="H64">
        <v>30.581894999999999</v>
      </c>
      <c r="I64">
        <v>25.608184000000001</v>
      </c>
      <c r="J64">
        <v>56.315655</v>
      </c>
      <c r="K64">
        <v>52.742356999999998</v>
      </c>
      <c r="L64">
        <v>37.066566999999999</v>
      </c>
      <c r="M64">
        <v>-622.45877800000005</v>
      </c>
      <c r="N64">
        <v>1.872395</v>
      </c>
      <c r="O64">
        <v>11.477169999999999</v>
      </c>
      <c r="P64">
        <f t="shared" si="0"/>
        <v>3.120658333333333E-5</v>
      </c>
      <c r="Q64" cm="1">
        <f t="array" ref="Q64">[1]!PropsSI("D","T",J64+273.15,"P",101325,"Water")</f>
        <v>985.05070654683004</v>
      </c>
      <c r="R64" cm="1">
        <f t="array" ref="R64">[1]!PropsSI("D","T",K64+273.15,"P",101325,"Water")</f>
        <v>986.77027524282005</v>
      </c>
      <c r="S64">
        <f t="shared" si="1"/>
        <v>985.91049089482499</v>
      </c>
      <c r="T64" cm="1">
        <f t="array" ref="T64">[1]!PropsSI("H","T",J64+273.15,"P",101325,"Water")</f>
        <v>235832.72141751161</v>
      </c>
      <c r="U64" cm="1">
        <f t="array" ref="U64">[1]!PropsSI("H","T",K64+273.15,"P",101325,"Water")</f>
        <v>220886.34497069503</v>
      </c>
      <c r="V64">
        <f t="shared" si="2"/>
        <v>459.85363801428264</v>
      </c>
    </row>
    <row r="65" spans="1:22" x14ac:dyDescent="0.2">
      <c r="A65">
        <v>46122.853909143516</v>
      </c>
      <c r="B65">
        <v>20.433952000000001</v>
      </c>
      <c r="C65">
        <v>20.487881000000002</v>
      </c>
      <c r="D65">
        <v>20.243226</v>
      </c>
      <c r="E65">
        <v>20.329207</v>
      </c>
      <c r="F65">
        <v>35.923878000000002</v>
      </c>
      <c r="G65">
        <v>33.285612999999998</v>
      </c>
      <c r="H65">
        <v>31.206803000000001</v>
      </c>
      <c r="I65">
        <v>25.657501</v>
      </c>
      <c r="J65">
        <v>56.316291</v>
      </c>
      <c r="K65">
        <v>52.746968000000003</v>
      </c>
      <c r="L65">
        <v>36.726176000000002</v>
      </c>
      <c r="M65">
        <v>-622.47918500000003</v>
      </c>
      <c r="N65">
        <v>1.8742259999999999</v>
      </c>
      <c r="O65">
        <v>11.683164</v>
      </c>
      <c r="P65">
        <f t="shared" si="0"/>
        <v>3.1237099999999999E-5</v>
      </c>
      <c r="Q65" cm="1">
        <f t="array" ref="Q65">[1]!PropsSI("D","T",J65+273.15,"P",101325,"Water")</f>
        <v>985.05039343916019</v>
      </c>
      <c r="R65" cm="1">
        <f t="array" ref="R65">[1]!PropsSI("D","T",K65+273.15,"P",101325,"Water")</f>
        <v>986.76810796608152</v>
      </c>
      <c r="S65">
        <f t="shared" si="1"/>
        <v>985.90925070262085</v>
      </c>
      <c r="T65" cm="1">
        <f t="array" ref="T65">[1]!PropsSI("H","T",J65+273.15,"P",101325,"Water")</f>
        <v>235835.38208901681</v>
      </c>
      <c r="U65" cm="1">
        <f t="array" ref="U65">[1]!PropsSI("H","T",K65+273.15,"P",101325,"Water")</f>
        <v>220905.62900133527</v>
      </c>
      <c r="V65">
        <f t="shared" si="2"/>
        <v>459.79079747168146</v>
      </c>
    </row>
    <row r="66" spans="1:22" x14ac:dyDescent="0.2">
      <c r="A66">
        <v>46122.853967592593</v>
      </c>
      <c r="B66">
        <v>20.410898</v>
      </c>
      <c r="C66">
        <v>20.473379000000001</v>
      </c>
      <c r="D66">
        <v>20.209692</v>
      </c>
      <c r="E66">
        <v>20.300843</v>
      </c>
      <c r="F66">
        <v>36.055483000000002</v>
      </c>
      <c r="G66">
        <v>33.313464000000003</v>
      </c>
      <c r="H66">
        <v>30.948354999999999</v>
      </c>
      <c r="I66">
        <v>25.591002</v>
      </c>
      <c r="J66">
        <v>56.317405999999998</v>
      </c>
      <c r="K66">
        <v>52.744106000000002</v>
      </c>
      <c r="L66">
        <v>32.759844000000001</v>
      </c>
      <c r="M66">
        <v>-622.49265300000002</v>
      </c>
      <c r="N66">
        <v>1.8685430000000001</v>
      </c>
      <c r="O66">
        <v>11.617312</v>
      </c>
      <c r="P66">
        <f t="shared" ref="P66:P115" si="3" xml:space="preserve"> N66*0.001/60</f>
        <v>3.1142383333333332E-5</v>
      </c>
      <c r="Q66" cm="1">
        <f t="array" ref="Q66">[1]!PropsSI("D","T",J66+273.15,"P",101325,"Water")</f>
        <v>985.04984451013695</v>
      </c>
      <c r="R66" cm="1">
        <f t="array" ref="R66">[1]!PropsSI("D","T",K66+273.15,"P",101325,"Water")</f>
        <v>986.76945318823766</v>
      </c>
      <c r="S66">
        <f t="shared" ref="S66:S115" si="4">(Q66+R66)/2</f>
        <v>985.90964884918731</v>
      </c>
      <c r="T66" cm="1">
        <f t="array" ref="T66">[1]!PropsSI("H","T",J66+273.15,"P",101325,"Water")</f>
        <v>235840.04663135929</v>
      </c>
      <c r="U66" cm="1">
        <f t="array" ref="U66">[1]!PropsSI("H","T",K66+273.15,"P",101325,"Water")</f>
        <v>220893.65960221449</v>
      </c>
      <c r="V66">
        <f t="shared" ref="V66:V115" si="5">S66*P66*(T66-U66)</f>
        <v>458.90753331055635</v>
      </c>
    </row>
    <row r="67" spans="1:22" x14ac:dyDescent="0.2">
      <c r="A67">
        <v>46122.854025462962</v>
      </c>
      <c r="B67">
        <v>20.414878999999999</v>
      </c>
      <c r="C67">
        <v>20.473844</v>
      </c>
      <c r="D67">
        <v>20.229887000000002</v>
      </c>
      <c r="E67">
        <v>20.316694999999999</v>
      </c>
      <c r="F67">
        <v>36.012270999999998</v>
      </c>
      <c r="G67">
        <v>32.969741999999997</v>
      </c>
      <c r="H67">
        <v>31.405184999999999</v>
      </c>
      <c r="I67">
        <v>25.179742999999998</v>
      </c>
      <c r="J67">
        <v>56.315018000000002</v>
      </c>
      <c r="K67">
        <v>52.743152000000002</v>
      </c>
      <c r="L67">
        <v>34.960141999999998</v>
      </c>
      <c r="M67">
        <v>-622.49795900000004</v>
      </c>
      <c r="N67">
        <v>1.872825</v>
      </c>
      <c r="O67">
        <v>11.389232</v>
      </c>
      <c r="P67">
        <f t="shared" si="3"/>
        <v>3.1213749999999999E-5</v>
      </c>
      <c r="Q67" cm="1">
        <f t="array" ref="Q67">[1]!PropsSI("D","T",J67+273.15,"P",101325,"Water")</f>
        <v>985.05102014431259</v>
      </c>
      <c r="R67" cm="1">
        <f t="array" ref="R67">[1]!PropsSI("D","T",K67+273.15,"P",101325,"Water")</f>
        <v>986.76990158406204</v>
      </c>
      <c r="S67">
        <f t="shared" si="4"/>
        <v>985.91046086418737</v>
      </c>
      <c r="T67" cm="1">
        <f t="array" ref="T67">[1]!PropsSI("H","T",J67+273.15,"P",101325,"Water")</f>
        <v>235830.05656283427</v>
      </c>
      <c r="U67" cm="1">
        <f t="array" ref="U67">[1]!PropsSI("H","T",K67+273.15,"P",101325,"Water")</f>
        <v>220889.66980309453</v>
      </c>
      <c r="V67">
        <f t="shared" si="5"/>
        <v>459.77490408790959</v>
      </c>
    </row>
    <row r="68" spans="1:22" x14ac:dyDescent="0.2">
      <c r="A68">
        <v>46122.85408391204</v>
      </c>
      <c r="B68">
        <v>20.381955999999999</v>
      </c>
      <c r="C68">
        <v>20.410786000000002</v>
      </c>
      <c r="D68">
        <v>20.187495999999999</v>
      </c>
      <c r="E68">
        <v>20.292888999999999</v>
      </c>
      <c r="F68">
        <v>35.847762000000003</v>
      </c>
      <c r="G68">
        <v>33.709418999999997</v>
      </c>
      <c r="H68">
        <v>31.171764</v>
      </c>
      <c r="I68">
        <v>25.745612999999999</v>
      </c>
      <c r="J68">
        <v>56.313585000000003</v>
      </c>
      <c r="K68">
        <v>52.740926000000002</v>
      </c>
      <c r="L68">
        <v>38.01305</v>
      </c>
      <c r="M68">
        <v>-622.50449000000003</v>
      </c>
      <c r="N68">
        <v>1.872657</v>
      </c>
      <c r="O68">
        <v>11.705263</v>
      </c>
      <c r="P68">
        <f t="shared" ref="P68:P72" si="6" xml:space="preserve"> N68*0.001/60</f>
        <v>3.121095E-5</v>
      </c>
      <c r="Q68" cm="1">
        <f t="array" ref="Q68">[1]!PropsSI("D","T",J68+273.15,"P",101325,"Water")</f>
        <v>985.05172560652306</v>
      </c>
      <c r="R68" cm="1">
        <f t="array" ref="R68">[1]!PropsSI("D","T",K68+273.15,"P",101325,"Water")</f>
        <v>986.77094781844937</v>
      </c>
      <c r="S68">
        <f t="shared" ref="S68:S72" si="7">(Q68+R68)/2</f>
        <v>985.91133671248622</v>
      </c>
      <c r="T68" cm="1">
        <f t="array" ref="T68">[1]!PropsSI("H","T",J68+273.15,"P",101325,"Water")</f>
        <v>235824.06168607151</v>
      </c>
      <c r="U68" cm="1">
        <f t="array" ref="U68">[1]!PropsSI("H","T",K68+273.15,"P",101325,"Water")</f>
        <v>220880.3602729651</v>
      </c>
      <c r="V68">
        <f t="shared" ref="V68:V72" si="8">S68*P68*(T68-U68)</f>
        <v>459.83606478435388</v>
      </c>
    </row>
    <row r="69" spans="1:22" x14ac:dyDescent="0.2">
      <c r="A69">
        <v>46122.854141782409</v>
      </c>
      <c r="B69">
        <v>20.371542999999999</v>
      </c>
      <c r="C69">
        <v>20.401389000000002</v>
      </c>
      <c r="D69">
        <v>20.163243999999999</v>
      </c>
      <c r="E69">
        <v>20.278077</v>
      </c>
      <c r="F69">
        <v>36.038910999999999</v>
      </c>
      <c r="G69">
        <v>32.535131</v>
      </c>
      <c r="H69">
        <v>31.279433999999998</v>
      </c>
      <c r="I69">
        <v>25.417425999999999</v>
      </c>
      <c r="J69">
        <v>56.312629999999999</v>
      </c>
      <c r="K69">
        <v>52.743788000000002</v>
      </c>
      <c r="L69">
        <v>36.081718000000002</v>
      </c>
      <c r="M69">
        <v>-622.50367300000005</v>
      </c>
      <c r="N69">
        <v>1.875132</v>
      </c>
      <c r="O69">
        <v>11.744771999999999</v>
      </c>
      <c r="P69">
        <f t="shared" si="6"/>
        <v>3.1252199999999999E-5</v>
      </c>
      <c r="Q69" cm="1">
        <f t="array" ref="Q69">[1]!PropsSI("D","T",J69+273.15,"P",101325,"Water")</f>
        <v>985.05219574356818</v>
      </c>
      <c r="R69" cm="1">
        <f t="array" ref="R69">[1]!PropsSI("D","T",K69+273.15,"P",101325,"Water")</f>
        <v>986.76960265415937</v>
      </c>
      <c r="S69">
        <f t="shared" si="7"/>
        <v>985.91089919886372</v>
      </c>
      <c r="T69" cm="1">
        <f t="array" ref="T69">[1]!PropsSI("H","T",J69+273.15,"P",101325,"Water")</f>
        <v>235820.06649643017</v>
      </c>
      <c r="U69" cm="1">
        <f t="array" ref="U69">[1]!PropsSI("H","T",K69+273.15,"P",101325,"Water")</f>
        <v>220892.32966913498</v>
      </c>
      <c r="V69">
        <f t="shared" si="8"/>
        <v>459.95170452064542</v>
      </c>
    </row>
    <row r="70" spans="1:22" x14ac:dyDescent="0.2">
      <c r="A70">
        <v>46122.854199652778</v>
      </c>
      <c r="B70">
        <v>20.426648</v>
      </c>
      <c r="C70">
        <v>20.436066</v>
      </c>
      <c r="D70">
        <v>20.183990000000001</v>
      </c>
      <c r="E70">
        <v>20.295852</v>
      </c>
      <c r="F70">
        <v>36.036928000000003</v>
      </c>
      <c r="G70">
        <v>33.114626000000001</v>
      </c>
      <c r="H70">
        <v>31.475719000000002</v>
      </c>
      <c r="I70">
        <v>25.625862999999999</v>
      </c>
      <c r="J70">
        <v>56.312311999999999</v>
      </c>
      <c r="K70">
        <v>52.744900999999999</v>
      </c>
      <c r="L70">
        <v>36.005803999999998</v>
      </c>
      <c r="M70">
        <v>-622.47796000000005</v>
      </c>
      <c r="N70">
        <v>1.8728290000000001</v>
      </c>
      <c r="O70">
        <v>11.70262</v>
      </c>
      <c r="P70">
        <f t="shared" si="6"/>
        <v>3.1213816666666666E-5</v>
      </c>
      <c r="Q70" cm="1">
        <f t="array" ref="Q70">[1]!PropsSI("D","T",J70+273.15,"P",101325,"Water")</f>
        <v>985.05235229058519</v>
      </c>
      <c r="R70" cm="1">
        <f t="array" ref="R70">[1]!PropsSI("D","T",K70+273.15,"P",101325,"Water")</f>
        <v>986.76907952065653</v>
      </c>
      <c r="S70">
        <f t="shared" si="7"/>
        <v>985.91071590562092</v>
      </c>
      <c r="T70" cm="1">
        <f t="array" ref="T70">[1]!PropsSI("H","T",J70+273.15,"P",101325,"Water")</f>
        <v>235818.73616115606</v>
      </c>
      <c r="U70" cm="1">
        <f t="array" ref="U70">[1]!PropsSI("H","T",K70+273.15,"P",101325,"Water")</f>
        <v>220896.98443501472</v>
      </c>
      <c r="V70">
        <f t="shared" si="8"/>
        <v>459.20252981674804</v>
      </c>
    </row>
    <row r="71" spans="1:22" x14ac:dyDescent="0.2">
      <c r="A71">
        <v>46122.854258101848</v>
      </c>
      <c r="B71">
        <v>20.425992999999998</v>
      </c>
      <c r="C71">
        <v>20.439827999999999</v>
      </c>
      <c r="D71">
        <v>20.183805</v>
      </c>
      <c r="E71">
        <v>20.285791</v>
      </c>
      <c r="F71">
        <v>36.112135000000002</v>
      </c>
      <c r="G71">
        <v>33.531750000000002</v>
      </c>
      <c r="H71">
        <v>31.044439000000001</v>
      </c>
      <c r="I71">
        <v>25.582182</v>
      </c>
      <c r="J71">
        <v>56.312949000000003</v>
      </c>
      <c r="K71">
        <v>52.743788000000002</v>
      </c>
      <c r="L71">
        <v>44.220903</v>
      </c>
      <c r="M71">
        <v>-622.52122299999996</v>
      </c>
      <c r="N71">
        <v>1.876091</v>
      </c>
      <c r="O71">
        <v>11.703001</v>
      </c>
      <c r="P71">
        <f t="shared" si="6"/>
        <v>3.1268183333333337E-5</v>
      </c>
      <c r="Q71" cm="1">
        <f t="array" ref="Q71">[1]!PropsSI("D","T",J71+273.15,"P",101325,"Water")</f>
        <v>985.05203870363493</v>
      </c>
      <c r="R71" cm="1">
        <f t="array" ref="R71">[1]!PropsSI("D","T",K71+273.15,"P",101325,"Water")</f>
        <v>986.76960265415937</v>
      </c>
      <c r="S71">
        <f t="shared" si="7"/>
        <v>985.91082067889715</v>
      </c>
      <c r="T71" cm="1">
        <f t="array" ref="T71">[1]!PropsSI("H","T",J71+273.15,"P",101325,"Water")</f>
        <v>235821.40101522577</v>
      </c>
      <c r="U71" cm="1">
        <f t="array" ref="U71">[1]!PropsSI("H","T",K71+273.15,"P",101325,"Water")</f>
        <v>220892.32966913498</v>
      </c>
      <c r="V71">
        <f t="shared" si="8"/>
        <v>460.22804134051353</v>
      </c>
    </row>
    <row r="72" spans="1:22" x14ac:dyDescent="0.2">
      <c r="A72">
        <v>46122.854316550925</v>
      </c>
      <c r="B72">
        <v>20.395350000000001</v>
      </c>
      <c r="C72">
        <v>20.432656999999999</v>
      </c>
      <c r="D72">
        <v>20.174544999999998</v>
      </c>
      <c r="E72">
        <v>20.263762</v>
      </c>
      <c r="F72">
        <v>35.817694000000003</v>
      </c>
      <c r="G72">
        <v>32.795014999999999</v>
      </c>
      <c r="H72">
        <v>31.308237999999999</v>
      </c>
      <c r="I72">
        <v>25.454218999999998</v>
      </c>
      <c r="J72">
        <v>56.312629999999999</v>
      </c>
      <c r="K72">
        <v>52.737426999999997</v>
      </c>
      <c r="L72">
        <v>35.590722999999997</v>
      </c>
      <c r="M72">
        <v>-622.47224600000004</v>
      </c>
      <c r="N72">
        <v>1.873583</v>
      </c>
      <c r="O72">
        <v>11.665424</v>
      </c>
      <c r="P72">
        <f t="shared" si="6"/>
        <v>3.1226383333333333E-5</v>
      </c>
      <c r="Q72" cm="1">
        <f t="array" ref="Q72">[1]!PropsSI("D","T",J72+273.15,"P",101325,"Water")</f>
        <v>985.05219574356818</v>
      </c>
      <c r="R72" cm="1">
        <f t="array" ref="R72">[1]!PropsSI("D","T",K72+273.15,"P",101325,"Water")</f>
        <v>986.77259230736558</v>
      </c>
      <c r="S72">
        <f t="shared" si="7"/>
        <v>985.91239402546694</v>
      </c>
      <c r="T72" cm="1">
        <f t="array" ref="T72">[1]!PropsSI("H","T",J72+273.15,"P",101325,"Water")</f>
        <v>235820.06649643017</v>
      </c>
      <c r="U72" cm="1">
        <f t="array" ref="U72">[1]!PropsSI("H","T",K72+273.15,"P",101325,"Water")</f>
        <v>220865.72683242147</v>
      </c>
      <c r="V72">
        <f t="shared" si="8"/>
        <v>460.39145428845342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2CFF-F0E3-734E-8793-2AB017C4AEBC}">
  <dimension ref="A1:W67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>
        <v>44660.8448894678</v>
      </c>
      <c r="B2">
        <v>20.229945000000001</v>
      </c>
      <c r="C2">
        <v>20.416533999999999</v>
      </c>
      <c r="D2">
        <v>20.143336000000001</v>
      </c>
      <c r="E2">
        <v>20.255848</v>
      </c>
      <c r="F2">
        <v>33.091507</v>
      </c>
      <c r="G2">
        <v>29.82696</v>
      </c>
      <c r="H2">
        <v>28.267222</v>
      </c>
      <c r="I2">
        <v>24.201988</v>
      </c>
      <c r="J2">
        <v>56.304989999999997</v>
      </c>
      <c r="K2">
        <v>52.294929000000003</v>
      </c>
      <c r="L2">
        <v>69.729830000000007</v>
      </c>
      <c r="M2">
        <v>-622.48489900000004</v>
      </c>
      <c r="N2">
        <v>1.8755170000000001</v>
      </c>
      <c r="O2">
        <v>11.690268</v>
      </c>
      <c r="P2">
        <f t="shared" ref="P2:P65" si="0" xml:space="preserve"> N2*0.001/60</f>
        <v>3.1258616666666669E-5</v>
      </c>
      <c r="Q2" cm="1">
        <f t="array" ref="Q2">[1]!PropsSI("D","T",J2+273.15,"P",101325,"Water")</f>
        <v>985.0559566388938</v>
      </c>
      <c r="R2" cm="1">
        <f t="array" ref="R2">[1]!PropsSI("D","T",K2+273.15,"P",101325,"Water")</f>
        <v>986.97993254103301</v>
      </c>
      <c r="S2">
        <f t="shared" ref="S2:S65" si="1">(Q2+R2)/2</f>
        <v>986.01794458996346</v>
      </c>
      <c r="T2" cm="1">
        <f t="array" ref="T2">[1]!PropsSI("H","T",J2+273.15,"P",101325,"Water")</f>
        <v>235788.10499219809</v>
      </c>
      <c r="U2" cm="1">
        <f t="array" ref="U2">[1]!PropsSI("H","T",K2+273.15,"P",101325,"Water")</f>
        <v>219015.15349195382</v>
      </c>
      <c r="V2">
        <f t="shared" ref="V2:V65" si="2">S2*P2*(T2-U2)</f>
        <v>516.96847999158331</v>
      </c>
      <c r="W2" s="2">
        <f>AVERAGE(V2:V67)</f>
        <v>515.54799127566162</v>
      </c>
    </row>
    <row r="3" spans="1:23" x14ac:dyDescent="0.2">
      <c r="A3">
        <v>44660.844947338097</v>
      </c>
      <c r="B3">
        <v>20.234231999999999</v>
      </c>
      <c r="C3">
        <v>20.342313999999998</v>
      </c>
      <c r="D3">
        <v>20.165924</v>
      </c>
      <c r="E3">
        <v>20.248107999999998</v>
      </c>
      <c r="F3">
        <v>33.100869000000003</v>
      </c>
      <c r="G3">
        <v>30.418422</v>
      </c>
      <c r="H3">
        <v>28.316421999999999</v>
      </c>
      <c r="I3">
        <v>24.097117000000001</v>
      </c>
      <c r="J3">
        <v>56.308332999999998</v>
      </c>
      <c r="K3">
        <v>52.29636</v>
      </c>
      <c r="L3">
        <v>69.738809000000003</v>
      </c>
      <c r="M3">
        <v>-622.48204199999998</v>
      </c>
      <c r="N3">
        <v>1.8674120000000001</v>
      </c>
      <c r="O3">
        <v>11.67493</v>
      </c>
      <c r="P3">
        <f t="shared" si="0"/>
        <v>3.1123533333333335E-5</v>
      </c>
      <c r="Q3" cm="1">
        <f t="array" ref="Q3">[1]!PropsSI("D","T",J3+273.15,"P",101325,"Water")</f>
        <v>985.05431104504805</v>
      </c>
      <c r="R3" cm="1">
        <f t="array" ref="R3">[1]!PropsSI("D","T",K3+273.15,"P",101325,"Water")</f>
        <v>986.97926403449458</v>
      </c>
      <c r="S3">
        <f t="shared" si="1"/>
        <v>986.01678753977126</v>
      </c>
      <c r="T3" cm="1">
        <f t="array" ref="T3">[1]!PropsSI("H","T",J3+273.15,"P",101325,"Water")</f>
        <v>235802.09023927717</v>
      </c>
      <c r="U3" cm="1">
        <f t="array" ref="U3">[1]!PropsSI("H","T",K3+273.15,"P",101325,"Water")</f>
        <v>219021.13798327232</v>
      </c>
      <c r="V3">
        <f t="shared" si="2"/>
        <v>514.97933936686661</v>
      </c>
      <c r="W3" s="2"/>
    </row>
    <row r="4" spans="1:23" x14ac:dyDescent="0.2">
      <c r="A4">
        <v>44660.845005787203</v>
      </c>
      <c r="B4">
        <v>20.230066000000001</v>
      </c>
      <c r="C4">
        <v>20.374402</v>
      </c>
      <c r="D4">
        <v>20.16133</v>
      </c>
      <c r="E4">
        <v>20.245398999999999</v>
      </c>
      <c r="F4">
        <v>33.170490000000001</v>
      </c>
      <c r="G4">
        <v>30.546780999999999</v>
      </c>
      <c r="H4">
        <v>28.302759999999999</v>
      </c>
      <c r="I4">
        <v>24.387758000000002</v>
      </c>
      <c r="J4">
        <v>56.308650999999998</v>
      </c>
      <c r="K4">
        <v>52.287137999999999</v>
      </c>
      <c r="L4">
        <v>57.552072000000003</v>
      </c>
      <c r="M4">
        <v>-622.46734900000001</v>
      </c>
      <c r="N4">
        <v>1.87035</v>
      </c>
      <c r="O4">
        <v>11.473523</v>
      </c>
      <c r="P4">
        <f t="shared" si="0"/>
        <v>3.11725E-5</v>
      </c>
      <c r="Q4" cm="1">
        <f t="array" ref="Q4">[1]!PropsSI("D","T",J4+273.15,"P",101325,"Water")</f>
        <v>985.05415450577846</v>
      </c>
      <c r="R4" cm="1">
        <f t="array" ref="R4">[1]!PropsSI("D","T",K4+273.15,"P",101325,"Water")</f>
        <v>986.98357195800179</v>
      </c>
      <c r="S4">
        <f t="shared" si="1"/>
        <v>986.01886323189012</v>
      </c>
      <c r="T4" cm="1">
        <f t="array" ref="T4">[1]!PropsSI("H","T",J4+273.15,"P",101325,"Water")</f>
        <v>235803.4205741222</v>
      </c>
      <c r="U4" cm="1">
        <f t="array" ref="U4">[1]!PropsSI("H","T",K4+273.15,"P",101325,"Water")</f>
        <v>218982.57127267943</v>
      </c>
      <c r="V4">
        <f t="shared" si="2"/>
        <v>517.01694479783305</v>
      </c>
      <c r="W4" s="2"/>
    </row>
    <row r="5" spans="1:23" x14ac:dyDescent="0.2">
      <c r="A5">
        <v>44660.845064236302</v>
      </c>
      <c r="B5">
        <v>20.245456999999998</v>
      </c>
      <c r="C5">
        <v>20.463021000000001</v>
      </c>
      <c r="D5">
        <v>20.113215</v>
      </c>
      <c r="E5">
        <v>20.221903000000001</v>
      </c>
      <c r="F5">
        <v>33.158417999999998</v>
      </c>
      <c r="G5">
        <v>30.265006</v>
      </c>
      <c r="H5">
        <v>28.222946</v>
      </c>
      <c r="I5">
        <v>24.439678000000001</v>
      </c>
      <c r="J5">
        <v>56.307696</v>
      </c>
      <c r="K5">
        <v>52.291113000000003</v>
      </c>
      <c r="L5">
        <v>68.821712000000005</v>
      </c>
      <c r="M5">
        <v>-622.51591800000006</v>
      </c>
      <c r="N5">
        <v>1.8758490000000001</v>
      </c>
      <c r="O5">
        <v>11.533720000000001</v>
      </c>
      <c r="P5">
        <f t="shared" si="0"/>
        <v>3.1264150000000001E-5</v>
      </c>
      <c r="Q5" cm="1">
        <f t="array" ref="Q5">[1]!PropsSI("D","T",J5+273.15,"P",101325,"Water")</f>
        <v>985.05462461397667</v>
      </c>
      <c r="R5" cm="1">
        <f t="array" ref="R5">[1]!PropsSI("D","T",K5+273.15,"P",101325,"Water")</f>
        <v>986.98171516108152</v>
      </c>
      <c r="S5">
        <f t="shared" si="1"/>
        <v>986.0181698875291</v>
      </c>
      <c r="T5" cm="1">
        <f t="array" ref="T5">[1]!PropsSI("H","T",J5+273.15,"P",101325,"Water")</f>
        <v>235799.42538631041</v>
      </c>
      <c r="U5" cm="1">
        <f t="array" ref="U5">[1]!PropsSI("H","T",K5+273.15,"P",101325,"Water")</f>
        <v>218999.19485148942</v>
      </c>
      <c r="V5">
        <f t="shared" si="2"/>
        <v>517.90104213182804</v>
      </c>
      <c r="W5" s="2"/>
    </row>
    <row r="6" spans="1:23" x14ac:dyDescent="0.2">
      <c r="A6">
        <v>46122.845122106482</v>
      </c>
      <c r="B6">
        <v>20.268611</v>
      </c>
      <c r="C6">
        <v>20.458817</v>
      </c>
      <c r="D6">
        <v>20.171918999999999</v>
      </c>
      <c r="E6">
        <v>20.248528</v>
      </c>
      <c r="F6">
        <v>33.118279999999999</v>
      </c>
      <c r="G6">
        <v>30.195453000000001</v>
      </c>
      <c r="H6">
        <v>28.232747</v>
      </c>
      <c r="I6">
        <v>24.340902</v>
      </c>
      <c r="J6">
        <v>56.308968999999998</v>
      </c>
      <c r="K6">
        <v>52.293975000000003</v>
      </c>
      <c r="L6">
        <v>63.149751000000002</v>
      </c>
      <c r="M6">
        <v>-622.48653100000001</v>
      </c>
      <c r="N6">
        <v>1.8735459999999999</v>
      </c>
      <c r="O6">
        <v>11.616638999999999</v>
      </c>
      <c r="P6">
        <f t="shared" si="0"/>
        <v>3.1225766666666668E-5</v>
      </c>
      <c r="Q6" cm="1">
        <f t="array" ref="Q6">[1]!PropsSI("D","T",J6+273.15,"P",101325,"Water")</f>
        <v>985.05399796589506</v>
      </c>
      <c r="R6" cm="1">
        <f t="array" ref="R6">[1]!PropsSI("D","T",K6+273.15,"P",101325,"Water")</f>
        <v>986.98037820476645</v>
      </c>
      <c r="S6">
        <f t="shared" si="1"/>
        <v>986.01718808533076</v>
      </c>
      <c r="T6" cm="1">
        <f t="array" ref="T6">[1]!PropsSI("H","T",J6+273.15,"P",101325,"Water")</f>
        <v>235804.75090897319</v>
      </c>
      <c r="U6" cm="1">
        <f t="array" ref="U6">[1]!PropsSI("H","T",K6+273.15,"P",101325,"Water")</f>
        <v>219011.16383140007</v>
      </c>
      <c r="V6">
        <f t="shared" si="2"/>
        <v>517.06014804381607</v>
      </c>
      <c r="W6" s="2"/>
    </row>
    <row r="7" spans="1:23" x14ac:dyDescent="0.2">
      <c r="A7">
        <v>46122.845180555552</v>
      </c>
      <c r="B7">
        <v>20.419044</v>
      </c>
      <c r="C7">
        <v>20.510009</v>
      </c>
      <c r="D7">
        <v>20.172041</v>
      </c>
      <c r="E7">
        <v>20.291606999999999</v>
      </c>
      <c r="F7">
        <v>33.177093999999997</v>
      </c>
      <c r="G7">
        <v>30.239342000000001</v>
      </c>
      <c r="H7">
        <v>28.130026999999998</v>
      </c>
      <c r="I7">
        <v>24.368563000000002</v>
      </c>
      <c r="J7">
        <v>56.309446999999999</v>
      </c>
      <c r="K7">
        <v>52.29636</v>
      </c>
      <c r="L7">
        <v>71.514638000000005</v>
      </c>
      <c r="M7">
        <v>-622.45959400000004</v>
      </c>
      <c r="N7">
        <v>1.8735010000000001</v>
      </c>
      <c r="O7">
        <v>11.657202</v>
      </c>
      <c r="P7">
        <f t="shared" si="0"/>
        <v>3.122501666666667E-5</v>
      </c>
      <c r="Q7" cm="1">
        <f t="array" ref="Q7">[1]!PropsSI("D","T",J7+273.15,"P",101325,"Water")</f>
        <v>985.0537626626616</v>
      </c>
      <c r="R7" cm="1">
        <f t="array" ref="R7">[1]!PropsSI("D","T",K7+273.15,"P",101325,"Water")</f>
        <v>986.97926403449458</v>
      </c>
      <c r="S7">
        <f t="shared" si="1"/>
        <v>986.01651334857809</v>
      </c>
      <c r="T7" cm="1">
        <f t="array" ref="T7">[1]!PropsSI("H","T",J7+273.15,"P",101325,"Water")</f>
        <v>235806.75059477199</v>
      </c>
      <c r="U7" cm="1">
        <f t="array" ref="U7">[1]!PropsSI("H","T",K7+273.15,"P",101325,"Water")</f>
        <v>219021.13798327232</v>
      </c>
      <c r="V7">
        <f t="shared" si="2"/>
        <v>516.8018542429852</v>
      </c>
      <c r="W7" s="2"/>
    </row>
    <row r="8" spans="1:23" x14ac:dyDescent="0.2">
      <c r="A8">
        <v>46122.845238425929</v>
      </c>
      <c r="B8">
        <v>20.509741999999999</v>
      </c>
      <c r="C8">
        <v>20.653790000000001</v>
      </c>
      <c r="D8">
        <v>20.276358999999999</v>
      </c>
      <c r="E8">
        <v>20.457554999999999</v>
      </c>
      <c r="F8">
        <v>33.342607000000001</v>
      </c>
      <c r="G8">
        <v>30.286853000000001</v>
      </c>
      <c r="H8">
        <v>28.670034000000001</v>
      </c>
      <c r="I8">
        <v>24.315251</v>
      </c>
      <c r="J8">
        <v>56.311039000000001</v>
      </c>
      <c r="K8">
        <v>52.299222</v>
      </c>
      <c r="L8">
        <v>62.604064000000001</v>
      </c>
      <c r="M8">
        <v>-622.48408199999994</v>
      </c>
      <c r="N8">
        <v>1.8718129999999999</v>
      </c>
      <c r="O8">
        <v>11.512142000000001</v>
      </c>
      <c r="P8">
        <f t="shared" si="0"/>
        <v>3.1196883333333329E-5</v>
      </c>
      <c r="Q8" cm="1">
        <f t="array" ref="Q8">[1]!PropsSI("D","T",J8+273.15,"P",101325,"Water")</f>
        <v>985.05297896472405</v>
      </c>
      <c r="R8" cm="1">
        <f t="array" ref="R8">[1]!PropsSI("D","T",K8+273.15,"P",101325,"Water")</f>
        <v>986.97792698222906</v>
      </c>
      <c r="S8">
        <f t="shared" si="1"/>
        <v>986.01545297347661</v>
      </c>
      <c r="T8" cm="1">
        <f t="array" ref="T8">[1]!PropsSI("H","T",J8+273.15,"P",101325,"Water")</f>
        <v>235813.41063684013</v>
      </c>
      <c r="U8" cm="1">
        <f t="array" ref="U8">[1]!PropsSI("H","T",K8+273.15,"P",101325,"Water")</f>
        <v>219033.10696796977</v>
      </c>
      <c r="V8">
        <f t="shared" si="2"/>
        <v>516.17236091983636</v>
      </c>
      <c r="W8" s="2"/>
    </row>
    <row r="9" spans="1:23" x14ac:dyDescent="0.2">
      <c r="A9">
        <v>46122.845296296298</v>
      </c>
      <c r="B9">
        <v>20.441175000000001</v>
      </c>
      <c r="C9">
        <v>20.604607000000001</v>
      </c>
      <c r="D9">
        <v>20.276615</v>
      </c>
      <c r="E9">
        <v>20.435528000000001</v>
      </c>
      <c r="F9">
        <v>33.342630999999997</v>
      </c>
      <c r="G9">
        <v>31.064803999999999</v>
      </c>
      <c r="H9">
        <v>28.106836999999999</v>
      </c>
      <c r="I9">
        <v>24.569497999999999</v>
      </c>
      <c r="J9">
        <v>56.311515999999997</v>
      </c>
      <c r="K9">
        <v>52.305104</v>
      </c>
      <c r="L9">
        <v>58.575285999999998</v>
      </c>
      <c r="M9">
        <v>-622.47347100000002</v>
      </c>
      <c r="N9">
        <v>1.8711450000000001</v>
      </c>
      <c r="O9">
        <v>11.684537000000001</v>
      </c>
      <c r="P9">
        <f t="shared" si="0"/>
        <v>3.1185749999999999E-5</v>
      </c>
      <c r="Q9" cm="1">
        <f t="array" ref="Q9">[1]!PropsSI("D","T",J9+273.15,"P",101325,"Water")</f>
        <v>985.05274414768758</v>
      </c>
      <c r="R9" cm="1">
        <f t="array" ref="R9">[1]!PropsSI("D","T",K9+273.15,"P",101325,"Water")</f>
        <v>986.97517889976723</v>
      </c>
      <c r="S9">
        <f t="shared" si="1"/>
        <v>986.0139615237274</v>
      </c>
      <c r="T9" cm="1">
        <f t="array" ref="T9">[1]!PropsSI("H","T",J9+273.15,"P",101325,"Water")</f>
        <v>235815.4061395934</v>
      </c>
      <c r="U9" cm="1">
        <f t="array" ref="U9">[1]!PropsSI("H","T",K9+273.15,"P",101325,"Water")</f>
        <v>219057.70570714635</v>
      </c>
      <c r="V9">
        <f t="shared" si="2"/>
        <v>515.29233218616048</v>
      </c>
      <c r="W9" s="2"/>
    </row>
    <row r="10" spans="1:23" x14ac:dyDescent="0.2">
      <c r="A10">
        <v>44660.845354745499</v>
      </c>
      <c r="B10">
        <v>20.453522</v>
      </c>
      <c r="C10">
        <v>20.605475999999999</v>
      </c>
      <c r="D10">
        <v>20.290714000000001</v>
      </c>
      <c r="E10">
        <v>20.405837999999999</v>
      </c>
      <c r="F10">
        <v>33.104182999999999</v>
      </c>
      <c r="G10">
        <v>30.196546999999999</v>
      </c>
      <c r="H10">
        <v>28.097864999999999</v>
      </c>
      <c r="I10">
        <v>24.207432000000001</v>
      </c>
      <c r="J10">
        <v>56.311197999999997</v>
      </c>
      <c r="K10">
        <v>52.309396999999997</v>
      </c>
      <c r="L10">
        <v>71.943595999999999</v>
      </c>
      <c r="M10">
        <v>-622.50775499999997</v>
      </c>
      <c r="N10">
        <v>1.871469</v>
      </c>
      <c r="O10">
        <v>11.6227</v>
      </c>
      <c r="P10">
        <f t="shared" si="0"/>
        <v>3.1191150000000004E-5</v>
      </c>
      <c r="Q10" cm="1">
        <f t="array" ref="Q10">[1]!PropsSI("D","T",J10+273.15,"P",101325,"Water")</f>
        <v>985.05290069253203</v>
      </c>
      <c r="R10" cm="1">
        <f t="array" ref="R10">[1]!PropsSI("D","T",K10+273.15,"P",101325,"Water")</f>
        <v>986.97317306180923</v>
      </c>
      <c r="S10">
        <f t="shared" si="1"/>
        <v>986.01303687717063</v>
      </c>
      <c r="T10" cm="1">
        <f t="array" ref="T10">[1]!PropsSI("H","T",J10+273.15,"P",101325,"Water")</f>
        <v>235814.07580443632</v>
      </c>
      <c r="U10" cm="1">
        <f t="array" ref="U10">[1]!PropsSI("H","T",K10+273.15,"P",101325,"Water")</f>
        <v>219075.65919713705</v>
      </c>
      <c r="V10">
        <f t="shared" si="2"/>
        <v>514.78800310575207</v>
      </c>
    </row>
    <row r="11" spans="1:23" x14ac:dyDescent="0.2">
      <c r="A11">
        <v>44660.845413194598</v>
      </c>
      <c r="B11">
        <v>20.412120000000002</v>
      </c>
      <c r="C11">
        <v>20.654487</v>
      </c>
      <c r="D11">
        <v>20.304442999999999</v>
      </c>
      <c r="E11">
        <v>20.377618999999999</v>
      </c>
      <c r="F11">
        <v>33.300462000000003</v>
      </c>
      <c r="G11">
        <v>30.365264</v>
      </c>
      <c r="H11">
        <v>27.85858</v>
      </c>
      <c r="I11">
        <v>24.421837</v>
      </c>
      <c r="J11">
        <v>56.312629999999999</v>
      </c>
      <c r="K11">
        <v>52.309238000000001</v>
      </c>
      <c r="L11">
        <v>64.612127000000001</v>
      </c>
      <c r="M11">
        <v>-622.50081599999999</v>
      </c>
      <c r="N11">
        <v>1.873386</v>
      </c>
      <c r="O11">
        <v>11.283999</v>
      </c>
      <c r="P11">
        <f t="shared" si="0"/>
        <v>3.1223100000000003E-5</v>
      </c>
      <c r="Q11" cm="1">
        <f t="array" ref="Q11">[1]!PropsSI("D","T",J11+273.15,"P",101325,"Water")</f>
        <v>985.05219574356818</v>
      </c>
      <c r="R11" cm="1">
        <f t="array" ref="R11">[1]!PropsSI("D","T",K11+273.15,"P",101325,"Water")</f>
        <v>986.97324735419761</v>
      </c>
      <c r="S11">
        <f t="shared" si="1"/>
        <v>986.01272154888284</v>
      </c>
      <c r="T11" cm="1">
        <f t="array" ref="T11">[1]!PropsSI("H","T",J11+273.15,"P",101325,"Water")</f>
        <v>235820.06649643017</v>
      </c>
      <c r="U11" cm="1">
        <f t="array" ref="U11">[1]!PropsSI("H","T",K11+273.15,"P",101325,"Water")</f>
        <v>219074.99425292519</v>
      </c>
      <c r="V11">
        <f t="shared" si="2"/>
        <v>515.52005350025001</v>
      </c>
    </row>
    <row r="12" spans="1:23" x14ac:dyDescent="0.2">
      <c r="A12">
        <v>44660.845471064997</v>
      </c>
      <c r="B12">
        <v>20.411304999999999</v>
      </c>
      <c r="C12">
        <v>20.680137999999999</v>
      </c>
      <c r="D12">
        <v>20.266499</v>
      </c>
      <c r="E12">
        <v>20.364643999999998</v>
      </c>
      <c r="F12">
        <v>33.326183999999998</v>
      </c>
      <c r="G12">
        <v>30.863522</v>
      </c>
      <c r="H12">
        <v>28.273073</v>
      </c>
      <c r="I12">
        <v>24.690871999999999</v>
      </c>
      <c r="J12">
        <v>56.308172999999996</v>
      </c>
      <c r="K12">
        <v>52.312736000000001</v>
      </c>
      <c r="L12">
        <v>67.146693999999997</v>
      </c>
      <c r="M12">
        <v>-622.50204099999996</v>
      </c>
      <c r="N12">
        <v>1.8697189999999999</v>
      </c>
      <c r="O12">
        <v>11.524660000000001</v>
      </c>
      <c r="P12">
        <f t="shared" si="0"/>
        <v>3.1161983333333334E-5</v>
      </c>
      <c r="Q12" cm="1">
        <f t="array" ref="Q12">[1]!PropsSI("D","T",J12+273.15,"P",101325,"Water")</f>
        <v>985.05438980670738</v>
      </c>
      <c r="R12" cm="1">
        <f t="array" ref="R12">[1]!PropsSI("D","T",K12+273.15,"P",101325,"Water")</f>
        <v>986.97161288417374</v>
      </c>
      <c r="S12">
        <f t="shared" si="1"/>
        <v>986.01300134544056</v>
      </c>
      <c r="T12" cm="1">
        <f t="array" ref="T12">[1]!PropsSI("H","T",J12+273.15,"P",101325,"Water")</f>
        <v>235801.42088844531</v>
      </c>
      <c r="U12" cm="1">
        <f t="array" ref="U12">[1]!PropsSI("H","T",K12+273.15,"P",101325,"Water")</f>
        <v>219089.62302677246</v>
      </c>
      <c r="V12">
        <f t="shared" si="2"/>
        <v>513.48871845202075</v>
      </c>
    </row>
    <row r="13" spans="1:23" x14ac:dyDescent="0.2">
      <c r="A13">
        <v>44660.845529514103</v>
      </c>
      <c r="B13">
        <v>20.467010999999999</v>
      </c>
      <c r="C13">
        <v>20.688482</v>
      </c>
      <c r="D13">
        <v>20.312906999999999</v>
      </c>
      <c r="E13">
        <v>20.449622000000002</v>
      </c>
      <c r="F13">
        <v>33.214233999999998</v>
      </c>
      <c r="G13">
        <v>30.579376</v>
      </c>
      <c r="H13">
        <v>28.429580000000001</v>
      </c>
      <c r="I13">
        <v>24.143236999999999</v>
      </c>
      <c r="J13">
        <v>56.306103999999998</v>
      </c>
      <c r="K13">
        <v>52.313212999999998</v>
      </c>
      <c r="L13">
        <v>60.885373999999999</v>
      </c>
      <c r="M13">
        <v>-622.49632699999995</v>
      </c>
      <c r="N13">
        <v>1.873993</v>
      </c>
      <c r="O13">
        <v>11.591756999999999</v>
      </c>
      <c r="P13">
        <f t="shared" si="0"/>
        <v>3.1233216666666668E-5</v>
      </c>
      <c r="Q13" cm="1">
        <f t="array" ref="Q13">[1]!PropsSI("D","T",J13+273.15,"P",101325,"Water")</f>
        <v>985.05540827929644</v>
      </c>
      <c r="R13" cm="1">
        <f t="array" ref="R13">[1]!PropsSI("D","T",K13+273.15,"P",101325,"Water")</f>
        <v>986.97138999584422</v>
      </c>
      <c r="S13">
        <f t="shared" si="1"/>
        <v>986.01339913757033</v>
      </c>
      <c r="T13" cm="1">
        <f t="array" ref="T13">[1]!PropsSI("H","T",J13+273.15,"P",101325,"Water")</f>
        <v>235792.76534628661</v>
      </c>
      <c r="U13" cm="1">
        <f t="array" ref="U13">[1]!PropsSI("H","T",K13+273.15,"P",101325,"Water")</f>
        <v>219091.61785984409</v>
      </c>
      <c r="V13">
        <f t="shared" si="2"/>
        <v>514.33471961325847</v>
      </c>
    </row>
    <row r="14" spans="1:23" x14ac:dyDescent="0.2">
      <c r="A14">
        <v>44660.8455873844</v>
      </c>
      <c r="B14">
        <v>20.443021999999999</v>
      </c>
      <c r="C14">
        <v>20.654485000000001</v>
      </c>
      <c r="D14">
        <v>20.292604999999998</v>
      </c>
      <c r="E14">
        <v>20.380374</v>
      </c>
      <c r="F14">
        <v>33.199171</v>
      </c>
      <c r="G14">
        <v>30.286396</v>
      </c>
      <c r="H14">
        <v>28.399312999999999</v>
      </c>
      <c r="I14">
        <v>24.182774999999999</v>
      </c>
      <c r="J14">
        <v>56.303398000000001</v>
      </c>
      <c r="K14">
        <v>52.310986999999997</v>
      </c>
      <c r="L14">
        <v>64.476623000000004</v>
      </c>
      <c r="M14">
        <v>-622.50816299999997</v>
      </c>
      <c r="N14">
        <v>1.874403</v>
      </c>
      <c r="O14">
        <v>11.702671</v>
      </c>
      <c r="P14">
        <f t="shared" si="0"/>
        <v>3.1240050000000003E-5</v>
      </c>
      <c r="Q14" cm="1">
        <f t="array" ref="Q14">[1]!PropsSI("D","T",J14+273.15,"P",101325,"Water")</f>
        <v>985.05674027783448</v>
      </c>
      <c r="R14" cm="1">
        <f t="array" ref="R14">[1]!PropsSI("D","T",K14+273.15,"P",101325,"Water")</f>
        <v>986.97243012896161</v>
      </c>
      <c r="S14">
        <f t="shared" si="1"/>
        <v>986.01458520339804</v>
      </c>
      <c r="T14" cm="1">
        <f t="array" ref="T14">[1]!PropsSI("H","T",J14+273.15,"P",101325,"Water")</f>
        <v>235781.44495377995</v>
      </c>
      <c r="U14" cm="1">
        <f t="array" ref="U14">[1]!PropsSI("H","T",K14+273.15,"P",101325,"Water")</f>
        <v>219082.30863942255</v>
      </c>
      <c r="V14">
        <f t="shared" si="2"/>
        <v>514.38591630543931</v>
      </c>
    </row>
    <row r="15" spans="1:23" x14ac:dyDescent="0.2">
      <c r="A15">
        <v>46122.845645254631</v>
      </c>
      <c r="B15">
        <v>20.427679999999999</v>
      </c>
      <c r="C15">
        <v>20.662717000000001</v>
      </c>
      <c r="D15">
        <v>20.321957999999999</v>
      </c>
      <c r="E15">
        <v>20.431246000000002</v>
      </c>
      <c r="F15">
        <v>33.225335999999999</v>
      </c>
      <c r="G15">
        <v>30.877862</v>
      </c>
      <c r="H15">
        <v>28.756481000000001</v>
      </c>
      <c r="I15">
        <v>24.636512</v>
      </c>
      <c r="J15">
        <v>56.297508999999998</v>
      </c>
      <c r="K15">
        <v>52.296519000000004</v>
      </c>
      <c r="L15">
        <v>62.822420000000001</v>
      </c>
      <c r="M15">
        <v>-622.48530700000003</v>
      </c>
      <c r="N15">
        <v>1.857753</v>
      </c>
      <c r="O15">
        <v>11.754365999999999</v>
      </c>
      <c r="P15">
        <f t="shared" si="0"/>
        <v>3.0962549999999997E-5</v>
      </c>
      <c r="Q15" cm="1">
        <f t="array" ref="Q15">[1]!PropsSI("D","T",J15+273.15,"P",101325,"Water")</f>
        <v>985.05963891786234</v>
      </c>
      <c r="R15" cm="1">
        <f t="array" ref="R15">[1]!PropsSI("D","T",K15+273.15,"P",101325,"Water")</f>
        <v>986.97918975521486</v>
      </c>
      <c r="S15">
        <f t="shared" si="1"/>
        <v>986.0194143365386</v>
      </c>
      <c r="T15" cm="1">
        <f t="array" ref="T15">[1]!PropsSI("H","T",J15+273.15,"P",101325,"Water")</f>
        <v>235756.80867695974</v>
      </c>
      <c r="U15" cm="1">
        <f t="array" ref="U15">[1]!PropsSI("H","T",K15+273.15,"P",101325,"Water")</f>
        <v>219021.8029267815</v>
      </c>
      <c r="V15">
        <f t="shared" si="2"/>
        <v>510.91429366069184</v>
      </c>
    </row>
    <row r="16" spans="1:23" x14ac:dyDescent="0.2">
      <c r="A16">
        <v>46122.845703703701</v>
      </c>
      <c r="B16">
        <v>20.416947</v>
      </c>
      <c r="C16">
        <v>20.644185</v>
      </c>
      <c r="D16">
        <v>20.286483</v>
      </c>
      <c r="E16">
        <v>20.408082</v>
      </c>
      <c r="F16">
        <v>33.320315999999998</v>
      </c>
      <c r="G16">
        <v>31.128924999999999</v>
      </c>
      <c r="H16">
        <v>27.902155</v>
      </c>
      <c r="I16">
        <v>24.563924</v>
      </c>
      <c r="J16">
        <v>56.299419</v>
      </c>
      <c r="K16">
        <v>52.293657000000003</v>
      </c>
      <c r="L16">
        <v>69.362500999999995</v>
      </c>
      <c r="M16">
        <v>-622.51673400000004</v>
      </c>
      <c r="N16">
        <v>1.8717269999999999</v>
      </c>
      <c r="O16">
        <v>11.281394000000001</v>
      </c>
      <c r="P16">
        <f t="shared" si="0"/>
        <v>3.119545E-5</v>
      </c>
      <c r="Q16" cm="1">
        <f t="array" ref="Q16">[1]!PropsSI("D","T",J16+273.15,"P",101325,"Water")</f>
        <v>985.05869881506783</v>
      </c>
      <c r="R16" cm="1">
        <f t="array" ref="R16">[1]!PropsSI("D","T",K16+273.15,"P",101325,"Water")</f>
        <v>986.98052675805548</v>
      </c>
      <c r="S16">
        <f t="shared" si="1"/>
        <v>986.01961278656165</v>
      </c>
      <c r="T16" cm="1">
        <f t="array" ref="T16">[1]!PropsSI("H","T",J16+273.15,"P",101325,"Water")</f>
        <v>235764.79904549068</v>
      </c>
      <c r="U16" cm="1">
        <f t="array" ref="U16">[1]!PropsSI("H","T",K16+273.15,"P",101325,"Water")</f>
        <v>219009.83394460741</v>
      </c>
      <c r="V16">
        <f t="shared" si="2"/>
        <v>515.37142577687405</v>
      </c>
    </row>
    <row r="17" spans="1:22" x14ac:dyDescent="0.2">
      <c r="A17">
        <v>46122.845761574077</v>
      </c>
      <c r="B17">
        <v>20.301152999999999</v>
      </c>
      <c r="C17">
        <v>20.511741000000001</v>
      </c>
      <c r="D17">
        <v>20.290061999999999</v>
      </c>
      <c r="E17">
        <v>20.398071000000002</v>
      </c>
      <c r="F17">
        <v>33.174253</v>
      </c>
      <c r="G17">
        <v>30.619841000000001</v>
      </c>
      <c r="H17">
        <v>28.279817999999999</v>
      </c>
      <c r="I17">
        <v>24.426355999999998</v>
      </c>
      <c r="J17">
        <v>56.299577999999997</v>
      </c>
      <c r="K17">
        <v>52.296996</v>
      </c>
      <c r="L17">
        <v>66.086747000000003</v>
      </c>
      <c r="M17">
        <v>-622.50775499999997</v>
      </c>
      <c r="N17">
        <v>1.873505</v>
      </c>
      <c r="O17">
        <v>11.798475</v>
      </c>
      <c r="P17">
        <f t="shared" si="0"/>
        <v>3.122508333333333E-5</v>
      </c>
      <c r="Q17" cm="1">
        <f t="array" ref="Q17">[1]!PropsSI("D","T",J17+273.15,"P",101325,"Water")</f>
        <v>985.05862055419095</v>
      </c>
      <c r="R17" cm="1">
        <f t="array" ref="R17">[1]!PropsSI("D","T",K17+273.15,"P",101325,"Water")</f>
        <v>986.97896691631399</v>
      </c>
      <c r="S17">
        <f t="shared" si="1"/>
        <v>986.01879373525253</v>
      </c>
      <c r="T17" cm="1">
        <f t="array" ref="T17">[1]!PropsSI("H","T",J17+273.15,"P",101325,"Water")</f>
        <v>235765.46421235945</v>
      </c>
      <c r="U17" cm="1">
        <f t="array" ref="U17">[1]!PropsSI("H","T",K17+273.15,"P",101325,"Water")</f>
        <v>219023.79775744741</v>
      </c>
      <c r="V17">
        <f t="shared" si="2"/>
        <v>515.45111578251954</v>
      </c>
    </row>
    <row r="18" spans="1:22" x14ac:dyDescent="0.2">
      <c r="A18">
        <v>46122.845819444447</v>
      </c>
      <c r="B18">
        <v>20.389357</v>
      </c>
      <c r="C18">
        <v>20.661396</v>
      </c>
      <c r="D18">
        <v>20.351970000000001</v>
      </c>
      <c r="E18">
        <v>20.465081999999999</v>
      </c>
      <c r="F18">
        <v>33.258944</v>
      </c>
      <c r="G18">
        <v>30.132012</v>
      </c>
      <c r="H18">
        <v>28.464378</v>
      </c>
      <c r="I18">
        <v>24.10247</v>
      </c>
      <c r="J18">
        <v>56.297826999999998</v>
      </c>
      <c r="K18">
        <v>52.301447000000003</v>
      </c>
      <c r="L18">
        <v>62.528148999999999</v>
      </c>
      <c r="M18">
        <v>-622.48408199999994</v>
      </c>
      <c r="N18">
        <v>1.8740220000000001</v>
      </c>
      <c r="O18">
        <v>11.292627</v>
      </c>
      <c r="P18">
        <f t="shared" si="0"/>
        <v>3.1233700000000006E-5</v>
      </c>
      <c r="Q18" cm="1">
        <f t="array" ref="Q18">[1]!PropsSI("D","T",J18+273.15,"P",101325,"Water")</f>
        <v>985.05948239968131</v>
      </c>
      <c r="R18" cm="1">
        <f t="array" ref="R18">[1]!PropsSI("D","T",K18+273.15,"P",101325,"Water")</f>
        <v>986.97688748366727</v>
      </c>
      <c r="S18">
        <f t="shared" si="1"/>
        <v>986.01818494167424</v>
      </c>
      <c r="T18" cm="1">
        <f t="array" ref="T18">[1]!PropsSI("H","T",J18+273.15,"P",101325,"Water")</f>
        <v>235758.13901048849</v>
      </c>
      <c r="U18" cm="1">
        <f t="array" ref="U18">[1]!PropsSI("H","T",K18+273.15,"P",101325,"Water")</f>
        <v>219042.4119980442</v>
      </c>
      <c r="V18">
        <f t="shared" si="2"/>
        <v>514.79418099853024</v>
      </c>
    </row>
    <row r="19" spans="1:22" x14ac:dyDescent="0.2">
      <c r="A19">
        <v>46122.845877893516</v>
      </c>
      <c r="B19">
        <v>20.343368999999999</v>
      </c>
      <c r="C19">
        <v>20.526668999999998</v>
      </c>
      <c r="D19">
        <v>20.282938000000001</v>
      </c>
      <c r="E19">
        <v>20.395156</v>
      </c>
      <c r="F19">
        <v>33.264285999999998</v>
      </c>
      <c r="G19">
        <v>30.314513000000002</v>
      </c>
      <c r="H19">
        <v>28.032610999999999</v>
      </c>
      <c r="I19">
        <v>24.453015000000001</v>
      </c>
      <c r="J19">
        <v>56.297508999999998</v>
      </c>
      <c r="K19">
        <v>52.304468</v>
      </c>
      <c r="L19">
        <v>66.664269000000004</v>
      </c>
      <c r="M19">
        <v>-622.46204299999999</v>
      </c>
      <c r="N19">
        <v>1.8749480000000001</v>
      </c>
      <c r="O19">
        <v>11.677331000000001</v>
      </c>
      <c r="P19">
        <f t="shared" si="0"/>
        <v>3.1249133333333339E-5</v>
      </c>
      <c r="Q19" cm="1">
        <f t="array" ref="Q19">[1]!PropsSI("D","T",J19+273.15,"P",101325,"Water")</f>
        <v>985.05963891786234</v>
      </c>
      <c r="R19" cm="1">
        <f t="array" ref="R19">[1]!PropsSI("D","T",K19+273.15,"P",101325,"Water")</f>
        <v>986.97547605093439</v>
      </c>
      <c r="S19">
        <f t="shared" si="1"/>
        <v>986.01755748439837</v>
      </c>
      <c r="T19" cm="1">
        <f t="array" ref="T19">[1]!PropsSI("H","T",J19+273.15,"P",101325,"Water")</f>
        <v>235756.80867695974</v>
      </c>
      <c r="U19" cm="1">
        <f t="array" ref="U19">[1]!PropsSI("H","T",K19+273.15,"P",101325,"Water")</f>
        <v>219055.04593132183</v>
      </c>
      <c r="V19">
        <f t="shared" si="2"/>
        <v>514.61795591217299</v>
      </c>
    </row>
    <row r="20" spans="1:22" x14ac:dyDescent="0.2">
      <c r="A20">
        <v>46122.845936342594</v>
      </c>
      <c r="B20">
        <v>20.294397</v>
      </c>
      <c r="C20">
        <v>20.645941000000001</v>
      </c>
      <c r="D20">
        <v>20.250406000000002</v>
      </c>
      <c r="E20">
        <v>20.373296</v>
      </c>
      <c r="F20">
        <v>33.136667000000003</v>
      </c>
      <c r="G20">
        <v>30.778919999999999</v>
      </c>
      <c r="H20">
        <v>28.184329999999999</v>
      </c>
      <c r="I20">
        <v>24.415709</v>
      </c>
      <c r="J20">
        <v>56.295121000000002</v>
      </c>
      <c r="K20">
        <v>52.302401000000003</v>
      </c>
      <c r="L20">
        <v>69.346175000000002</v>
      </c>
      <c r="M20">
        <v>-622.51510099999996</v>
      </c>
      <c r="N20">
        <v>1.876857</v>
      </c>
      <c r="O20">
        <v>11.761991</v>
      </c>
      <c r="P20">
        <f t="shared" si="0"/>
        <v>3.1280949999999997E-5</v>
      </c>
      <c r="Q20" cm="1">
        <f t="array" ref="Q20">[1]!PropsSI("D","T",J20+273.15,"P",101325,"Water")</f>
        <v>985.06081426104026</v>
      </c>
      <c r="R20" cm="1">
        <f t="array" ref="R20">[1]!PropsSI("D","T",K20+273.15,"P",101325,"Water")</f>
        <v>986.97644177436246</v>
      </c>
      <c r="S20">
        <f t="shared" si="1"/>
        <v>986.0186280177013</v>
      </c>
      <c r="T20" cm="1">
        <f t="array" ref="T20">[1]!PropsSI("H","T",J20+273.15,"P",101325,"Water")</f>
        <v>235746.81862657872</v>
      </c>
      <c r="U20" cm="1">
        <f t="array" ref="U20">[1]!PropsSI("H","T",K20+273.15,"P",101325,"Water")</f>
        <v>219046.40166090301</v>
      </c>
      <c r="V20">
        <f t="shared" si="2"/>
        <v>515.10097073717441</v>
      </c>
    </row>
    <row r="21" spans="1:22" x14ac:dyDescent="0.2">
      <c r="A21">
        <v>46122.845994212963</v>
      </c>
      <c r="B21">
        <v>20.302198000000001</v>
      </c>
      <c r="C21">
        <v>20.581717999999999</v>
      </c>
      <c r="D21">
        <v>20.256744999999999</v>
      </c>
      <c r="E21">
        <v>20.378193</v>
      </c>
      <c r="F21">
        <v>33.233049000000001</v>
      </c>
      <c r="G21">
        <v>30.463156000000001</v>
      </c>
      <c r="H21">
        <v>28.386861</v>
      </c>
      <c r="I21">
        <v>24.403915000000001</v>
      </c>
      <c r="J21">
        <v>56.292574999999999</v>
      </c>
      <c r="K21">
        <v>52.293339000000003</v>
      </c>
      <c r="L21">
        <v>62.287753000000002</v>
      </c>
      <c r="M21">
        <v>-622.51795800000002</v>
      </c>
      <c r="N21">
        <v>1.8717509999999999</v>
      </c>
      <c r="O21">
        <v>11.67085</v>
      </c>
      <c r="P21">
        <f t="shared" si="0"/>
        <v>3.119585E-5</v>
      </c>
      <c r="Q21" cm="1">
        <f t="array" ref="Q21">[1]!PropsSI("D","T",J21+273.15,"P",101325,"Water")</f>
        <v>985.06206733131057</v>
      </c>
      <c r="R21" cm="1">
        <f t="array" ref="R21">[1]!PropsSI("D","T",K21+273.15,"P",101325,"Water")</f>
        <v>986.98067531071285</v>
      </c>
      <c r="S21">
        <f t="shared" si="1"/>
        <v>986.02137132101166</v>
      </c>
      <c r="T21" cm="1">
        <f t="array" ref="T21">[1]!PropsSI("H","T",J21+273.15,"P",101325,"Water")</f>
        <v>235736.16759529529</v>
      </c>
      <c r="U21" cm="1">
        <f t="array" ref="U21">[1]!PropsSI("H","T",K21+273.15,"P",101325,"Water")</f>
        <v>219008.50405781166</v>
      </c>
      <c r="V21">
        <f t="shared" si="2"/>
        <v>514.53916328503226</v>
      </c>
    </row>
    <row r="22" spans="1:22" x14ac:dyDescent="0.2">
      <c r="A22">
        <v>46122.846052083332</v>
      </c>
      <c r="B22">
        <v>20.289847999999999</v>
      </c>
      <c r="C22">
        <v>20.571797</v>
      </c>
      <c r="D22">
        <v>20.197616</v>
      </c>
      <c r="E22">
        <v>20.346091999999999</v>
      </c>
      <c r="F22">
        <v>33.079912</v>
      </c>
      <c r="G22">
        <v>30.425608</v>
      </c>
      <c r="H22">
        <v>28.580431000000001</v>
      </c>
      <c r="I22">
        <v>24.411334</v>
      </c>
      <c r="J22">
        <v>56.294325000000001</v>
      </c>
      <c r="K22">
        <v>52.284754</v>
      </c>
      <c r="L22">
        <v>66.123070999999996</v>
      </c>
      <c r="M22">
        <v>-622.493878</v>
      </c>
      <c r="N22">
        <v>1.8721859999999999</v>
      </c>
      <c r="O22">
        <v>11.868864</v>
      </c>
      <c r="P22">
        <f t="shared" si="0"/>
        <v>3.1203099999999999E-5</v>
      </c>
      <c r="Q22" cm="1">
        <f t="array" ref="Q22">[1]!PropsSI("D","T",J22+273.15,"P",101325,"Water")</f>
        <v>985.06120603432294</v>
      </c>
      <c r="R22" cm="1">
        <f t="array" ref="R22">[1]!PropsSI("D","T",K22+273.15,"P",101325,"Water")</f>
        <v>986.98468552056966</v>
      </c>
      <c r="S22">
        <f t="shared" si="1"/>
        <v>986.02294577744624</v>
      </c>
      <c r="T22" cm="1">
        <f t="array" ref="T22">[1]!PropsSI("H","T",J22+273.15,"P",101325,"Water")</f>
        <v>235743.48861025434</v>
      </c>
      <c r="U22" cm="1">
        <f t="array" ref="U22">[1]!PropsSI("H","T",K22+273.15,"P",101325,"Water")</f>
        <v>218972.60130982412</v>
      </c>
      <c r="V22">
        <f t="shared" si="2"/>
        <v>515.98942970434678</v>
      </c>
    </row>
    <row r="23" spans="1:22" x14ac:dyDescent="0.2">
      <c r="A23">
        <v>46122.846109953702</v>
      </c>
      <c r="B23">
        <v>20.359594000000001</v>
      </c>
      <c r="C23">
        <v>20.521166999999998</v>
      </c>
      <c r="D23">
        <v>20.204089</v>
      </c>
      <c r="E23">
        <v>20.377997000000001</v>
      </c>
      <c r="F23">
        <v>33.223565000000001</v>
      </c>
      <c r="G23">
        <v>30.725480999999998</v>
      </c>
      <c r="H23">
        <v>28.404945000000001</v>
      </c>
      <c r="I23">
        <v>24.490589</v>
      </c>
      <c r="J23">
        <v>56.293052000000003</v>
      </c>
      <c r="K23">
        <v>52.287455999999999</v>
      </c>
      <c r="L23">
        <v>62.762422999999998</v>
      </c>
      <c r="M23">
        <v>-622.51061200000004</v>
      </c>
      <c r="N23">
        <v>1.8730089999999999</v>
      </c>
      <c r="O23">
        <v>11.704653</v>
      </c>
      <c r="P23">
        <f t="shared" si="0"/>
        <v>3.1216816666666666E-5</v>
      </c>
      <c r="Q23" cm="1">
        <f t="array" ref="Q23">[1]!PropsSI("D","T",J23+273.15,"P",101325,"Water")</f>
        <v>985.06183256820623</v>
      </c>
      <c r="R23" cm="1">
        <f t="array" ref="R23">[1]!PropsSI("D","T",K23+273.15,"P",101325,"Water")</f>
        <v>986.98342341795433</v>
      </c>
      <c r="S23">
        <f t="shared" si="1"/>
        <v>986.02262799308028</v>
      </c>
      <c r="T23" cm="1">
        <f t="array" ref="T23">[1]!PropsSI("H","T",J23+273.15,"P",101325,"Water")</f>
        <v>235738.16309470445</v>
      </c>
      <c r="U23" cm="1">
        <f t="array" ref="U23">[1]!PropsSI("H","T",K23+273.15,"P",101325,"Water")</f>
        <v>218983.90115881321</v>
      </c>
      <c r="V23">
        <f t="shared" si="2"/>
        <v>515.70435188623435</v>
      </c>
    </row>
    <row r="24" spans="1:22" x14ac:dyDescent="0.2">
      <c r="A24">
        <v>46122.846168402779</v>
      </c>
      <c r="B24">
        <v>20.476662999999999</v>
      </c>
      <c r="C24">
        <v>20.565052000000001</v>
      </c>
      <c r="D24">
        <v>20.191102999999998</v>
      </c>
      <c r="E24">
        <v>20.351821999999999</v>
      </c>
      <c r="F24">
        <v>33.359758999999997</v>
      </c>
      <c r="G24">
        <v>30.850577000000001</v>
      </c>
      <c r="H24">
        <v>28.332068</v>
      </c>
      <c r="I24">
        <v>24.584828999999999</v>
      </c>
      <c r="J24">
        <v>56.290824000000001</v>
      </c>
      <c r="K24">
        <v>52.285867000000003</v>
      </c>
      <c r="L24">
        <v>66.471625000000003</v>
      </c>
      <c r="M24">
        <v>-622.50285699999995</v>
      </c>
      <c r="N24">
        <v>1.8688499999999999</v>
      </c>
      <c r="O24">
        <v>11.541650000000001</v>
      </c>
      <c r="P24">
        <f t="shared" si="0"/>
        <v>3.11475E-5</v>
      </c>
      <c r="Q24" cm="1">
        <f t="array" ref="Q24">[1]!PropsSI("D","T",J24+273.15,"P",101325,"Water")</f>
        <v>985.0629291016968</v>
      </c>
      <c r="R24" cm="1">
        <f t="array" ref="R24">[1]!PropsSI("D","T",K24+273.15,"P",101325,"Water")</f>
        <v>986.98416564457182</v>
      </c>
      <c r="S24">
        <f t="shared" si="1"/>
        <v>986.02354737313431</v>
      </c>
      <c r="T24" cm="1">
        <f t="array" ref="T24">[1]!PropsSI("H","T",J24+273.15,"P",101325,"Water")</f>
        <v>235728.84239804902</v>
      </c>
      <c r="U24" cm="1">
        <f t="array" ref="U24">[1]!PropsSI("H","T",K24+273.15,"P",101325,"Water")</f>
        <v>218977.25591055423</v>
      </c>
      <c r="V24">
        <f t="shared" si="2"/>
        <v>514.47754587139946</v>
      </c>
    </row>
    <row r="25" spans="1:22" x14ac:dyDescent="0.2">
      <c r="A25">
        <v>46122.846226851849</v>
      </c>
      <c r="B25">
        <v>20.490796</v>
      </c>
      <c r="C25">
        <v>20.701155</v>
      </c>
      <c r="D25">
        <v>20.243414999999999</v>
      </c>
      <c r="E25">
        <v>20.354203999999999</v>
      </c>
      <c r="F25">
        <v>33.277591999999999</v>
      </c>
      <c r="G25">
        <v>30.469439000000001</v>
      </c>
      <c r="H25">
        <v>27.951861000000001</v>
      </c>
      <c r="I25">
        <v>24.037955</v>
      </c>
      <c r="J25">
        <v>56.289073000000002</v>
      </c>
      <c r="K25">
        <v>52.287455999999999</v>
      </c>
      <c r="L25">
        <v>60.503760999999997</v>
      </c>
      <c r="M25">
        <v>-622.49306200000001</v>
      </c>
      <c r="N25">
        <v>1.872206</v>
      </c>
      <c r="O25">
        <v>11.640174</v>
      </c>
      <c r="P25">
        <f t="shared" si="0"/>
        <v>3.1203433333333334E-5</v>
      </c>
      <c r="Q25" cm="1">
        <f t="array" ref="Q25">[1]!PropsSI("D","T",J25+273.15,"P",101325,"Water")</f>
        <v>985.06379085328865</v>
      </c>
      <c r="R25" cm="1">
        <f t="array" ref="R25">[1]!PropsSI("D","T",K25+273.15,"P",101325,"Water")</f>
        <v>986.98342341795433</v>
      </c>
      <c r="S25">
        <f t="shared" si="1"/>
        <v>986.02360713562143</v>
      </c>
      <c r="T25" cm="1">
        <f t="array" ref="T25">[1]!PropsSI("H","T",J25+273.15,"P",101325,"Water")</f>
        <v>235721.51720208541</v>
      </c>
      <c r="U25" cm="1">
        <f t="array" ref="U25">[1]!PropsSI("H","T",K25+273.15,"P",101325,"Water")</f>
        <v>218983.90115881321</v>
      </c>
      <c r="V25">
        <f t="shared" si="2"/>
        <v>514.9716204804289</v>
      </c>
    </row>
    <row r="26" spans="1:22" x14ac:dyDescent="0.2">
      <c r="A26">
        <v>46122.846284722225</v>
      </c>
      <c r="B26">
        <v>20.416696000000002</v>
      </c>
      <c r="C26">
        <v>20.553875000000001</v>
      </c>
      <c r="D26">
        <v>20.261165999999999</v>
      </c>
      <c r="E26">
        <v>20.354543</v>
      </c>
      <c r="F26">
        <v>33.194536999999997</v>
      </c>
      <c r="G26">
        <v>30.238651000000001</v>
      </c>
      <c r="H26">
        <v>28.146704</v>
      </c>
      <c r="I26">
        <v>24.247246000000001</v>
      </c>
      <c r="J26">
        <v>56.288435999999997</v>
      </c>
      <c r="K26">
        <v>52.287615000000002</v>
      </c>
      <c r="L26">
        <v>62.351422999999997</v>
      </c>
      <c r="M26">
        <v>-622.49183700000003</v>
      </c>
      <c r="N26">
        <v>1.8711370000000001</v>
      </c>
      <c r="O26">
        <v>11.703624</v>
      </c>
      <c r="P26">
        <f t="shared" si="0"/>
        <v>3.1185616666666672E-5</v>
      </c>
      <c r="Q26" cm="1">
        <f t="array" ref="Q26">[1]!PropsSI("D","T",J26+273.15,"P",101325,"Water")</f>
        <v>985.06410434707379</v>
      </c>
      <c r="R26" cm="1">
        <f t="array" ref="R26">[1]!PropsSI("D","T",K26+273.15,"P",101325,"Water")</f>
        <v>986.98334914769362</v>
      </c>
      <c r="S26">
        <f t="shared" si="1"/>
        <v>986.02372674738376</v>
      </c>
      <c r="T26" cm="1">
        <f t="array" ref="T26">[1]!PropsSI("H","T",J26+273.15,"P",101325,"Water")</f>
        <v>235718.8523537695</v>
      </c>
      <c r="U26" cm="1">
        <f t="array" ref="U26">[1]!PropsSI("H","T",K26+273.15,"P",101325,"Water")</f>
        <v>218984.56610190001</v>
      </c>
      <c r="V26">
        <f t="shared" si="2"/>
        <v>514.57525198848737</v>
      </c>
    </row>
    <row r="27" spans="1:22" x14ac:dyDescent="0.2">
      <c r="A27">
        <v>46122.846343171295</v>
      </c>
      <c r="B27">
        <v>20.401391</v>
      </c>
      <c r="C27">
        <v>20.693055999999999</v>
      </c>
      <c r="D27">
        <v>20.251332000000001</v>
      </c>
      <c r="E27">
        <v>20.341134</v>
      </c>
      <c r="F27">
        <v>33.145955999999998</v>
      </c>
      <c r="G27">
        <v>30.780968000000001</v>
      </c>
      <c r="H27">
        <v>28.426314999999999</v>
      </c>
      <c r="I27">
        <v>24.519672</v>
      </c>
      <c r="J27">
        <v>56.285888999999997</v>
      </c>
      <c r="K27">
        <v>52.286343000000002</v>
      </c>
      <c r="L27">
        <v>63.296681999999997</v>
      </c>
      <c r="M27">
        <v>-622.47836800000005</v>
      </c>
      <c r="N27">
        <v>1.8714109999999999</v>
      </c>
      <c r="O27">
        <v>11.680407000000001</v>
      </c>
      <c r="P27">
        <f t="shared" si="0"/>
        <v>3.1190183333333335E-5</v>
      </c>
      <c r="Q27" cm="1">
        <f t="array" ref="Q27">[1]!PropsSI("D","T",J27+273.15,"P",101325,"Water")</f>
        <v>985.06535780522211</v>
      </c>
      <c r="R27" cm="1">
        <f t="array" ref="R27">[1]!PropsSI("D","T",K27+273.15,"P",101325,"Water")</f>
        <v>986.98394330526685</v>
      </c>
      <c r="S27">
        <f t="shared" si="1"/>
        <v>986.02465055524453</v>
      </c>
      <c r="T27" cm="1">
        <f t="array" ref="T27">[1]!PropsSI("H","T",J27+273.15,"P",101325,"Water")</f>
        <v>235708.19714559533</v>
      </c>
      <c r="U27" cm="1">
        <f t="array" ref="U27">[1]!PropsSI("H","T",K27+273.15,"P",101325,"Water")</f>
        <v>218979.24655752419</v>
      </c>
      <c r="V27">
        <f t="shared" si="2"/>
        <v>514.48699145773412</v>
      </c>
    </row>
    <row r="28" spans="1:22" x14ac:dyDescent="0.2">
      <c r="A28">
        <v>46122.846401041665</v>
      </c>
      <c r="B28">
        <v>20.455803</v>
      </c>
      <c r="C28">
        <v>20.660426999999999</v>
      </c>
      <c r="D28">
        <v>20.270925999999999</v>
      </c>
      <c r="E28">
        <v>20.3812</v>
      </c>
      <c r="F28">
        <v>33.238283000000003</v>
      </c>
      <c r="G28">
        <v>30.662123999999999</v>
      </c>
      <c r="H28">
        <v>28.139400999999999</v>
      </c>
      <c r="I28">
        <v>24.351949999999999</v>
      </c>
      <c r="J28">
        <v>56.280796000000002</v>
      </c>
      <c r="K28">
        <v>52.285549000000003</v>
      </c>
      <c r="L28">
        <v>66.911195000000006</v>
      </c>
      <c r="M28">
        <v>-622.48000100000002</v>
      </c>
      <c r="N28">
        <v>1.876484</v>
      </c>
      <c r="O28">
        <v>11.777101</v>
      </c>
      <c r="P28">
        <f t="shared" si="0"/>
        <v>3.1274733333333334E-5</v>
      </c>
      <c r="Q28" cm="1">
        <f t="array" ref="Q28">[1]!PropsSI("D","T",J28+273.15,"P",101325,"Water")</f>
        <v>985.06786411019777</v>
      </c>
      <c r="R28" cm="1">
        <f t="array" ref="R28">[1]!PropsSI("D","T",K28+273.15,"P",101325,"Water")</f>
        <v>986.98431418138512</v>
      </c>
      <c r="S28">
        <f t="shared" si="1"/>
        <v>986.0260891457915</v>
      </c>
      <c r="T28" cm="1">
        <f t="array" ref="T28">[1]!PropsSI("H","T",J28+273.15,"P",101325,"Water")</f>
        <v>235686.89092002821</v>
      </c>
      <c r="U28" cm="1">
        <f t="array" ref="U28">[1]!PropsSI("H","T",K28+273.15,"P",101325,"Water")</f>
        <v>218975.92602457982</v>
      </c>
      <c r="V28">
        <f t="shared" si="2"/>
        <v>515.32777225156667</v>
      </c>
    </row>
    <row r="29" spans="1:22" x14ac:dyDescent="0.2">
      <c r="A29">
        <v>46122.846459490742</v>
      </c>
      <c r="B29">
        <v>20.380775</v>
      </c>
      <c r="C29">
        <v>20.60136</v>
      </c>
      <c r="D29">
        <v>20.234141999999999</v>
      </c>
      <c r="E29">
        <v>20.300691</v>
      </c>
      <c r="F29">
        <v>33.162712999999997</v>
      </c>
      <c r="G29">
        <v>30.502268000000001</v>
      </c>
      <c r="H29">
        <v>28.182257</v>
      </c>
      <c r="I29">
        <v>24.393142000000001</v>
      </c>
      <c r="J29">
        <v>56.279840999999998</v>
      </c>
      <c r="K29">
        <v>52.282051000000003</v>
      </c>
      <c r="L29">
        <v>63.819921000000001</v>
      </c>
      <c r="M29">
        <v>-622.50122399999998</v>
      </c>
      <c r="N29">
        <v>1.873481</v>
      </c>
      <c r="O29">
        <v>11.795972000000001</v>
      </c>
      <c r="P29">
        <f t="shared" si="0"/>
        <v>3.1224683333333336E-5</v>
      </c>
      <c r="Q29" cm="1">
        <f t="array" ref="Q29">[1]!PropsSI("D","T",J29+273.15,"P",101325,"Water")</f>
        <v>985.06833405543648</v>
      </c>
      <c r="R29" cm="1">
        <f t="array" ref="R29">[1]!PropsSI("D","T",K29+273.15,"P",101325,"Water")</f>
        <v>986.9859480435897</v>
      </c>
      <c r="S29">
        <f t="shared" si="1"/>
        <v>986.02714104951315</v>
      </c>
      <c r="T29" cm="1">
        <f t="array" ref="T29">[1]!PropsSI("H","T",J29+273.15,"P",101325,"Water")</f>
        <v>235682.89574237424</v>
      </c>
      <c r="U29" cm="1">
        <f t="array" ref="U29">[1]!PropsSI("H","T",K29+273.15,"P",101325,"Water")</f>
        <v>218961.29728118231</v>
      </c>
      <c r="V29">
        <f t="shared" si="2"/>
        <v>514.83101520733987</v>
      </c>
    </row>
    <row r="30" spans="1:22" x14ac:dyDescent="0.2">
      <c r="A30">
        <v>46122.846517939812</v>
      </c>
      <c r="B30">
        <v>20.325731000000001</v>
      </c>
      <c r="C30">
        <v>20.576035000000001</v>
      </c>
      <c r="D30">
        <v>20.209049</v>
      </c>
      <c r="E30">
        <v>20.339489</v>
      </c>
      <c r="F30">
        <v>33.281885000000003</v>
      </c>
      <c r="G30">
        <v>30.608214</v>
      </c>
      <c r="H30">
        <v>28.075503999999999</v>
      </c>
      <c r="I30">
        <v>24.510376000000001</v>
      </c>
      <c r="J30">
        <v>56.278886</v>
      </c>
      <c r="K30">
        <v>52.281733000000003</v>
      </c>
      <c r="L30">
        <v>58.109186999999999</v>
      </c>
      <c r="M30">
        <v>-622.50693799999999</v>
      </c>
      <c r="N30">
        <v>1.8774919999999999</v>
      </c>
      <c r="O30">
        <v>11.795883</v>
      </c>
      <c r="P30">
        <f t="shared" si="0"/>
        <v>3.129153333333333E-5</v>
      </c>
      <c r="Q30" cm="1">
        <f t="array" ref="Q30">[1]!PropsSI("D","T",J30+273.15,"P",101325,"Water")</f>
        <v>985.06880399509885</v>
      </c>
      <c r="R30" cm="1">
        <f t="array" ref="R30">[1]!PropsSI("D","T",K30+273.15,"P",101325,"Water")</f>
        <v>986.9860965726391</v>
      </c>
      <c r="S30">
        <f t="shared" si="1"/>
        <v>986.02745028386903</v>
      </c>
      <c r="T30" cm="1">
        <f t="array" ref="T30">[1]!PropsSI("H","T",J30+273.15,"P",101325,"Water")</f>
        <v>235678.90056506381</v>
      </c>
      <c r="U30" cm="1">
        <f t="array" ref="U30">[1]!PropsSI("H","T",K30+273.15,"P",101325,"Water")</f>
        <v>218959.96739561413</v>
      </c>
      <c r="V30">
        <f t="shared" si="2"/>
        <v>515.85116072508958</v>
      </c>
    </row>
    <row r="31" spans="1:22" x14ac:dyDescent="0.2">
      <c r="A31">
        <v>46122.846575810188</v>
      </c>
      <c r="B31">
        <v>20.467310999999999</v>
      </c>
      <c r="C31">
        <v>20.53303</v>
      </c>
      <c r="D31">
        <v>20.199703</v>
      </c>
      <c r="E31">
        <v>20.287742000000001</v>
      </c>
      <c r="F31">
        <v>33.322158000000002</v>
      </c>
      <c r="G31">
        <v>30.572603999999998</v>
      </c>
      <c r="H31">
        <v>28.229479000000001</v>
      </c>
      <c r="I31">
        <v>24.438867999999999</v>
      </c>
      <c r="J31">
        <v>56.275542999999999</v>
      </c>
      <c r="K31">
        <v>52.280143000000002</v>
      </c>
      <c r="L31">
        <v>64.431319000000002</v>
      </c>
      <c r="M31">
        <v>-622.47183800000005</v>
      </c>
      <c r="N31">
        <v>1.8734850000000001</v>
      </c>
      <c r="O31">
        <v>11.638115000000001</v>
      </c>
      <c r="P31">
        <f t="shared" si="0"/>
        <v>3.1224750000000003E-5</v>
      </c>
      <c r="Q31" cm="1">
        <f t="array" ref="Q31">[1]!PropsSI("D","T",J31+273.15,"P",101325,"Water")</f>
        <v>985.07044898593483</v>
      </c>
      <c r="R31" cm="1">
        <f t="array" ref="R31">[1]!PropsSI("D","T",K31+273.15,"P",101325,"Water")</f>
        <v>986.98683920820133</v>
      </c>
      <c r="S31">
        <f t="shared" si="1"/>
        <v>986.02864409706808</v>
      </c>
      <c r="T31" cm="1">
        <f t="array" ref="T31">[1]!PropsSI("H","T",J31+273.15,"P",101325,"Water")</f>
        <v>235664.91535552719</v>
      </c>
      <c r="U31" cm="1">
        <f t="array" ref="U31">[1]!PropsSI("H","T",K31+273.15,"P",101325,"Water")</f>
        <v>218953.31796825316</v>
      </c>
      <c r="V31">
        <f t="shared" si="2"/>
        <v>514.52498114344507</v>
      </c>
    </row>
    <row r="32" spans="1:22" x14ac:dyDescent="0.2">
      <c r="A32">
        <v>46122.846634259258</v>
      </c>
      <c r="B32">
        <v>20.342492</v>
      </c>
      <c r="C32">
        <v>20.470549999999999</v>
      </c>
      <c r="D32">
        <v>20.198740000000001</v>
      </c>
      <c r="E32">
        <v>20.274152999999998</v>
      </c>
      <c r="F32">
        <v>33.120443999999999</v>
      </c>
      <c r="G32">
        <v>30.288813000000001</v>
      </c>
      <c r="H32">
        <v>28.480103</v>
      </c>
      <c r="I32">
        <v>24.308745999999999</v>
      </c>
      <c r="J32">
        <v>56.274270000000001</v>
      </c>
      <c r="K32">
        <v>52.273147000000002</v>
      </c>
      <c r="L32">
        <v>64.490499999999997</v>
      </c>
      <c r="M32">
        <v>-622.512652</v>
      </c>
      <c r="N32">
        <v>1.8741570000000001</v>
      </c>
      <c r="O32">
        <v>11.643948</v>
      </c>
      <c r="P32">
        <f t="shared" si="0"/>
        <v>3.123595E-5</v>
      </c>
      <c r="Q32" cm="1">
        <f t="array" ref="Q32">[1]!PropsSI("D","T",J32+273.15,"P",101325,"Water")</f>
        <v>985.07107537337345</v>
      </c>
      <c r="R32" cm="1">
        <f t="array" ref="R32">[1]!PropsSI("D","T",K32+273.15,"P",101325,"Water")</f>
        <v>986.99010661264276</v>
      </c>
      <c r="S32">
        <f t="shared" si="1"/>
        <v>986.0305909930081</v>
      </c>
      <c r="T32" cm="1">
        <f t="array" ref="T32">[1]!PropsSI("H","T",J32+273.15,"P",101325,"Water")</f>
        <v>235659.58984907737</v>
      </c>
      <c r="U32" cm="1">
        <f t="array" ref="U32">[1]!PropsSI("H","T",K32+273.15,"P",101325,"Water")</f>
        <v>218924.06049743429</v>
      </c>
      <c r="V32">
        <f t="shared" si="2"/>
        <v>515.44764728516532</v>
      </c>
    </row>
    <row r="33" spans="1:22" x14ac:dyDescent="0.2">
      <c r="A33">
        <v>46122.846692708335</v>
      </c>
      <c r="B33">
        <v>20.386973999999999</v>
      </c>
      <c r="C33">
        <v>20.640466</v>
      </c>
      <c r="D33">
        <v>20.198739</v>
      </c>
      <c r="E33">
        <v>20.279205999999999</v>
      </c>
      <c r="F33">
        <v>33.114097000000001</v>
      </c>
      <c r="G33">
        <v>30.589659999999999</v>
      </c>
      <c r="H33">
        <v>28.073808</v>
      </c>
      <c r="I33">
        <v>24.327974000000001</v>
      </c>
      <c r="J33">
        <v>56.272519000000003</v>
      </c>
      <c r="K33">
        <v>52.273147000000002</v>
      </c>
      <c r="L33">
        <v>68.105013</v>
      </c>
      <c r="M33">
        <v>-622.49265300000002</v>
      </c>
      <c r="N33">
        <v>1.8654980000000001</v>
      </c>
      <c r="O33">
        <v>11.557611</v>
      </c>
      <c r="P33">
        <f t="shared" si="0"/>
        <v>3.1091633333333339E-5</v>
      </c>
      <c r="Q33" cm="1">
        <f t="array" ref="Q33">[1]!PropsSI("D","T",J33+273.15,"P",101325,"Water")</f>
        <v>985.07193694737282</v>
      </c>
      <c r="R33" cm="1">
        <f t="array" ref="R33">[1]!PropsSI("D","T",K33+273.15,"P",101325,"Water")</f>
        <v>986.99010661264276</v>
      </c>
      <c r="S33">
        <f t="shared" si="1"/>
        <v>986.03102178000779</v>
      </c>
      <c r="T33" cm="1">
        <f t="array" ref="T33">[1]!PropsSI("H","T",J33+273.15,"P",101325,"Water")</f>
        <v>235652.26466412685</v>
      </c>
      <c r="U33" cm="1">
        <f t="array" ref="U33">[1]!PropsSI("H","T",K33+273.15,"P",101325,"Water")</f>
        <v>218924.06049743429</v>
      </c>
      <c r="V33">
        <f t="shared" si="2"/>
        <v>512.84182426291818</v>
      </c>
    </row>
    <row r="34" spans="1:22" x14ac:dyDescent="0.2">
      <c r="A34">
        <v>46122.846750578705</v>
      </c>
      <c r="B34">
        <v>20.446428000000001</v>
      </c>
      <c r="C34">
        <v>20.617011000000002</v>
      </c>
      <c r="D34">
        <v>20.217296999999999</v>
      </c>
      <c r="E34">
        <v>20.276897999999999</v>
      </c>
      <c r="F34">
        <v>33.116579000000002</v>
      </c>
      <c r="G34">
        <v>30.505784999999999</v>
      </c>
      <c r="H34">
        <v>28.363565999999999</v>
      </c>
      <c r="I34">
        <v>24.283093999999998</v>
      </c>
      <c r="J34">
        <v>56.268220999999997</v>
      </c>
      <c r="K34">
        <v>52.268537000000002</v>
      </c>
      <c r="L34">
        <v>69.911045000000001</v>
      </c>
      <c r="M34">
        <v>-622.48816399999998</v>
      </c>
      <c r="N34">
        <v>1.873739</v>
      </c>
      <c r="O34">
        <v>11.625128</v>
      </c>
      <c r="P34">
        <f t="shared" si="0"/>
        <v>3.1228983333333339E-5</v>
      </c>
      <c r="Q34" cm="1">
        <f t="array" ref="Q34">[1]!PropsSI("D","T",J34+273.15,"P",101325,"Water")</f>
        <v>985.07405168508001</v>
      </c>
      <c r="R34" cm="1">
        <f t="array" ref="R34">[1]!PropsSI("D","T",K34+273.15,"P",101325,"Water")</f>
        <v>986.99225949113463</v>
      </c>
      <c r="S34">
        <f t="shared" si="1"/>
        <v>986.03315558810732</v>
      </c>
      <c r="T34" cm="1">
        <f t="array" ref="T34">[1]!PropsSI("H","T",J34+273.15,"P",101325,"Water")</f>
        <v>235634.28428921409</v>
      </c>
      <c r="U34" cm="1">
        <f t="array" ref="U34">[1]!PropsSI("H","T",K34+273.15,"P",101325,"Water")</f>
        <v>218904.78135496529</v>
      </c>
      <c r="V34">
        <f t="shared" si="2"/>
        <v>515.14845513572664</v>
      </c>
    </row>
    <row r="35" spans="1:22" x14ac:dyDescent="0.2">
      <c r="A35">
        <v>46122.846808449074</v>
      </c>
      <c r="B35">
        <v>20.488899</v>
      </c>
      <c r="C35">
        <v>20.606431000000001</v>
      </c>
      <c r="D35">
        <v>20.192557999999998</v>
      </c>
      <c r="E35">
        <v>20.251263999999999</v>
      </c>
      <c r="F35">
        <v>33.279155000000003</v>
      </c>
      <c r="G35">
        <v>30.136844</v>
      </c>
      <c r="H35">
        <v>28.180394</v>
      </c>
      <c r="I35">
        <v>24.374590000000001</v>
      </c>
      <c r="J35">
        <v>56.265515000000001</v>
      </c>
      <c r="K35">
        <v>52.264085000000001</v>
      </c>
      <c r="L35">
        <v>75.641369999999995</v>
      </c>
      <c r="M35">
        <v>-622.48897999999997</v>
      </c>
      <c r="N35">
        <v>1.876296</v>
      </c>
      <c r="O35">
        <v>11.708707</v>
      </c>
      <c r="P35">
        <f t="shared" si="0"/>
        <v>3.1271600000000001E-5</v>
      </c>
      <c r="Q35" cm="1">
        <f t="array" ref="Q35">[1]!PropsSI("D","T",J35+273.15,"P",101325,"Water")</f>
        <v>985.07538305563389</v>
      </c>
      <c r="R35" cm="1">
        <f t="array" ref="R35">[1]!PropsSI("D","T",K35+273.15,"P",101325,"Water")</f>
        <v>986.9943384543725</v>
      </c>
      <c r="S35">
        <f t="shared" si="1"/>
        <v>986.03486075500314</v>
      </c>
      <c r="T35" cm="1">
        <f t="array" ref="T35">[1]!PropsSI("H","T",J35+273.15,"P",101325,"Water")</f>
        <v>235622.96393586328</v>
      </c>
      <c r="U35" cm="1">
        <f t="array" ref="U35">[1]!PropsSI("H","T",K35+273.15,"P",101325,"Water")</f>
        <v>218886.16297915406</v>
      </c>
      <c r="V35">
        <f t="shared" si="2"/>
        <v>516.07737882076867</v>
      </c>
    </row>
    <row r="36" spans="1:22" x14ac:dyDescent="0.2">
      <c r="A36">
        <v>46122.846866319444</v>
      </c>
      <c r="B36">
        <v>20.450208</v>
      </c>
      <c r="C36">
        <v>20.563890000000001</v>
      </c>
      <c r="D36">
        <v>20.206654</v>
      </c>
      <c r="E36">
        <v>20.262917999999999</v>
      </c>
      <c r="F36">
        <v>33.219270000000002</v>
      </c>
      <c r="G36">
        <v>29.936595000000001</v>
      </c>
      <c r="H36">
        <v>28.461618000000001</v>
      </c>
      <c r="I36">
        <v>24.332508000000001</v>
      </c>
      <c r="J36">
        <v>56.267107000000003</v>
      </c>
      <c r="K36">
        <v>52.267583000000002</v>
      </c>
      <c r="L36">
        <v>67.176079999999999</v>
      </c>
      <c r="M36">
        <v>-622.50163299999997</v>
      </c>
      <c r="N36">
        <v>1.870682</v>
      </c>
      <c r="O36">
        <v>11.704361</v>
      </c>
      <c r="P36">
        <f t="shared" si="0"/>
        <v>3.1178033333333332E-5</v>
      </c>
      <c r="Q36" cm="1">
        <f t="array" ref="Q36">[1]!PropsSI("D","T",J36+273.15,"P",101325,"Water")</f>
        <v>985.07459978614679</v>
      </c>
      <c r="R36" cm="1">
        <f t="array" ref="R36">[1]!PropsSI("D","T",K36+273.15,"P",101325,"Water")</f>
        <v>986.99270499393276</v>
      </c>
      <c r="S36">
        <f t="shared" si="1"/>
        <v>986.03365239003983</v>
      </c>
      <c r="T36" cm="1">
        <f t="array" ref="T36">[1]!PropsSI("H","T",J36+273.15,"P",101325,"Water")</f>
        <v>235629.62395125531</v>
      </c>
      <c r="U36" cm="1">
        <f t="array" ref="U36">[1]!PropsSI("H","T",K36+273.15,"P",101325,"Water")</f>
        <v>218900.79170247362</v>
      </c>
      <c r="V36">
        <f t="shared" si="2"/>
        <v>514.28763237492262</v>
      </c>
    </row>
    <row r="37" spans="1:22" x14ac:dyDescent="0.2">
      <c r="A37">
        <v>46122.846924768521</v>
      </c>
      <c r="B37">
        <v>20.445129999999999</v>
      </c>
      <c r="C37">
        <v>20.531231999999999</v>
      </c>
      <c r="D37">
        <v>20.210207</v>
      </c>
      <c r="E37">
        <v>20.274934999999999</v>
      </c>
      <c r="F37">
        <v>33.198492000000002</v>
      </c>
      <c r="G37">
        <v>30.340875</v>
      </c>
      <c r="H37">
        <v>28.344018999999999</v>
      </c>
      <c r="I37">
        <v>24.314776999999999</v>
      </c>
      <c r="J37">
        <v>56.265355999999997</v>
      </c>
      <c r="K37">
        <v>52.268219000000002</v>
      </c>
      <c r="L37">
        <v>67.974406999999999</v>
      </c>
      <c r="M37">
        <v>-622.51591800000006</v>
      </c>
      <c r="N37">
        <v>1.8688260000000001</v>
      </c>
      <c r="O37">
        <v>11.691945</v>
      </c>
      <c r="P37">
        <f t="shared" si="0"/>
        <v>3.1147099999999999E-5</v>
      </c>
      <c r="Q37" cm="1">
        <f t="array" ref="Q37">[1]!PropsSI("D","T",J37+273.15,"P",101325,"Water")</f>
        <v>985.07546128332274</v>
      </c>
      <c r="R37" cm="1">
        <f t="array" ref="R37">[1]!PropsSI("D","T",K37+273.15,"P",101325,"Water")</f>
        <v>986.99240799270626</v>
      </c>
      <c r="S37">
        <f t="shared" si="1"/>
        <v>986.03393463801444</v>
      </c>
      <c r="T37" cm="1">
        <f t="array" ref="T37">[1]!PropsSI("H","T",J37+273.15,"P",101325,"Water")</f>
        <v>235622.29877103833</v>
      </c>
      <c r="U37" cm="1">
        <f t="array" ref="U37">[1]!PropsSI("H","T",K37+273.15,"P",101325,"Water")</f>
        <v>218903.45147077867</v>
      </c>
      <c r="V37">
        <f t="shared" si="2"/>
        <v>513.47086946933587</v>
      </c>
    </row>
    <row r="38" spans="1:22" x14ac:dyDescent="0.2">
      <c r="A38">
        <v>44660.846983217802</v>
      </c>
      <c r="B38">
        <v>20.488796000000001</v>
      </c>
      <c r="C38">
        <v>20.576385999999999</v>
      </c>
      <c r="D38">
        <v>20.198955000000002</v>
      </c>
      <c r="E38">
        <v>20.274595999999999</v>
      </c>
      <c r="F38">
        <v>33.251637000000002</v>
      </c>
      <c r="G38">
        <v>30.34487</v>
      </c>
      <c r="H38">
        <v>28.408802000000001</v>
      </c>
      <c r="I38">
        <v>24.190736000000001</v>
      </c>
      <c r="J38">
        <v>56.264719999999997</v>
      </c>
      <c r="K38">
        <v>52.264243999999998</v>
      </c>
      <c r="L38">
        <v>69.748604</v>
      </c>
      <c r="M38">
        <v>-622.50897899999995</v>
      </c>
      <c r="N38">
        <v>1.8711</v>
      </c>
      <c r="O38">
        <v>11.509245</v>
      </c>
      <c r="P38">
        <f t="shared" si="0"/>
        <v>3.1185E-5</v>
      </c>
      <c r="Q38" cm="1">
        <f t="array" ref="Q38">[1]!PropsSI("D","T",J38+273.15,"P",101325,"Water")</f>
        <v>985.07577419256813</v>
      </c>
      <c r="R38" cm="1">
        <f t="array" ref="R38">[1]!PropsSI("D","T",K38+273.15,"P",101325,"Water")</f>
        <v>986.99426420788029</v>
      </c>
      <c r="S38">
        <f t="shared" si="1"/>
        <v>986.03501920022427</v>
      </c>
      <c r="T38" cm="1">
        <f t="array" ref="T38">[1]!PropsSI("H","T",J38+273.15,"P",101325,"Water")</f>
        <v>235619.63811193421</v>
      </c>
      <c r="U38" cm="1">
        <f t="array" ref="U38">[1]!PropsSI("H","T",K38+273.15,"P",101325,"Water")</f>
        <v>218886.82792104071</v>
      </c>
      <c r="V38">
        <f t="shared" si="2"/>
        <v>514.52558166469544</v>
      </c>
    </row>
    <row r="39" spans="1:22" x14ac:dyDescent="0.2">
      <c r="A39">
        <v>44660.847041088098</v>
      </c>
      <c r="B39">
        <v>20.53135</v>
      </c>
      <c r="C39">
        <v>20.656182000000001</v>
      </c>
      <c r="D39">
        <v>20.201922</v>
      </c>
      <c r="E39">
        <v>20.308084999999998</v>
      </c>
      <c r="F39">
        <v>33.327494999999999</v>
      </c>
      <c r="G39">
        <v>30.053705000000001</v>
      </c>
      <c r="H39">
        <v>28.240803</v>
      </c>
      <c r="I39">
        <v>24.426418999999999</v>
      </c>
      <c r="J39">
        <v>56.264400999999999</v>
      </c>
      <c r="K39">
        <v>52.262653999999998</v>
      </c>
      <c r="L39">
        <v>64.15419</v>
      </c>
      <c r="M39">
        <v>-622.50653</v>
      </c>
      <c r="N39">
        <v>1.871014</v>
      </c>
      <c r="O39">
        <v>11.702137</v>
      </c>
      <c r="P39">
        <f t="shared" si="0"/>
        <v>3.1183566666666671E-5</v>
      </c>
      <c r="Q39" cm="1">
        <f t="array" ref="Q39">[1]!PropsSI("D","T",J39+273.15,"P",101325,"Water")</f>
        <v>985.07593113823646</v>
      </c>
      <c r="R39" cm="1">
        <f t="array" ref="R39">[1]!PropsSI("D","T",K39+273.15,"P",101325,"Water")</f>
        <v>986.99500666565257</v>
      </c>
      <c r="S39">
        <f t="shared" si="1"/>
        <v>986.03546890194457</v>
      </c>
      <c r="T39" cm="1">
        <f t="array" ref="T39">[1]!PropsSI("H","T",J39+273.15,"P",101325,"Water")</f>
        <v>235618.30359900885</v>
      </c>
      <c r="U39" cm="1">
        <f t="array" ref="U39">[1]!PropsSI("H","T",K39+273.15,"P",101325,"Water")</f>
        <v>218880.17850253885</v>
      </c>
      <c r="V39">
        <f t="shared" si="2"/>
        <v>514.66559081413345</v>
      </c>
    </row>
    <row r="40" spans="1:22" x14ac:dyDescent="0.2">
      <c r="A40">
        <v>44660.847098958497</v>
      </c>
      <c r="B40">
        <v>20.518818</v>
      </c>
      <c r="C40">
        <v>20.627509</v>
      </c>
      <c r="D40">
        <v>20.234062000000002</v>
      </c>
      <c r="E40">
        <v>20.308422</v>
      </c>
      <c r="F40">
        <v>33.271180000000001</v>
      </c>
      <c r="G40">
        <v>30.087098999999998</v>
      </c>
      <c r="H40">
        <v>28.147213000000001</v>
      </c>
      <c r="I40">
        <v>24.360064000000001</v>
      </c>
      <c r="J40">
        <v>56.263128000000002</v>
      </c>
      <c r="K40">
        <v>52.262017999999998</v>
      </c>
      <c r="L40">
        <v>74.011247999999995</v>
      </c>
      <c r="M40">
        <v>-622.52612099999999</v>
      </c>
      <c r="N40">
        <v>1.8721650000000001</v>
      </c>
      <c r="O40">
        <v>11.756247</v>
      </c>
      <c r="P40">
        <f t="shared" si="0"/>
        <v>3.1202750000000002E-5</v>
      </c>
      <c r="Q40" cm="1">
        <f t="array" ref="Q40">[1]!PropsSI("D","T",J40+273.15,"P",101325,"Water")</f>
        <v>985.07655743876353</v>
      </c>
      <c r="R40" cm="1">
        <f t="array" ref="R40">[1]!PropsSI("D","T",K40+273.15,"P",101325,"Water")</f>
        <v>986.9953036442339</v>
      </c>
      <c r="S40">
        <f t="shared" si="1"/>
        <v>986.03593054149871</v>
      </c>
      <c r="T40" cm="1">
        <f t="array" ref="T40">[1]!PropsSI("H","T",J40+273.15,"P",101325,"Water")</f>
        <v>235612.97809795808</v>
      </c>
      <c r="U40" cm="1">
        <f t="array" ref="U40">[1]!PropsSI("H","T",K40+273.15,"P",101325,"Water")</f>
        <v>218877.51873540753</v>
      </c>
      <c r="V40">
        <f t="shared" si="2"/>
        <v>514.90042431414486</v>
      </c>
    </row>
    <row r="41" spans="1:22" x14ac:dyDescent="0.2">
      <c r="A41">
        <v>44660.847157407603</v>
      </c>
      <c r="B41">
        <v>20.428526999999999</v>
      </c>
      <c r="C41">
        <v>20.467877000000001</v>
      </c>
      <c r="D41">
        <v>20.227402000000001</v>
      </c>
      <c r="E41">
        <v>20.294250000000002</v>
      </c>
      <c r="F41">
        <v>33.191032</v>
      </c>
      <c r="G41">
        <v>30.835854999999999</v>
      </c>
      <c r="H41">
        <v>28.267945000000001</v>
      </c>
      <c r="I41">
        <v>24.553827999999999</v>
      </c>
      <c r="J41">
        <v>56.262014000000001</v>
      </c>
      <c r="K41">
        <v>52.263131000000001</v>
      </c>
      <c r="L41">
        <v>71.748503999999997</v>
      </c>
      <c r="M41">
        <v>-622.49755100000004</v>
      </c>
      <c r="N41">
        <v>1.8762430000000001</v>
      </c>
      <c r="O41">
        <v>11.707856</v>
      </c>
      <c r="P41">
        <f t="shared" si="0"/>
        <v>3.1270716666666669E-5</v>
      </c>
      <c r="Q41" cm="1">
        <f t="array" ref="Q41">[1]!PropsSI("D","T",J41+273.15,"P",101325,"Water")</f>
        <v>985.07710550506897</v>
      </c>
      <c r="R41" cm="1">
        <f t="array" ref="R41">[1]!PropsSI("D","T",K41+273.15,"P",101325,"Water")</f>
        <v>986.99478393002778</v>
      </c>
      <c r="S41">
        <f t="shared" si="1"/>
        <v>986.03594471754832</v>
      </c>
      <c r="T41" cm="1">
        <f t="array" ref="T41">[1]!PropsSI("H","T",J41+273.15,"P",101325,"Water")</f>
        <v>235608.31776214513</v>
      </c>
      <c r="U41" cm="1">
        <f t="array" ref="U41">[1]!PropsSI("H","T",K41+273.15,"P",101325,"Water")</f>
        <v>218882.17332802614</v>
      </c>
      <c r="V41">
        <f t="shared" si="2"/>
        <v>515.73478466772258</v>
      </c>
    </row>
    <row r="42" spans="1:22" x14ac:dyDescent="0.2">
      <c r="A42">
        <v>46122.847215856484</v>
      </c>
      <c r="B42">
        <v>20.442806000000001</v>
      </c>
      <c r="C42">
        <v>20.499447</v>
      </c>
      <c r="D42">
        <v>20.184227</v>
      </c>
      <c r="E42">
        <v>20.276330000000002</v>
      </c>
      <c r="F42">
        <v>33.236806000000001</v>
      </c>
      <c r="G42">
        <v>30.721706000000001</v>
      </c>
      <c r="H42">
        <v>28.486837000000001</v>
      </c>
      <c r="I42">
        <v>24.827960999999998</v>
      </c>
      <c r="J42">
        <v>56.262014000000001</v>
      </c>
      <c r="K42">
        <v>52.248821999999997</v>
      </c>
      <c r="L42">
        <v>67.267504000000002</v>
      </c>
      <c r="M42">
        <v>-622.50367300000005</v>
      </c>
      <c r="N42">
        <v>1.876341</v>
      </c>
      <c r="O42">
        <v>11.14481</v>
      </c>
      <c r="P42">
        <f t="shared" si="0"/>
        <v>3.1272349999999999E-5</v>
      </c>
      <c r="Q42" cm="1">
        <f t="array" ref="Q42">[1]!PropsSI("D","T",J42+273.15,"P",101325,"Water")</f>
        <v>985.07710550506897</v>
      </c>
      <c r="R42" cm="1">
        <f t="array" ref="R42">[1]!PropsSI("D","T",K42+273.15,"P",101325,"Water")</f>
        <v>987.00146489939027</v>
      </c>
      <c r="S42">
        <f t="shared" si="1"/>
        <v>986.03928520222962</v>
      </c>
      <c r="T42" cm="1">
        <f t="array" ref="T42">[1]!PropsSI("H","T",J42+273.15,"P",101325,"Water")</f>
        <v>235608.31776214513</v>
      </c>
      <c r="U42" cm="1">
        <f t="array" ref="U42">[1]!PropsSI("H","T",K42+273.15,"P",101325,"Water")</f>
        <v>218822.33277782451</v>
      </c>
      <c r="V42">
        <f t="shared" si="2"/>
        <v>517.60869902303955</v>
      </c>
    </row>
    <row r="43" spans="1:22" x14ac:dyDescent="0.2">
      <c r="A43">
        <v>46122.847274305554</v>
      </c>
      <c r="B43">
        <v>20.501255</v>
      </c>
      <c r="C43">
        <v>20.527691000000001</v>
      </c>
      <c r="D43">
        <v>20.179507999999998</v>
      </c>
      <c r="E43">
        <v>20.244091999999998</v>
      </c>
      <c r="F43">
        <v>33.240583000000001</v>
      </c>
      <c r="G43">
        <v>29.793854</v>
      </c>
      <c r="H43">
        <v>28.265812</v>
      </c>
      <c r="I43">
        <v>24.089404999999999</v>
      </c>
      <c r="J43">
        <v>56.260739999999998</v>
      </c>
      <c r="K43">
        <v>52.252479000000001</v>
      </c>
      <c r="L43">
        <v>63.146078000000003</v>
      </c>
      <c r="M43">
        <v>-622.49306200000001</v>
      </c>
      <c r="N43">
        <v>1.8733249999999999</v>
      </c>
      <c r="O43">
        <v>11.560394000000001</v>
      </c>
      <c r="P43">
        <f t="shared" si="0"/>
        <v>3.122208333333333E-5</v>
      </c>
      <c r="Q43" cm="1">
        <f t="array" ref="Q43">[1]!PropsSI("D","T",J43+273.15,"P",101325,"Water")</f>
        <v>985.07773227893813</v>
      </c>
      <c r="R43" cm="1">
        <f t="array" ref="R43">[1]!PropsSI("D","T",K43+273.15,"P",101325,"Water")</f>
        <v>986.99975754577497</v>
      </c>
      <c r="S43">
        <f t="shared" si="1"/>
        <v>986.03874491235661</v>
      </c>
      <c r="T43" cm="1">
        <f t="array" ref="T43">[1]!PropsSI("H","T",J43+273.15,"P",101325,"Water")</f>
        <v>235602.98807884697</v>
      </c>
      <c r="U43" cm="1">
        <f t="array" ref="U43">[1]!PropsSI("H","T",K43+273.15,"P",101325,"Water")</f>
        <v>218837.62642542564</v>
      </c>
      <c r="V43">
        <f t="shared" si="2"/>
        <v>516.14150640112325</v>
      </c>
    </row>
    <row r="44" spans="1:22" x14ac:dyDescent="0.2">
      <c r="A44">
        <v>46122.847332754631</v>
      </c>
      <c r="B44">
        <v>20.482894999999999</v>
      </c>
      <c r="C44">
        <v>20.505074</v>
      </c>
      <c r="D44">
        <v>20.195657000000001</v>
      </c>
      <c r="E44">
        <v>20.254102</v>
      </c>
      <c r="F44">
        <v>33.264279000000002</v>
      </c>
      <c r="G44">
        <v>30.255922999999999</v>
      </c>
      <c r="H44">
        <v>28.019804000000001</v>
      </c>
      <c r="I44">
        <v>24.285177000000001</v>
      </c>
      <c r="J44">
        <v>56.260581000000002</v>
      </c>
      <c r="K44">
        <v>52.253273999999998</v>
      </c>
      <c r="L44">
        <v>64.275817000000004</v>
      </c>
      <c r="M44">
        <v>-622.48489900000004</v>
      </c>
      <c r="N44">
        <v>1.8681080000000001</v>
      </c>
      <c r="O44">
        <v>11.358886</v>
      </c>
      <c r="P44">
        <f t="shared" si="0"/>
        <v>3.1135133333333333E-5</v>
      </c>
      <c r="Q44" cm="1">
        <f t="array" ref="Q44">[1]!PropsSI("D","T",J44+273.15,"P",101325,"Water")</f>
        <v>985.07781050197696</v>
      </c>
      <c r="R44" cm="1">
        <f t="array" ref="R44">[1]!PropsSI("D","T",K44+273.15,"P",101325,"Water")</f>
        <v>986.99938637061427</v>
      </c>
      <c r="S44">
        <f t="shared" si="1"/>
        <v>986.03859843629562</v>
      </c>
      <c r="T44" cm="1">
        <f t="array" ref="T44">[1]!PropsSI("H","T",J44+273.15,"P",101325,"Water")</f>
        <v>235602.32291436143</v>
      </c>
      <c r="U44" cm="1">
        <f t="array" ref="U44">[1]!PropsSI("H","T",K44+273.15,"P",101325,"Water")</f>
        <v>218840.95113197374</v>
      </c>
      <c r="V44">
        <f t="shared" si="2"/>
        <v>514.58154293129462</v>
      </c>
    </row>
    <row r="45" spans="1:22" x14ac:dyDescent="0.2">
      <c r="A45">
        <v>46122.847391203701</v>
      </c>
      <c r="B45">
        <v>20.473665</v>
      </c>
      <c r="C45">
        <v>20.412580999999999</v>
      </c>
      <c r="D45">
        <v>20.208556000000002</v>
      </c>
      <c r="E45">
        <v>20.284098</v>
      </c>
      <c r="F45">
        <v>33.195746999999997</v>
      </c>
      <c r="G45">
        <v>30.595424000000001</v>
      </c>
      <c r="H45">
        <v>28.223569000000001</v>
      </c>
      <c r="I45">
        <v>24.356767999999999</v>
      </c>
      <c r="J45">
        <v>56.258830000000003</v>
      </c>
      <c r="K45">
        <v>52.253591999999998</v>
      </c>
      <c r="L45">
        <v>65.176180000000002</v>
      </c>
      <c r="M45">
        <v>-622.47918500000003</v>
      </c>
      <c r="N45">
        <v>1.8728450000000001</v>
      </c>
      <c r="O45">
        <v>11.621722</v>
      </c>
      <c r="P45">
        <f t="shared" si="0"/>
        <v>3.1214083333333333E-5</v>
      </c>
      <c r="Q45" cm="1">
        <f t="array" ref="Q45">[1]!PropsSI("D","T",J45+273.15,"P",101325,"Water")</f>
        <v>985.07867192914489</v>
      </c>
      <c r="R45" cm="1">
        <f t="array" ref="R45">[1]!PropsSI("D","T",K45+273.15,"P",101325,"Water")</f>
        <v>986.99923789942841</v>
      </c>
      <c r="S45">
        <f t="shared" si="1"/>
        <v>986.03895491428671</v>
      </c>
      <c r="T45" cm="1">
        <f t="array" ref="T45">[1]!PropsSI("H","T",J45+273.15,"P",101325,"Water")</f>
        <v>235594.99773846008</v>
      </c>
      <c r="U45" cm="1">
        <f t="array" ref="U45">[1]!PropsSI("H","T",K45+273.15,"P",101325,"Water")</f>
        <v>218842.28101470097</v>
      </c>
      <c r="V45">
        <f t="shared" si="2"/>
        <v>515.62017646377819</v>
      </c>
    </row>
    <row r="46" spans="1:22" x14ac:dyDescent="0.2">
      <c r="A46">
        <v>46122.847449652778</v>
      </c>
      <c r="B46">
        <v>20.419817999999999</v>
      </c>
      <c r="C46">
        <v>20.410257999999999</v>
      </c>
      <c r="D46">
        <v>20.196252999999999</v>
      </c>
      <c r="E46">
        <v>20.265488999999999</v>
      </c>
      <c r="F46">
        <v>33.137732</v>
      </c>
      <c r="G46">
        <v>30.359767000000002</v>
      </c>
      <c r="H46">
        <v>28.422135000000001</v>
      </c>
      <c r="I46">
        <v>24.531469999999999</v>
      </c>
      <c r="J46">
        <v>56.261377000000003</v>
      </c>
      <c r="K46">
        <v>52.255341000000001</v>
      </c>
      <c r="L46">
        <v>73.642695000000003</v>
      </c>
      <c r="M46">
        <v>-622.48693900000001</v>
      </c>
      <c r="N46">
        <v>1.872001</v>
      </c>
      <c r="O46">
        <v>11.603930999999999</v>
      </c>
      <c r="P46">
        <f t="shared" si="0"/>
        <v>3.120001666666667E-5</v>
      </c>
      <c r="Q46" cm="1">
        <f t="array" ref="Q46">[1]!PropsSI("D","T",J46+273.15,"P",101325,"Water")</f>
        <v>985.07741889325939</v>
      </c>
      <c r="R46" cm="1">
        <f t="array" ref="R46">[1]!PropsSI("D","T",K46+273.15,"P",101325,"Water")</f>
        <v>986.99842129634487</v>
      </c>
      <c r="S46">
        <f t="shared" si="1"/>
        <v>986.03792009480208</v>
      </c>
      <c r="T46" cm="1">
        <f t="array" ref="T46">[1]!PropsSI("H","T",J46+273.15,"P",101325,"Water")</f>
        <v>235605.65292040864</v>
      </c>
      <c r="U46" cm="1">
        <f t="array" ref="U46">[1]!PropsSI("H","T",K46+273.15,"P",101325,"Water")</f>
        <v>218849.5953699543</v>
      </c>
      <c r="V46">
        <f t="shared" si="2"/>
        <v>515.49004921287951</v>
      </c>
    </row>
    <row r="47" spans="1:22" x14ac:dyDescent="0.2">
      <c r="A47">
        <v>46122.847507523147</v>
      </c>
      <c r="B47">
        <v>20.315066999999999</v>
      </c>
      <c r="C47">
        <v>20.321705999999999</v>
      </c>
      <c r="D47">
        <v>20.145088000000001</v>
      </c>
      <c r="E47">
        <v>20.223351000000001</v>
      </c>
      <c r="F47">
        <v>33.121546000000002</v>
      </c>
      <c r="G47">
        <v>30.487534</v>
      </c>
      <c r="H47">
        <v>28.508402</v>
      </c>
      <c r="I47">
        <v>24.215888</v>
      </c>
      <c r="J47">
        <v>56.264242000000003</v>
      </c>
      <c r="K47">
        <v>52.257885000000002</v>
      </c>
      <c r="L47">
        <v>70.095117000000002</v>
      </c>
      <c r="M47">
        <v>-622.48326599999996</v>
      </c>
      <c r="N47">
        <v>1.8729769999999999</v>
      </c>
      <c r="O47">
        <v>11.707347</v>
      </c>
      <c r="P47">
        <f t="shared" si="0"/>
        <v>3.1216283333333331E-5</v>
      </c>
      <c r="Q47" cm="1">
        <f t="array" ref="Q47">[1]!PropsSI("D","T",J47+273.15,"P",101325,"Water")</f>
        <v>985.07600936484732</v>
      </c>
      <c r="R47" cm="1">
        <f t="array" ref="R47">[1]!PropsSI("D","T",K47+273.15,"P",101325,"Water")</f>
        <v>986.99723347507745</v>
      </c>
      <c r="S47">
        <f t="shared" si="1"/>
        <v>986.03662141996233</v>
      </c>
      <c r="T47" cm="1">
        <f t="array" ref="T47">[1]!PropsSI("H","T",J47+273.15,"P",101325,"Water")</f>
        <v>235617.63843426263</v>
      </c>
      <c r="U47" cm="1">
        <f t="array" ref="U47">[1]!PropsSI("H","T",K47+273.15,"P",101325,"Water")</f>
        <v>218860.23443400158</v>
      </c>
      <c r="V47">
        <f t="shared" si="2"/>
        <v>515.79957381298732</v>
      </c>
    </row>
    <row r="48" spans="1:22" x14ac:dyDescent="0.2">
      <c r="A48">
        <v>46122.847565972224</v>
      </c>
      <c r="B48">
        <v>20.330570000000002</v>
      </c>
      <c r="C48">
        <v>20.380030000000001</v>
      </c>
      <c r="D48">
        <v>20.116817000000001</v>
      </c>
      <c r="E48">
        <v>20.209616</v>
      </c>
      <c r="F48">
        <v>33.183236000000001</v>
      </c>
      <c r="G48">
        <v>29.982195999999998</v>
      </c>
      <c r="H48">
        <v>28.403582</v>
      </c>
      <c r="I48">
        <v>24.415589000000001</v>
      </c>
      <c r="J48">
        <v>56.267744</v>
      </c>
      <c r="K48">
        <v>52.256771999999998</v>
      </c>
      <c r="L48">
        <v>72.233378000000002</v>
      </c>
      <c r="M48">
        <v>-622.51877500000001</v>
      </c>
      <c r="N48">
        <v>1.871653</v>
      </c>
      <c r="O48">
        <v>11.707665</v>
      </c>
      <c r="P48">
        <f t="shared" si="0"/>
        <v>3.119421666666667E-5</v>
      </c>
      <c r="Q48" cm="1">
        <f t="array" ref="Q48">[1]!PropsSI("D","T",J48+273.15,"P",101325,"Water")</f>
        <v>985.07428637561668</v>
      </c>
      <c r="R48" cm="1">
        <f t="array" ref="R48">[1]!PropsSI("D","T",K48+273.15,"P",101325,"Water")</f>
        <v>986.99775315197371</v>
      </c>
      <c r="S48">
        <f t="shared" si="1"/>
        <v>986.03601976379514</v>
      </c>
      <c r="T48" cm="1">
        <f t="array" ref="T48">[1]!PropsSI("H","T",J48+273.15,"P",101325,"Water")</f>
        <v>235632.28879435506</v>
      </c>
      <c r="U48" cm="1">
        <f t="array" ref="U48">[1]!PropsSI("H","T",K48+273.15,"P",101325,"Water")</f>
        <v>218855.5798432361</v>
      </c>
      <c r="V48">
        <f t="shared" si="2"/>
        <v>516.02843630885786</v>
      </c>
    </row>
    <row r="49" spans="1:22" x14ac:dyDescent="0.2">
      <c r="A49">
        <v>44660.847624421498</v>
      </c>
      <c r="B49">
        <v>20.423763000000001</v>
      </c>
      <c r="C49">
        <v>20.338949</v>
      </c>
      <c r="D49">
        <v>20.112651</v>
      </c>
      <c r="E49">
        <v>20.200668</v>
      </c>
      <c r="F49">
        <v>33.292696999999997</v>
      </c>
      <c r="G49">
        <v>30.776537999999999</v>
      </c>
      <c r="H49">
        <v>28.269007999999999</v>
      </c>
      <c r="I49">
        <v>24.429131000000002</v>
      </c>
      <c r="J49">
        <v>56.268220999999997</v>
      </c>
      <c r="K49">
        <v>52.253751000000001</v>
      </c>
      <c r="L49">
        <v>61.720843000000002</v>
      </c>
      <c r="M49">
        <v>-622.50285699999995</v>
      </c>
      <c r="N49">
        <v>1.8717509999999999</v>
      </c>
      <c r="O49">
        <v>11.846484999999999</v>
      </c>
      <c r="P49">
        <f t="shared" si="0"/>
        <v>3.119585E-5</v>
      </c>
      <c r="Q49" cm="1">
        <f t="array" ref="Q49">[1]!PropsSI("D","T",J49+273.15,"P",101325,"Water")</f>
        <v>985.07405168508001</v>
      </c>
      <c r="R49" cm="1">
        <f t="array" ref="R49">[1]!PropsSI("D","T",K49+273.15,"P",101325,"Water")</f>
        <v>986.99916366357809</v>
      </c>
      <c r="S49">
        <f t="shared" si="1"/>
        <v>986.03660767432905</v>
      </c>
      <c r="T49" cm="1">
        <f t="array" ref="T49">[1]!PropsSI("H","T",J49+273.15,"P",101325,"Water")</f>
        <v>235634.28428921409</v>
      </c>
      <c r="U49" cm="1">
        <f t="array" ref="U49">[1]!PropsSI("H","T",K49+273.15,"P",101325,"Water")</f>
        <v>218842.94595602719</v>
      </c>
      <c r="V49">
        <f t="shared" si="2"/>
        <v>516.50576676877017</v>
      </c>
    </row>
    <row r="50" spans="1:22" x14ac:dyDescent="0.2">
      <c r="A50" t="s">
        <v>18</v>
      </c>
      <c r="B50">
        <v>20.400919999999999</v>
      </c>
      <c r="C50">
        <v>20.301901000000001</v>
      </c>
      <c r="D50">
        <v>20.117625</v>
      </c>
      <c r="E50">
        <v>20.184225000000001</v>
      </c>
      <c r="F50">
        <v>33.210084999999999</v>
      </c>
      <c r="G50">
        <v>29.840015000000001</v>
      </c>
      <c r="H50">
        <v>28.201235</v>
      </c>
      <c r="I50">
        <v>24.154798</v>
      </c>
      <c r="J50">
        <v>56.269654000000003</v>
      </c>
      <c r="K50">
        <v>52.256931000000002</v>
      </c>
      <c r="L50">
        <v>64.062358000000003</v>
      </c>
      <c r="M50">
        <v>-622.51428499999997</v>
      </c>
      <c r="N50">
        <v>1.8728089999999999</v>
      </c>
      <c r="O50">
        <v>11.428817</v>
      </c>
      <c r="P50">
        <f t="shared" si="0"/>
        <v>3.1213483333333332E-5</v>
      </c>
      <c r="Q50" cm="1">
        <f t="array" ref="Q50">[1]!PropsSI("D","T",J50+273.15,"P",101325,"Water")</f>
        <v>985.07334662106962</v>
      </c>
      <c r="R50" cm="1">
        <f t="array" ref="R50">[1]!PropsSI("D","T",K50+273.15,"P",101325,"Water")</f>
        <v>986.9976789128948</v>
      </c>
      <c r="S50">
        <f t="shared" si="1"/>
        <v>986.03551276698227</v>
      </c>
      <c r="T50" cm="1">
        <f t="array" ref="T50">[1]!PropsSI("H","T",J50+273.15,"P",101325,"Water")</f>
        <v>235640.27914123118</v>
      </c>
      <c r="U50" cm="1">
        <f t="array" ref="U50">[1]!PropsSI("H","T",K50+273.15,"P",101325,"Water")</f>
        <v>218856.24478473171</v>
      </c>
      <c r="V50">
        <f t="shared" si="2"/>
        <v>516.57234689829477</v>
      </c>
    </row>
    <row r="51" spans="1:22" x14ac:dyDescent="0.2">
      <c r="A51">
        <v>46122.847741319441</v>
      </c>
      <c r="B51">
        <v>20.379652</v>
      </c>
      <c r="C51">
        <v>20.278952</v>
      </c>
      <c r="D51">
        <v>20.132750000000001</v>
      </c>
      <c r="E51">
        <v>20.190923999999999</v>
      </c>
      <c r="F51">
        <v>33.202643000000002</v>
      </c>
      <c r="G51">
        <v>30.243158000000001</v>
      </c>
      <c r="H51">
        <v>28.261144000000002</v>
      </c>
      <c r="I51">
        <v>24.039914</v>
      </c>
      <c r="J51">
        <v>56.268380000000001</v>
      </c>
      <c r="K51">
        <v>52.254545999999998</v>
      </c>
      <c r="L51">
        <v>66.201842999999997</v>
      </c>
      <c r="M51">
        <v>-622.49142900000004</v>
      </c>
      <c r="N51">
        <v>1.8638220000000001</v>
      </c>
      <c r="O51">
        <v>11.468541999999999</v>
      </c>
      <c r="P51">
        <f t="shared" si="0"/>
        <v>3.1063700000000006E-5</v>
      </c>
      <c r="Q51" cm="1">
        <f t="array" ref="Q51">[1]!PropsSI("D","T",J51+273.15,"P",101325,"Water")</f>
        <v>985.07397345460242</v>
      </c>
      <c r="R51" cm="1">
        <f t="array" ref="R51">[1]!PropsSI("D","T",K51+273.15,"P",101325,"Water")</f>
        <v>986.99879248197703</v>
      </c>
      <c r="S51">
        <f t="shared" si="1"/>
        <v>986.03638296828967</v>
      </c>
      <c r="T51" cm="1">
        <f t="array" ref="T51">[1]!PropsSI("H","T",J51+273.15,"P",101325,"Water")</f>
        <v>235634.9494542217</v>
      </c>
      <c r="U51" cm="1">
        <f t="array" ref="U51">[1]!PropsSI("H","T",K51+273.15,"P",101325,"Water")</f>
        <v>218846.27066290061</v>
      </c>
      <c r="V51">
        <f t="shared" si="2"/>
        <v>514.23619702115161</v>
      </c>
    </row>
    <row r="52" spans="1:22" x14ac:dyDescent="0.2">
      <c r="A52">
        <v>46122.847799189818</v>
      </c>
      <c r="B52">
        <v>20.448197</v>
      </c>
      <c r="C52">
        <v>20.412863000000002</v>
      </c>
      <c r="D52">
        <v>20.129915</v>
      </c>
      <c r="E52">
        <v>20.254511999999998</v>
      </c>
      <c r="F52">
        <v>33.294367999999999</v>
      </c>
      <c r="G52">
        <v>30.176542999999999</v>
      </c>
      <c r="H52">
        <v>28.486387000000001</v>
      </c>
      <c r="I52">
        <v>24.206067999999998</v>
      </c>
      <c r="J52">
        <v>56.270449999999997</v>
      </c>
      <c r="K52">
        <v>52.257089999999998</v>
      </c>
      <c r="L52">
        <v>69.494738999999996</v>
      </c>
      <c r="M52">
        <v>-622.49102100000005</v>
      </c>
      <c r="N52">
        <v>1.878349</v>
      </c>
      <c r="O52">
        <v>11.627936</v>
      </c>
      <c r="P52">
        <f t="shared" si="0"/>
        <v>3.1305816666666671E-5</v>
      </c>
      <c r="Q52" cm="1">
        <f t="array" ref="Q52">[1]!PropsSI("D","T",J52+273.15,"P",101325,"Water")</f>
        <v>985.07295496809388</v>
      </c>
      <c r="R52" cm="1">
        <f t="array" ref="R52">[1]!PropsSI("D","T",K52+273.15,"P",101325,"Water")</f>
        <v>986.99760467367264</v>
      </c>
      <c r="S52">
        <f t="shared" si="1"/>
        <v>986.03527982088326</v>
      </c>
      <c r="T52" cm="1">
        <f t="array" ref="T52">[1]!PropsSI("H","T",J52+273.15,"P",101325,"Water")</f>
        <v>235643.60915005318</v>
      </c>
      <c r="U52" cm="1">
        <f t="array" ref="U52">[1]!PropsSI("H","T",K52+273.15,"P",101325,"Water")</f>
        <v>218856.90972623011</v>
      </c>
      <c r="V52">
        <f t="shared" si="2"/>
        <v>518.18257621479006</v>
      </c>
    </row>
    <row r="53" spans="1:22" x14ac:dyDescent="0.2">
      <c r="A53">
        <v>46122.847857638888</v>
      </c>
      <c r="B53">
        <v>20.373389</v>
      </c>
      <c r="C53">
        <v>20.43665</v>
      </c>
      <c r="D53">
        <v>20.196411999999999</v>
      </c>
      <c r="E53">
        <v>20.324225999999999</v>
      </c>
      <c r="F53">
        <v>33.211311000000002</v>
      </c>
      <c r="G53">
        <v>30.100504000000001</v>
      </c>
      <c r="H53">
        <v>28.51962</v>
      </c>
      <c r="I53">
        <v>24.469207999999998</v>
      </c>
      <c r="J53">
        <v>56.270291</v>
      </c>
      <c r="K53">
        <v>52.261859000000001</v>
      </c>
      <c r="L53">
        <v>75.364649</v>
      </c>
      <c r="M53">
        <v>-622.48285799999996</v>
      </c>
      <c r="N53">
        <v>1.8758159999999999</v>
      </c>
      <c r="O53">
        <v>11.683584</v>
      </c>
      <c r="P53">
        <f t="shared" si="0"/>
        <v>3.1263599999999997E-5</v>
      </c>
      <c r="Q53" cm="1">
        <f t="array" ref="Q53">[1]!PropsSI("D","T",J53+273.15,"P",101325,"Water")</f>
        <v>985.07303320060828</v>
      </c>
      <c r="R53" cm="1">
        <f t="array" ref="R53">[1]!PropsSI("D","T",K53+273.15,"P",101325,"Water")</f>
        <v>986.99537788847636</v>
      </c>
      <c r="S53">
        <f t="shared" si="1"/>
        <v>986.03420554454237</v>
      </c>
      <c r="T53" cm="1">
        <f t="array" ref="T53">[1]!PropsSI("H","T",J53+273.15,"P",101325,"Water")</f>
        <v>235642.94398493538</v>
      </c>
      <c r="U53" cm="1">
        <f t="array" ref="U53">[1]!PropsSI("H","T",K53+273.15,"P",101325,"Water")</f>
        <v>218876.85379365287</v>
      </c>
      <c r="V53">
        <f t="shared" si="2"/>
        <v>516.84791004533054</v>
      </c>
    </row>
    <row r="54" spans="1:22" x14ac:dyDescent="0.2">
      <c r="A54">
        <v>46122.847915509257</v>
      </c>
      <c r="B54">
        <v>20.352588999999998</v>
      </c>
      <c r="C54">
        <v>20.366807999999999</v>
      </c>
      <c r="D54">
        <v>20.101970999999999</v>
      </c>
      <c r="E54">
        <v>20.205262000000001</v>
      </c>
      <c r="F54">
        <v>33.09713</v>
      </c>
      <c r="G54">
        <v>30.297048</v>
      </c>
      <c r="H54">
        <v>28.161142999999999</v>
      </c>
      <c r="I54">
        <v>24.280287999999999</v>
      </c>
      <c r="J54">
        <v>56.272995999999999</v>
      </c>
      <c r="K54">
        <v>52.265833999999998</v>
      </c>
      <c r="L54">
        <v>65.632075999999998</v>
      </c>
      <c r="M54">
        <v>-622.50530600000002</v>
      </c>
      <c r="N54">
        <v>1.873124</v>
      </c>
      <c r="O54">
        <v>11.708237</v>
      </c>
      <c r="P54">
        <f t="shared" si="0"/>
        <v>3.1218733333333333E-5</v>
      </c>
      <c r="Q54" cm="1">
        <f t="array" ref="Q54">[1]!PropsSI("D","T",J54+273.15,"P",101325,"Water")</f>
        <v>985.07170224292008</v>
      </c>
      <c r="R54" cm="1">
        <f t="array" ref="R54">[1]!PropsSI("D","T",K54+273.15,"P",101325,"Water")</f>
        <v>986.9935217339347</v>
      </c>
      <c r="S54">
        <f t="shared" si="1"/>
        <v>986.03261198842733</v>
      </c>
      <c r="T54" cm="1">
        <f t="array" ref="T54">[1]!PropsSI("H","T",J54+273.15,"P",101325,"Water")</f>
        <v>235654.26015981718</v>
      </c>
      <c r="U54" cm="1">
        <f t="array" ref="U54">[1]!PropsSI("H","T",K54+273.15,"P",101325,"Water")</f>
        <v>218893.47734032958</v>
      </c>
      <c r="V54">
        <f t="shared" si="2"/>
        <v>515.94196780559764</v>
      </c>
    </row>
    <row r="55" spans="1:22" x14ac:dyDescent="0.2">
      <c r="A55">
        <v>46122.847973379627</v>
      </c>
      <c r="B55">
        <v>20.267537999999998</v>
      </c>
      <c r="C55">
        <v>20.292453999999999</v>
      </c>
      <c r="D55">
        <v>20.066393999999999</v>
      </c>
      <c r="E55">
        <v>20.179470999999999</v>
      </c>
      <c r="F55">
        <v>33.090725999999997</v>
      </c>
      <c r="G55">
        <v>29.861521</v>
      </c>
      <c r="H55">
        <v>28.231928</v>
      </c>
      <c r="I55">
        <v>24.302779999999998</v>
      </c>
      <c r="J55">
        <v>56.272359999999999</v>
      </c>
      <c r="K55">
        <v>52.265197999999998</v>
      </c>
      <c r="L55">
        <v>66.962620999999999</v>
      </c>
      <c r="M55">
        <v>-622.49673499999994</v>
      </c>
      <c r="N55">
        <v>1.8726769999999999</v>
      </c>
      <c r="O55">
        <v>11.6372</v>
      </c>
      <c r="P55">
        <f t="shared" si="0"/>
        <v>3.1211283333333334E-5</v>
      </c>
      <c r="Q55" cm="1">
        <f t="array" ref="Q55">[1]!PropsSI("D","T",J55+273.15,"P",101325,"Water")</f>
        <v>985.07201518190061</v>
      </c>
      <c r="R55" cm="1">
        <f t="array" ref="R55">[1]!PropsSI("D","T",K55+273.15,"P",101325,"Water")</f>
        <v>986.99381872543563</v>
      </c>
      <c r="S55">
        <f t="shared" si="1"/>
        <v>986.03291695366806</v>
      </c>
      <c r="T55" cm="1">
        <f t="array" ref="T55">[1]!PropsSI("H","T",J55+273.15,"P",101325,"Water")</f>
        <v>235651.59949888237</v>
      </c>
      <c r="U55" cm="1">
        <f t="array" ref="U55">[1]!PropsSI("H","T",K55+273.15,"P",101325,"Water")</f>
        <v>218890.81757251089</v>
      </c>
      <c r="V55">
        <f t="shared" si="2"/>
        <v>515.81897610019553</v>
      </c>
    </row>
    <row r="56" spans="1:22" x14ac:dyDescent="0.2">
      <c r="A56">
        <v>46122.848031828704</v>
      </c>
      <c r="B56">
        <v>20.24877</v>
      </c>
      <c r="C56">
        <v>20.290327999999999</v>
      </c>
      <c r="D56">
        <v>20.064499999999999</v>
      </c>
      <c r="E56">
        <v>20.167947999999999</v>
      </c>
      <c r="F56">
        <v>33.096128999999998</v>
      </c>
      <c r="G56">
        <v>30.618309</v>
      </c>
      <c r="H56">
        <v>28.347518000000001</v>
      </c>
      <c r="I56">
        <v>24.260722999999999</v>
      </c>
      <c r="J56">
        <v>56.270130999999999</v>
      </c>
      <c r="K56">
        <v>52.258839000000002</v>
      </c>
      <c r="L56">
        <v>76.005842000000001</v>
      </c>
      <c r="M56">
        <v>-622.49714300000005</v>
      </c>
      <c r="N56">
        <v>1.871092</v>
      </c>
      <c r="O56">
        <v>11.685744</v>
      </c>
      <c r="P56">
        <f t="shared" si="0"/>
        <v>3.1184866666666667E-5</v>
      </c>
      <c r="Q56" cm="1">
        <f t="array" ref="Q56">[1]!PropsSI("D","T",J56+273.15,"P",101325,"Water")</f>
        <v>985.07311192497411</v>
      </c>
      <c r="R56" cm="1">
        <f t="array" ref="R56">[1]!PropsSI("D","T",K56+273.15,"P",101325,"Water")</f>
        <v>986.99678803144127</v>
      </c>
      <c r="S56">
        <f t="shared" si="1"/>
        <v>986.03494997820769</v>
      </c>
      <c r="T56" cm="1">
        <f t="array" ref="T56">[1]!PropsSI("H","T",J56+273.15,"P",101325,"Water")</f>
        <v>235642.27463642968</v>
      </c>
      <c r="U56" cm="1">
        <f t="array" ref="U56">[1]!PropsSI("H","T",K56+273.15,"P",101325,"Water")</f>
        <v>218864.22408352871</v>
      </c>
      <c r="V56">
        <f t="shared" si="2"/>
        <v>515.91445821891023</v>
      </c>
    </row>
    <row r="57" spans="1:22" x14ac:dyDescent="0.2">
      <c r="A57">
        <v>46122.848089699073</v>
      </c>
      <c r="B57">
        <v>20.293220000000002</v>
      </c>
      <c r="C57">
        <v>20.441428999999999</v>
      </c>
      <c r="D57">
        <v>20.139908999999999</v>
      </c>
      <c r="E57">
        <v>20.243497000000001</v>
      </c>
      <c r="F57">
        <v>33.199660000000002</v>
      </c>
      <c r="G57">
        <v>30.738585</v>
      </c>
      <c r="H57">
        <v>28.439789999999999</v>
      </c>
      <c r="I57">
        <v>24.51848</v>
      </c>
      <c r="J57">
        <v>56.269176000000002</v>
      </c>
      <c r="K57">
        <v>52.258043999999998</v>
      </c>
      <c r="L57">
        <v>56.448045999999998</v>
      </c>
      <c r="M57">
        <v>-622.47755199999995</v>
      </c>
      <c r="N57">
        <v>1.8716120000000001</v>
      </c>
      <c r="O57">
        <v>11.705746</v>
      </c>
      <c r="P57">
        <f t="shared" si="0"/>
        <v>3.1193533333333339E-5</v>
      </c>
      <c r="Q57" cm="1">
        <f t="array" ref="Q57">[1]!PropsSI("D","T",J57+273.15,"P",101325,"Water")</f>
        <v>985.07358180781682</v>
      </c>
      <c r="R57" cm="1">
        <f t="array" ref="R57">[1]!PropsSI("D","T",K57+273.15,"P",101325,"Water")</f>
        <v>986.99715923487031</v>
      </c>
      <c r="S57">
        <f t="shared" si="1"/>
        <v>986.03537052134357</v>
      </c>
      <c r="T57" cm="1">
        <f t="array" ref="T57">[1]!PropsSI("H","T",J57+273.15,"P",101325,"Water")</f>
        <v>235638.2794626285</v>
      </c>
      <c r="U57" cm="1">
        <f t="array" ref="U57">[1]!PropsSI("H","T",K57+273.15,"P",101325,"Water")</f>
        <v>218860.89937556625</v>
      </c>
      <c r="V57">
        <f t="shared" si="2"/>
        <v>516.03743529444512</v>
      </c>
    </row>
    <row r="58" spans="1:22" x14ac:dyDescent="0.2">
      <c r="A58">
        <v>46122.84814814815</v>
      </c>
      <c r="B58">
        <v>20.335809000000001</v>
      </c>
      <c r="C58">
        <v>20.425619999999999</v>
      </c>
      <c r="D58">
        <v>20.162634000000001</v>
      </c>
      <c r="E58">
        <v>20.234743999999999</v>
      </c>
      <c r="F58">
        <v>33.116014999999997</v>
      </c>
      <c r="G58">
        <v>30.493366000000002</v>
      </c>
      <c r="H58">
        <v>28.001002</v>
      </c>
      <c r="I58">
        <v>24.281552999999999</v>
      </c>
      <c r="J58">
        <v>56.270767999999997</v>
      </c>
      <c r="K58">
        <v>52.263289999999998</v>
      </c>
      <c r="L58">
        <v>65.763088999999994</v>
      </c>
      <c r="M58">
        <v>-622.5</v>
      </c>
      <c r="N58">
        <v>1.8750420000000001</v>
      </c>
      <c r="O58">
        <v>11.69633</v>
      </c>
      <c r="P58">
        <f t="shared" si="0"/>
        <v>3.1250700000000002E-5</v>
      </c>
      <c r="Q58" cm="1">
        <f t="array" ref="Q58">[1]!PropsSI("D","T",J58+273.15,"P",101325,"Water")</f>
        <v>985.07279850263319</v>
      </c>
      <c r="R58" cm="1">
        <f t="array" ref="R58">[1]!PropsSI("D","T",K58+273.15,"P",101325,"Water")</f>
        <v>986.99470968447156</v>
      </c>
      <c r="S58">
        <f t="shared" si="1"/>
        <v>986.03375409355237</v>
      </c>
      <c r="T58" cm="1">
        <f t="array" ref="T58">[1]!PropsSI("H","T",J58+273.15,"P",101325,"Water")</f>
        <v>235644.93948028176</v>
      </c>
      <c r="U58" cm="1">
        <f t="array" ref="U58">[1]!PropsSI("H","T",K58+273.15,"P",101325,"Water")</f>
        <v>218882.83826984052</v>
      </c>
      <c r="V58">
        <f t="shared" si="2"/>
        <v>516.51149406791603</v>
      </c>
    </row>
    <row r="59" spans="1:22" x14ac:dyDescent="0.2">
      <c r="A59">
        <v>46122.84820659722</v>
      </c>
      <c r="B59">
        <v>20.376387999999999</v>
      </c>
      <c r="C59">
        <v>20.495338</v>
      </c>
      <c r="D59">
        <v>20.173618999999999</v>
      </c>
      <c r="E59">
        <v>20.235966000000001</v>
      </c>
      <c r="F59">
        <v>33.218972000000001</v>
      </c>
      <c r="G59">
        <v>30.365348999999998</v>
      </c>
      <c r="H59">
        <v>28.168832999999999</v>
      </c>
      <c r="I59">
        <v>24.592583999999999</v>
      </c>
      <c r="J59">
        <v>56.268540000000002</v>
      </c>
      <c r="K59">
        <v>52.246279000000001</v>
      </c>
      <c r="L59">
        <v>69.538819000000004</v>
      </c>
      <c r="M59">
        <v>-622.46653200000003</v>
      </c>
      <c r="N59">
        <v>1.86365</v>
      </c>
      <c r="O59">
        <v>11.472811999999999</v>
      </c>
      <c r="P59">
        <f t="shared" si="0"/>
        <v>3.1060833333333333E-5</v>
      </c>
      <c r="Q59" cm="1">
        <f t="array" ref="Q59">[1]!PropsSI("D","T",J59+273.15,"P",101325,"Water")</f>
        <v>985.07389473193496</v>
      </c>
      <c r="R59" cm="1">
        <f t="array" ref="R59">[1]!PropsSI("D","T",K59+273.15,"P",101325,"Water")</f>
        <v>987.00265210635314</v>
      </c>
      <c r="S59">
        <f t="shared" si="1"/>
        <v>986.03827341914405</v>
      </c>
      <c r="T59" cm="1">
        <f t="array" ref="T59">[1]!PropsSI("H","T",J59+273.15,"P",101325,"Water")</f>
        <v>235635.61880261707</v>
      </c>
      <c r="U59" cm="1">
        <f t="array" ref="U59">[1]!PropsSI("H","T",K59+273.15,"P",101325,"Water")</f>
        <v>218811.69790319735</v>
      </c>
      <c r="V59">
        <f t="shared" si="2"/>
        <v>515.26909337647123</v>
      </c>
    </row>
    <row r="60" spans="1:22" x14ac:dyDescent="0.2">
      <c r="A60">
        <v>46122.84826446759</v>
      </c>
      <c r="B60">
        <v>20.404899</v>
      </c>
      <c r="C60">
        <v>20.501785999999999</v>
      </c>
      <c r="D60">
        <v>20.206761</v>
      </c>
      <c r="E60">
        <v>20.294727000000002</v>
      </c>
      <c r="F60">
        <v>33.256990999999999</v>
      </c>
      <c r="G60">
        <v>30.206647</v>
      </c>
      <c r="H60">
        <v>28.168783000000001</v>
      </c>
      <c r="I60">
        <v>24.314337999999999</v>
      </c>
      <c r="J60">
        <v>56.268380000000001</v>
      </c>
      <c r="K60">
        <v>52.257249000000002</v>
      </c>
      <c r="L60">
        <v>72.689273</v>
      </c>
      <c r="M60">
        <v>-622.49061300000005</v>
      </c>
      <c r="N60">
        <v>1.8756360000000001</v>
      </c>
      <c r="O60">
        <v>11.699532</v>
      </c>
      <c r="P60">
        <f t="shared" si="0"/>
        <v>3.1260600000000004E-5</v>
      </c>
      <c r="Q60" cm="1">
        <f t="array" ref="Q60">[1]!PropsSI("D","T",J60+273.15,"P",101325,"Water")</f>
        <v>985.07397345460242</v>
      </c>
      <c r="R60" cm="1">
        <f t="array" ref="R60">[1]!PropsSI("D","T",K60+273.15,"P",101325,"Water")</f>
        <v>986.99753043427154</v>
      </c>
      <c r="S60">
        <f t="shared" si="1"/>
        <v>986.03575194443692</v>
      </c>
      <c r="T60" cm="1">
        <f t="array" ref="T60">[1]!PropsSI("H","T",J60+273.15,"P",101325,"Water")</f>
        <v>235634.9494542217</v>
      </c>
      <c r="U60" cm="1">
        <f t="array" ref="U60">[1]!PropsSI("H","T",K60+273.15,"P",101325,"Water")</f>
        <v>218857.57466778535</v>
      </c>
      <c r="V60">
        <f t="shared" si="2"/>
        <v>517.14696186836898</v>
      </c>
    </row>
    <row r="61" spans="1:22" x14ac:dyDescent="0.2">
      <c r="A61">
        <v>46122.848322916667</v>
      </c>
      <c r="B61">
        <v>20.325765000000001</v>
      </c>
      <c r="C61">
        <v>20.435625999999999</v>
      </c>
      <c r="D61">
        <v>20.137820000000001</v>
      </c>
      <c r="E61">
        <v>20.276578000000001</v>
      </c>
      <c r="F61">
        <v>33.126461999999997</v>
      </c>
      <c r="G61">
        <v>30.090150000000001</v>
      </c>
      <c r="H61">
        <v>28.483885000000001</v>
      </c>
      <c r="I61">
        <v>24.336891000000001</v>
      </c>
      <c r="J61">
        <v>56.267584999999997</v>
      </c>
      <c r="K61">
        <v>52.262177000000001</v>
      </c>
      <c r="L61">
        <v>72.247254999999996</v>
      </c>
      <c r="M61">
        <v>-622.51346899999999</v>
      </c>
      <c r="N61">
        <v>1.8776029999999999</v>
      </c>
      <c r="O61">
        <v>11.539401</v>
      </c>
      <c r="P61">
        <f t="shared" si="0"/>
        <v>3.1293383333333331E-5</v>
      </c>
      <c r="Q61" cm="1">
        <f t="array" ref="Q61">[1]!PropsSI("D","T",J61+273.15,"P",101325,"Water")</f>
        <v>985.07436460547171</v>
      </c>
      <c r="R61" cm="1">
        <f t="array" ref="R61">[1]!PropsSI("D","T",K61+273.15,"P",101325,"Water")</f>
        <v>986.99522939983729</v>
      </c>
      <c r="S61">
        <f t="shared" si="1"/>
        <v>986.0347970026545</v>
      </c>
      <c r="T61" cm="1">
        <f t="array" ref="T61">[1]!PropsSI("H","T",J61+273.15,"P",101325,"Water")</f>
        <v>235631.62362941942</v>
      </c>
      <c r="U61" cm="1">
        <f t="array" ref="U61">[1]!PropsSI("H","T",K61+273.15,"P",101325,"Water")</f>
        <v>218878.18367717377</v>
      </c>
      <c r="V61">
        <f t="shared" si="2"/>
        <v>516.95025620538115</v>
      </c>
    </row>
    <row r="62" spans="1:22" x14ac:dyDescent="0.2">
      <c r="A62">
        <v>46122.848380787036</v>
      </c>
      <c r="B62">
        <v>20.244125</v>
      </c>
      <c r="C62">
        <v>20.372553</v>
      </c>
      <c r="D62">
        <v>20.129073000000002</v>
      </c>
      <c r="E62">
        <v>20.2438</v>
      </c>
      <c r="F62">
        <v>33.151463</v>
      </c>
      <c r="G62">
        <v>30.311122999999998</v>
      </c>
      <c r="H62">
        <v>28.493096999999999</v>
      </c>
      <c r="I62">
        <v>24.364978000000001</v>
      </c>
      <c r="J62">
        <v>56.272359999999999</v>
      </c>
      <c r="K62">
        <v>52.264403000000001</v>
      </c>
      <c r="L62">
        <v>66.115724999999998</v>
      </c>
      <c r="M62">
        <v>-622.50326500000006</v>
      </c>
      <c r="N62">
        <v>1.8747549999999999</v>
      </c>
      <c r="O62">
        <v>11.667737000000001</v>
      </c>
      <c r="P62">
        <f t="shared" si="0"/>
        <v>3.1245916666666669E-5</v>
      </c>
      <c r="Q62" cm="1">
        <f t="array" ref="Q62">[1]!PropsSI("D","T",J62+273.15,"P",101325,"Water")</f>
        <v>985.07201518190061</v>
      </c>
      <c r="R62" cm="1">
        <f t="array" ref="R62">[1]!PropsSI("D","T",K62+273.15,"P",101325,"Water")</f>
        <v>986.99418996119232</v>
      </c>
      <c r="S62">
        <f t="shared" si="1"/>
        <v>986.03310257154646</v>
      </c>
      <c r="T62" cm="1">
        <f t="array" ref="T62">[1]!PropsSI("H","T",J62+273.15,"P",101325,"Water")</f>
        <v>235651.59949888237</v>
      </c>
      <c r="U62" cm="1">
        <f t="array" ref="U62">[1]!PropsSI("H","T",K62+273.15,"P",101325,"Water")</f>
        <v>218887.49286294842</v>
      </c>
      <c r="V62">
        <f t="shared" si="2"/>
        <v>516.49388008637493</v>
      </c>
    </row>
    <row r="63" spans="1:22" x14ac:dyDescent="0.2">
      <c r="A63">
        <v>46122.848439236113</v>
      </c>
      <c r="B63">
        <v>20.278876</v>
      </c>
      <c r="C63">
        <v>20.351756000000002</v>
      </c>
      <c r="D63">
        <v>20.117563000000001</v>
      </c>
      <c r="E63">
        <v>20.207827000000002</v>
      </c>
      <c r="F63">
        <v>33.161982999999999</v>
      </c>
      <c r="G63">
        <v>30.225736000000001</v>
      </c>
      <c r="H63">
        <v>28.386037000000002</v>
      </c>
      <c r="I63">
        <v>24.281040000000001</v>
      </c>
      <c r="J63">
        <v>56.271563999999998</v>
      </c>
      <c r="K63">
        <v>52.265675000000002</v>
      </c>
      <c r="L63">
        <v>71.577083999999999</v>
      </c>
      <c r="M63">
        <v>-622.49469399999998</v>
      </c>
      <c r="N63">
        <v>1.874034</v>
      </c>
      <c r="O63">
        <v>11.779820000000001</v>
      </c>
      <c r="P63">
        <f t="shared" si="0"/>
        <v>3.1233899999999999E-5</v>
      </c>
      <c r="Q63" cm="1">
        <f t="array" ref="Q63">[1]!PropsSI("D","T",J63+273.15,"P",101325,"Water")</f>
        <v>985.07240684418798</v>
      </c>
      <c r="R63" cm="1">
        <f t="array" ref="R63">[1]!PropsSI("D","T",K63+273.15,"P",101325,"Water")</f>
        <v>986.99359598205547</v>
      </c>
      <c r="S63">
        <f t="shared" si="1"/>
        <v>986.03300141312172</v>
      </c>
      <c r="T63" cm="1">
        <f t="array" ref="T63">[1]!PropsSI("H","T",J63+273.15,"P",101325,"Water")</f>
        <v>235648.26948946374</v>
      </c>
      <c r="U63" cm="1">
        <f t="array" ref="U63">[1]!PropsSI("H","T",K63+273.15,"P",101325,"Water")</f>
        <v>218892.81239835682</v>
      </c>
      <c r="V63">
        <f t="shared" si="2"/>
        <v>516.02880634308497</v>
      </c>
    </row>
    <row r="64" spans="1:22" x14ac:dyDescent="0.2">
      <c r="A64">
        <v>46122.848497685183</v>
      </c>
      <c r="B64">
        <v>20.233796999999999</v>
      </c>
      <c r="C64">
        <v>20.275016999999998</v>
      </c>
      <c r="D64">
        <v>20.130673000000002</v>
      </c>
      <c r="E64">
        <v>20.200814999999999</v>
      </c>
      <c r="F64">
        <v>33.153025999999997</v>
      </c>
      <c r="G64">
        <v>30.468596000000002</v>
      </c>
      <c r="H64">
        <v>28.208825000000001</v>
      </c>
      <c r="I64">
        <v>24.375872999999999</v>
      </c>
      <c r="J64">
        <v>56.271563999999998</v>
      </c>
      <c r="K64">
        <v>52.265515999999998</v>
      </c>
      <c r="L64">
        <v>68.291942000000006</v>
      </c>
      <c r="M64">
        <v>-622.50571400000001</v>
      </c>
      <c r="N64">
        <v>1.875443</v>
      </c>
      <c r="O64">
        <v>11.725125999999999</v>
      </c>
      <c r="P64">
        <f t="shared" si="0"/>
        <v>3.1257383333333333E-5</v>
      </c>
      <c r="Q64" cm="1">
        <f t="array" ref="Q64">[1]!PropsSI("D","T",J64+273.15,"P",101325,"Water")</f>
        <v>985.07240684418798</v>
      </c>
      <c r="R64" cm="1">
        <f t="array" ref="R64">[1]!PropsSI("D","T",K64+273.15,"P",101325,"Water")</f>
        <v>986.9936702299907</v>
      </c>
      <c r="S64">
        <f t="shared" si="1"/>
        <v>986.0330385370894</v>
      </c>
      <c r="T64" cm="1">
        <f t="array" ref="T64">[1]!PropsSI("H","T",J64+273.15,"P",101325,"Water")</f>
        <v>235648.26948946374</v>
      </c>
      <c r="U64" cm="1">
        <f t="array" ref="U64">[1]!PropsSI("H","T",K64+273.15,"P",101325,"Water")</f>
        <v>218892.14745644855</v>
      </c>
      <c r="V64">
        <f t="shared" si="2"/>
        <v>516.43729816951702</v>
      </c>
    </row>
    <row r="65" spans="1:22" x14ac:dyDescent="0.2">
      <c r="A65">
        <v>46122.848555555553</v>
      </c>
      <c r="B65">
        <v>20.291743</v>
      </c>
      <c r="C65">
        <v>20.305311</v>
      </c>
      <c r="D65">
        <v>20.115926999999999</v>
      </c>
      <c r="E65">
        <v>20.200465000000001</v>
      </c>
      <c r="F65">
        <v>33.087412</v>
      </c>
      <c r="G65">
        <v>30.125188999999999</v>
      </c>
      <c r="H65">
        <v>27.992039999999999</v>
      </c>
      <c r="I65">
        <v>24.384768999999999</v>
      </c>
      <c r="J65">
        <v>56.271881999999998</v>
      </c>
      <c r="K65">
        <v>52.264561999999998</v>
      </c>
      <c r="L65">
        <v>68.771510000000006</v>
      </c>
      <c r="M65">
        <v>-622.49265300000002</v>
      </c>
      <c r="N65">
        <v>1.871821</v>
      </c>
      <c r="O65">
        <v>11.651433000000001</v>
      </c>
      <c r="P65">
        <f t="shared" si="0"/>
        <v>3.119701666666667E-5</v>
      </c>
      <c r="Q65" cm="1">
        <f t="array" ref="Q65">[1]!PropsSI("D","T",J65+273.15,"P",101325,"Water")</f>
        <v>985.07225037656588</v>
      </c>
      <c r="R65" cm="1">
        <f t="array" ref="R65">[1]!PropsSI("D","T",K65+273.15,"P",101325,"Water")</f>
        <v>986.99411571436008</v>
      </c>
      <c r="S65">
        <f t="shared" si="1"/>
        <v>986.03318304546292</v>
      </c>
      <c r="T65" cm="1">
        <f t="array" ref="T65">[1]!PropsSI("H","T",J65+273.15,"P",101325,"Water")</f>
        <v>235649.59981984907</v>
      </c>
      <c r="U65" cm="1">
        <f t="array" ref="U65">[1]!PropsSI("H","T",K65+273.15,"P",101325,"Water")</f>
        <v>218888.15780482549</v>
      </c>
      <c r="V65">
        <f t="shared" si="2"/>
        <v>515.60363974374286</v>
      </c>
    </row>
    <row r="66" spans="1:22" x14ac:dyDescent="0.2">
      <c r="A66">
        <v>46122.84861400463</v>
      </c>
      <c r="B66">
        <v>20.289387000000001</v>
      </c>
      <c r="C66">
        <v>20.400483999999999</v>
      </c>
      <c r="D66">
        <v>20.127520000000001</v>
      </c>
      <c r="E66">
        <v>20.199301999999999</v>
      </c>
      <c r="F66">
        <v>33.126151</v>
      </c>
      <c r="G66">
        <v>30.542985999999999</v>
      </c>
      <c r="H66">
        <v>27.917279000000001</v>
      </c>
      <c r="I66">
        <v>24.560877999999999</v>
      </c>
      <c r="J66">
        <v>56.272201000000003</v>
      </c>
      <c r="K66">
        <v>52.256295000000001</v>
      </c>
      <c r="L66">
        <v>66.009608</v>
      </c>
      <c r="M66">
        <v>-622.49428599999999</v>
      </c>
      <c r="N66">
        <v>1.8754519999999999</v>
      </c>
      <c r="O66">
        <v>11.604044999999999</v>
      </c>
      <c r="P66">
        <f t="shared" ref="P66:P115" si="3" xml:space="preserve"> N66*0.001/60</f>
        <v>3.125753333333333E-5</v>
      </c>
      <c r="Q66" cm="1">
        <f t="array" ref="Q66">[1]!PropsSI("D","T",J66+273.15,"P",101325,"Water")</f>
        <v>985.07209341627367</v>
      </c>
      <c r="R66" cm="1">
        <f t="array" ref="R66">[1]!PropsSI("D","T",K66+273.15,"P",101325,"Water")</f>
        <v>986.99797586822103</v>
      </c>
      <c r="S66">
        <f t="shared" ref="S66:S115" si="4">(Q66+R66)/2</f>
        <v>986.03503464224741</v>
      </c>
      <c r="T66" cm="1">
        <f t="array" ref="T66">[1]!PropsSI("H","T",J66+273.15,"P",101325,"Water")</f>
        <v>235650.93433363779</v>
      </c>
      <c r="U66" cm="1">
        <f t="array" ref="U66">[1]!PropsSI("H","T",K66+273.15,"P",101325,"Water")</f>
        <v>218853.58501872708</v>
      </c>
      <c r="V66">
        <f t="shared" ref="V66:V115" si="5">S66*P66*(T66-U66)</f>
        <v>517.71148895515898</v>
      </c>
    </row>
    <row r="67" spans="1:22" x14ac:dyDescent="0.2">
      <c r="A67">
        <v>46122.848671874999</v>
      </c>
      <c r="B67">
        <v>20.280168</v>
      </c>
      <c r="C67">
        <v>20.472363999999999</v>
      </c>
      <c r="D67">
        <v>20.120469</v>
      </c>
      <c r="E67">
        <v>20.230231</v>
      </c>
      <c r="F67">
        <v>33.214675</v>
      </c>
      <c r="G67">
        <v>30.307234000000001</v>
      </c>
      <c r="H67">
        <v>28.533977</v>
      </c>
      <c r="I67">
        <v>24.540378</v>
      </c>
      <c r="J67">
        <v>56.271563999999998</v>
      </c>
      <c r="K67">
        <v>52.258839000000002</v>
      </c>
      <c r="L67">
        <v>60.055211999999997</v>
      </c>
      <c r="M67">
        <v>-622.46285899999998</v>
      </c>
      <c r="N67">
        <v>1.8756200000000001</v>
      </c>
      <c r="O67">
        <v>11.724845999999999</v>
      </c>
      <c r="P67">
        <f t="shared" si="3"/>
        <v>3.1260333333333336E-5</v>
      </c>
      <c r="Q67" cm="1">
        <f t="array" ref="Q67">[1]!PropsSI("D","T",J67+273.15,"P",101325,"Water")</f>
        <v>985.07240684418798</v>
      </c>
      <c r="R67" cm="1">
        <f t="array" ref="R67">[1]!PropsSI("D","T",K67+273.15,"P",101325,"Water")</f>
        <v>986.99678803144127</v>
      </c>
      <c r="S67">
        <f t="shared" si="4"/>
        <v>986.03459743781468</v>
      </c>
      <c r="T67" cm="1">
        <f t="array" ref="T67">[1]!PropsSI("H","T",J67+273.15,"P",101325,"Water")</f>
        <v>235648.26948946374</v>
      </c>
      <c r="U67" cm="1">
        <f t="array" ref="U67">[1]!PropsSI("H","T",K67+273.15,"P",101325,"Water")</f>
        <v>218864.22408352871</v>
      </c>
      <c r="V67">
        <f t="shared" si="5"/>
        <v>517.34755851996908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3229-1050-2742-A6A8-F79A83BB06C3}">
  <dimension ref="A1:W88"/>
  <sheetViews>
    <sheetView topLeftCell="G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>
        <v>44660.837440393698</v>
      </c>
      <c r="B2">
        <v>20.34704</v>
      </c>
      <c r="C2">
        <v>20.467631999999998</v>
      </c>
      <c r="D2">
        <v>20.204642</v>
      </c>
      <c r="E2">
        <v>20.341100000000001</v>
      </c>
      <c r="F2">
        <v>30.833860000000001</v>
      </c>
      <c r="G2">
        <v>28.316168000000001</v>
      </c>
      <c r="H2">
        <v>27.13138</v>
      </c>
      <c r="I2">
        <v>23.205839000000001</v>
      </c>
      <c r="J2">
        <v>56.249279999999999</v>
      </c>
      <c r="K2">
        <v>51.881901999999997</v>
      </c>
      <c r="L2">
        <v>104.544005</v>
      </c>
      <c r="M2">
        <v>-622.49877600000002</v>
      </c>
      <c r="N2">
        <v>1.87096</v>
      </c>
      <c r="O2">
        <v>11.668563000000001</v>
      </c>
      <c r="P2">
        <f t="shared" ref="P2:P65" si="0" xml:space="preserve"> N2*0.001/60</f>
        <v>3.1182666666666669E-5</v>
      </c>
      <c r="Q2" cm="1">
        <f t="array" ref="Q2">[1]!PropsSI("D","T",J2+273.15,"P",101325,"Water")</f>
        <v>985.08336984480673</v>
      </c>
      <c r="R2" cm="1">
        <f t="array" ref="R2">[1]!PropsSI("D","T",K2+273.15,"P",101325,"Water")</f>
        <v>987.17233451141487</v>
      </c>
      <c r="S2">
        <f t="shared" ref="S2:S65" si="1">(Q2+R2)/2</f>
        <v>986.12785217811074</v>
      </c>
      <c r="T2" cm="1">
        <f t="array" ref="T2">[1]!PropsSI("H","T",J2+273.15,"P",101325,"Water")</f>
        <v>235555.04605749241</v>
      </c>
      <c r="U2" cm="1">
        <f t="array" ref="U2">[1]!PropsSI("H","T",K2+273.15,"P",101325,"Water")</f>
        <v>217287.88752329591</v>
      </c>
      <c r="V2">
        <f t="shared" ref="V2:V65" si="2">S2*P2*(T2-U2)</f>
        <v>561.71688049521026</v>
      </c>
      <c r="W2" s="2">
        <f>AVERAGE(V10:V88)</f>
        <v>563.12075988789661</v>
      </c>
    </row>
    <row r="3" spans="1:23" x14ac:dyDescent="0.2">
      <c r="A3">
        <v>44660.837498842797</v>
      </c>
      <c r="B3">
        <v>20.445491000000001</v>
      </c>
      <c r="C3">
        <v>20.55782</v>
      </c>
      <c r="D3">
        <v>20.255362999999999</v>
      </c>
      <c r="E3">
        <v>20.355691</v>
      </c>
      <c r="F3">
        <v>30.916419999999999</v>
      </c>
      <c r="G3">
        <v>28.409096000000002</v>
      </c>
      <c r="H3">
        <v>26.961288</v>
      </c>
      <c r="I3">
        <v>23.326433000000002</v>
      </c>
      <c r="J3">
        <v>56.248165999999998</v>
      </c>
      <c r="K3">
        <v>51.881583999999997</v>
      </c>
      <c r="L3">
        <v>108.334835</v>
      </c>
      <c r="M3">
        <v>-622.46857299999999</v>
      </c>
      <c r="N3">
        <v>1.8689849999999999</v>
      </c>
      <c r="O3">
        <v>11.679441000000001</v>
      </c>
      <c r="P3">
        <f t="shared" si="0"/>
        <v>3.1149750000000001E-5</v>
      </c>
      <c r="Q3" cm="1">
        <f t="array" ref="Q3">[1]!PropsSI("D","T",J3+273.15,"P",101325,"Water")</f>
        <v>985.08391781659611</v>
      </c>
      <c r="R3" cm="1">
        <f t="array" ref="R3">[1]!PropsSI("D","T",K3+273.15,"P",101325,"Water")</f>
        <v>987.17248222523074</v>
      </c>
      <c r="S3">
        <f t="shared" si="1"/>
        <v>986.12820002091348</v>
      </c>
      <c r="T3" cm="1">
        <f t="array" ref="T3">[1]!PropsSI("H","T",J3+273.15,"P",101325,"Water")</f>
        <v>235550.38572756038</v>
      </c>
      <c r="U3" cm="1">
        <f t="array" ref="U3">[1]!PropsSI("H","T",K3+273.15,"P",101325,"Water")</f>
        <v>217286.55767800816</v>
      </c>
      <c r="V3">
        <f t="shared" si="2"/>
        <v>561.02182104291796</v>
      </c>
      <c r="W3" s="2"/>
    </row>
    <row r="4" spans="1:23" x14ac:dyDescent="0.2">
      <c r="A4">
        <v>44660.837556713101</v>
      </c>
      <c r="B4">
        <v>20.416964</v>
      </c>
      <c r="C4">
        <v>20.551354</v>
      </c>
      <c r="D4">
        <v>20.201314</v>
      </c>
      <c r="E4">
        <v>20.316673000000002</v>
      </c>
      <c r="F4">
        <v>30.863309000000001</v>
      </c>
      <c r="G4">
        <v>28.394991000000001</v>
      </c>
      <c r="H4">
        <v>26.354610000000001</v>
      </c>
      <c r="I4">
        <v>23.011600999999999</v>
      </c>
      <c r="J4">
        <v>56.246414999999999</v>
      </c>
      <c r="K4">
        <v>51.881265999999997</v>
      </c>
      <c r="L4">
        <v>103.884854</v>
      </c>
      <c r="M4">
        <v>-622.50938699999995</v>
      </c>
      <c r="N4">
        <v>1.8732629999999999</v>
      </c>
      <c r="O4">
        <v>11.679568</v>
      </c>
      <c r="P4">
        <f t="shared" si="0"/>
        <v>3.1221050000000002E-5</v>
      </c>
      <c r="Q4" cm="1">
        <f t="array" ref="Q4">[1]!PropsSI("D","T",J4+273.15,"P",101325,"Water")</f>
        <v>985.08477911055252</v>
      </c>
      <c r="R4" cm="1">
        <f t="array" ref="R4">[1]!PropsSI("D","T",K4+273.15,"P",101325,"Water")</f>
        <v>987.17262993840927</v>
      </c>
      <c r="S4">
        <f t="shared" si="1"/>
        <v>986.1287045244809</v>
      </c>
      <c r="T4" cm="1">
        <f t="array" ref="T4">[1]!PropsSI("H","T",J4+273.15,"P",101325,"Water")</f>
        <v>235543.06055997603</v>
      </c>
      <c r="U4" cm="1">
        <f t="array" ref="U4">[1]!PropsSI("H","T",K4+273.15,"P",101325,"Water")</f>
        <v>217285.22783273287</v>
      </c>
      <c r="V4">
        <f t="shared" si="2"/>
        <v>562.12167182419466</v>
      </c>
      <c r="W4" s="2"/>
    </row>
    <row r="5" spans="1:23" x14ac:dyDescent="0.2">
      <c r="A5">
        <v>44660.837614583499</v>
      </c>
      <c r="B5">
        <v>20.438586999999998</v>
      </c>
      <c r="C5">
        <v>20.585096</v>
      </c>
      <c r="D5">
        <v>20.281708999999999</v>
      </c>
      <c r="E5">
        <v>20.35397</v>
      </c>
      <c r="F5">
        <v>30.836590999999999</v>
      </c>
      <c r="G5">
        <v>28.426085</v>
      </c>
      <c r="H5">
        <v>27.558394</v>
      </c>
      <c r="I5">
        <v>23.518281999999999</v>
      </c>
      <c r="J5">
        <v>56.245460000000001</v>
      </c>
      <c r="K5">
        <v>51.884605000000001</v>
      </c>
      <c r="L5">
        <v>106.73124199999999</v>
      </c>
      <c r="M5">
        <v>-622.47020599999996</v>
      </c>
      <c r="N5">
        <v>1.876009</v>
      </c>
      <c r="O5">
        <v>11.710804</v>
      </c>
      <c r="P5">
        <f t="shared" si="0"/>
        <v>3.1266816666666667E-5</v>
      </c>
      <c r="Q5" cm="1">
        <f t="array" ref="Q5">[1]!PropsSI("D","T",J5+273.15,"P",101325,"Water")</f>
        <v>985.08524885460167</v>
      </c>
      <c r="R5" cm="1">
        <f t="array" ref="R5">[1]!PropsSI("D","T",K5+273.15,"P",101325,"Water")</f>
        <v>987.17107891760975</v>
      </c>
      <c r="S5">
        <f t="shared" si="1"/>
        <v>986.12816388610577</v>
      </c>
      <c r="T5" cm="1">
        <f t="array" ref="T5">[1]!PropsSI("H","T",J5+273.15,"P",101325,"Water")</f>
        <v>235539.06539482565</v>
      </c>
      <c r="U5" cm="1">
        <f t="array" ref="U5">[1]!PropsSI("H","T",K5+273.15,"P",101325,"Water")</f>
        <v>217299.1912096228</v>
      </c>
      <c r="V5">
        <f t="shared" si="2"/>
        <v>562.39165516478158</v>
      </c>
      <c r="W5" s="2"/>
    </row>
    <row r="6" spans="1:23" x14ac:dyDescent="0.2">
      <c r="A6">
        <v>46122.837672453701</v>
      </c>
      <c r="B6">
        <v>20.481020000000001</v>
      </c>
      <c r="C6">
        <v>20.627400999999999</v>
      </c>
      <c r="D6">
        <v>20.243703</v>
      </c>
      <c r="E6">
        <v>20.339556999999999</v>
      </c>
      <c r="F6">
        <v>31.158432999999999</v>
      </c>
      <c r="G6">
        <v>28.444383999999999</v>
      </c>
      <c r="H6">
        <v>27.138079000000001</v>
      </c>
      <c r="I6">
        <v>23.590796999999998</v>
      </c>
      <c r="J6">
        <v>56.245460000000001</v>
      </c>
      <c r="K6">
        <v>51.886353</v>
      </c>
      <c r="L6">
        <v>104.447275</v>
      </c>
      <c r="M6">
        <v>-622.49510199999997</v>
      </c>
      <c r="N6">
        <v>1.8746689999999999</v>
      </c>
      <c r="O6">
        <v>11.671041000000001</v>
      </c>
      <c r="P6">
        <f t="shared" si="0"/>
        <v>3.1244483333333332E-5</v>
      </c>
      <c r="Q6" cm="1">
        <f t="array" ref="Q6">[1]!PropsSI("D","T",J6+273.15,"P",101325,"Water")</f>
        <v>985.08524885460167</v>
      </c>
      <c r="R6" cm="1">
        <f t="array" ref="R6">[1]!PropsSI("D","T",K6+273.15,"P",101325,"Water")</f>
        <v>987.17026691410967</v>
      </c>
      <c r="S6">
        <f t="shared" si="1"/>
        <v>986.12775788435567</v>
      </c>
      <c r="T6" cm="1">
        <f t="array" ref="T6">[1]!PropsSI("H","T",J6+273.15,"P",101325,"Water")</f>
        <v>235539.06539482565</v>
      </c>
      <c r="U6" cm="1">
        <f t="array" ref="U6">[1]!PropsSI("H","T",K6+273.15,"P",101325,"Water")</f>
        <v>217306.50117888951</v>
      </c>
      <c r="V6">
        <f t="shared" si="2"/>
        <v>561.76448954292198</v>
      </c>
      <c r="W6" s="2"/>
    </row>
    <row r="7" spans="1:23" x14ac:dyDescent="0.2">
      <c r="A7">
        <v>46122.837730902778</v>
      </c>
      <c r="B7">
        <v>20.356531</v>
      </c>
      <c r="C7">
        <v>20.506755999999999</v>
      </c>
      <c r="D7">
        <v>20.191071999999998</v>
      </c>
      <c r="E7">
        <v>20.320779000000002</v>
      </c>
      <c r="F7">
        <v>30.928915</v>
      </c>
      <c r="G7">
        <v>28.481380000000001</v>
      </c>
      <c r="H7">
        <v>27.260287000000002</v>
      </c>
      <c r="I7">
        <v>23.274877</v>
      </c>
      <c r="J7">
        <v>56.247369999999997</v>
      </c>
      <c r="K7">
        <v>51.883969</v>
      </c>
      <c r="L7">
        <v>108.252799</v>
      </c>
      <c r="M7">
        <v>-622.50775499999997</v>
      </c>
      <c r="N7">
        <v>1.871038</v>
      </c>
      <c r="O7">
        <v>11.696749000000001</v>
      </c>
      <c r="P7">
        <f t="shared" si="0"/>
        <v>3.1183966666666665E-5</v>
      </c>
      <c r="Q7" cm="1">
        <f t="array" ref="Q7">[1]!PropsSI("D","T",J7+273.15,"P",101325,"Water")</f>
        <v>985.08430936090178</v>
      </c>
      <c r="R7" cm="1">
        <f t="array" ref="R7">[1]!PropsSI("D","T",K7+273.15,"P",101325,"Water")</f>
        <v>987.17137435566394</v>
      </c>
      <c r="S7">
        <f t="shared" si="1"/>
        <v>986.12784185828286</v>
      </c>
      <c r="T7" cm="1">
        <f t="array" ref="T7">[1]!PropsSI("H","T",J7+273.15,"P",101325,"Water")</f>
        <v>235547.05572546445</v>
      </c>
      <c r="U7" cm="1">
        <f t="array" ref="U7">[1]!PropsSI("H","T",K7+273.15,"P",101325,"Water")</f>
        <v>217296.53151852259</v>
      </c>
      <c r="V7">
        <f t="shared" si="2"/>
        <v>561.22876401553458</v>
      </c>
      <c r="W7" s="2"/>
    </row>
    <row r="8" spans="1:23" x14ac:dyDescent="0.2">
      <c r="A8">
        <v>46122.837788773148</v>
      </c>
      <c r="B8">
        <v>20.305662000000002</v>
      </c>
      <c r="C8">
        <v>20.534782</v>
      </c>
      <c r="D8">
        <v>20.127406000000001</v>
      </c>
      <c r="E8">
        <v>20.226299000000001</v>
      </c>
      <c r="F8">
        <v>30.868442999999999</v>
      </c>
      <c r="G8">
        <v>28.271076999999998</v>
      </c>
      <c r="H8">
        <v>26.841792999999999</v>
      </c>
      <c r="I8">
        <v>23.454435</v>
      </c>
      <c r="J8">
        <v>56.250076</v>
      </c>
      <c r="K8">
        <v>51.878245999999997</v>
      </c>
      <c r="L8">
        <v>110.666555</v>
      </c>
      <c r="M8">
        <v>-622.52775399999996</v>
      </c>
      <c r="N8">
        <v>1.870493</v>
      </c>
      <c r="O8">
        <v>11.537571</v>
      </c>
      <c r="P8">
        <f t="shared" si="0"/>
        <v>3.1174883333333335E-5</v>
      </c>
      <c r="Q8" cm="1">
        <f t="array" ref="Q8">[1]!PropsSI("D","T",J8+273.15,"P",101325,"Water")</f>
        <v>985.08297829122273</v>
      </c>
      <c r="R8" cm="1">
        <f t="array" ref="R8">[1]!PropsSI("D","T",K8+273.15,"P",101325,"Water")</f>
        <v>987.17403271677188</v>
      </c>
      <c r="S8">
        <f t="shared" si="1"/>
        <v>986.1285055039973</v>
      </c>
      <c r="T8" cm="1">
        <f t="array" ref="T8">[1]!PropsSI("H","T",J8+273.15,"P",101325,"Water")</f>
        <v>235558.37606016235</v>
      </c>
      <c r="U8" cm="1">
        <f t="array" ref="U8">[1]!PropsSI("H","T",K8+273.15,"P",101325,"Water")</f>
        <v>217272.59848622591</v>
      </c>
      <c r="V8">
        <f t="shared" si="2"/>
        <v>562.14944023122393</v>
      </c>
      <c r="W8" s="2"/>
    </row>
    <row r="9" spans="1:23" x14ac:dyDescent="0.2">
      <c r="A9">
        <v>46122.837846643517</v>
      </c>
      <c r="B9">
        <v>20.23442</v>
      </c>
      <c r="C9">
        <v>20.350859</v>
      </c>
      <c r="D9">
        <v>20.115504999999999</v>
      </c>
      <c r="E9">
        <v>20.220264</v>
      </c>
      <c r="F9">
        <v>30.815916999999999</v>
      </c>
      <c r="G9">
        <v>28.130755000000001</v>
      </c>
      <c r="H9">
        <v>26.779491</v>
      </c>
      <c r="I9">
        <v>23.280214999999998</v>
      </c>
      <c r="J9">
        <v>56.248643000000001</v>
      </c>
      <c r="K9">
        <v>51.878405000000001</v>
      </c>
      <c r="L9">
        <v>111.356725</v>
      </c>
      <c r="M9">
        <v>-622.50081599999999</v>
      </c>
      <c r="N9">
        <v>1.8726609999999999</v>
      </c>
      <c r="O9">
        <v>11.695249</v>
      </c>
      <c r="P9">
        <f t="shared" si="0"/>
        <v>3.1211016666666667E-5</v>
      </c>
      <c r="Q9" cm="1">
        <f t="array" ref="Q9">[1]!PropsSI("D","T",J9+273.15,"P",101325,"Water")</f>
        <v>985.08368318331077</v>
      </c>
      <c r="R9" cm="1">
        <f t="array" ref="R9">[1]!PropsSI("D","T",K9+273.15,"P",101325,"Water")</f>
        <v>987.17395886333929</v>
      </c>
      <c r="S9">
        <f t="shared" si="1"/>
        <v>986.12882102332503</v>
      </c>
      <c r="T9" cm="1">
        <f t="array" ref="T9">[1]!PropsSI("H","T",J9+273.15,"P",101325,"Water")</f>
        <v>235552.38121885149</v>
      </c>
      <c r="U9" cm="1">
        <f t="array" ref="U9">[1]!PropsSI("H","T",K9+273.15,"P",101325,"Water")</f>
        <v>217273.26340870128</v>
      </c>
      <c r="V9">
        <f t="shared" si="2"/>
        <v>562.596206378592</v>
      </c>
      <c r="W9" s="2"/>
    </row>
    <row r="10" spans="1:23" x14ac:dyDescent="0.2">
      <c r="A10">
        <v>44660.837904514097</v>
      </c>
      <c r="B10">
        <v>20.226285000000001</v>
      </c>
      <c r="C10">
        <v>20.355793999999999</v>
      </c>
      <c r="D10">
        <v>20.129493</v>
      </c>
      <c r="E10">
        <v>20.194592</v>
      </c>
      <c r="F10">
        <v>30.87321</v>
      </c>
      <c r="G10">
        <v>28.172094999999999</v>
      </c>
      <c r="H10">
        <v>27.038101999999999</v>
      </c>
      <c r="I10">
        <v>23.371040000000001</v>
      </c>
      <c r="J10">
        <v>56.248483999999998</v>
      </c>
      <c r="K10">
        <v>51.875385000000001</v>
      </c>
      <c r="L10">
        <v>115.161024</v>
      </c>
      <c r="M10">
        <v>-622.49714300000005</v>
      </c>
      <c r="N10">
        <v>1.8777379999999999</v>
      </c>
      <c r="O10">
        <v>11.495291999999999</v>
      </c>
      <c r="P10">
        <f t="shared" si="0"/>
        <v>3.1295633333333332E-5</v>
      </c>
      <c r="Q10" cm="1">
        <f t="array" ref="Q10">[1]!PropsSI("D","T",J10+273.15,"P",101325,"Water")</f>
        <v>985.08376139455288</v>
      </c>
      <c r="R10" cm="1">
        <f t="array" ref="R10">[1]!PropsSI("D","T",K10+273.15,"P",101325,"Water")</f>
        <v>987.17536158622784</v>
      </c>
      <c r="S10">
        <f t="shared" si="1"/>
        <v>986.12956149039042</v>
      </c>
      <c r="T10" cm="1">
        <f t="array" ref="T10">[1]!PropsSI("H","T",J10+273.15,"P",101325,"Water")</f>
        <v>235551.71605505852</v>
      </c>
      <c r="U10" cm="1">
        <f t="array" ref="U10">[1]!PropsSI("H","T",K10+273.15,"P",101325,"Water")</f>
        <v>217260.63406486469</v>
      </c>
      <c r="V10">
        <f t="shared" si="2"/>
        <v>564.49112631464095</v>
      </c>
    </row>
    <row r="11" spans="1:23" x14ac:dyDescent="0.2">
      <c r="A11">
        <v>44660.837962963102</v>
      </c>
      <c r="B11">
        <v>20.473607000000001</v>
      </c>
      <c r="C11">
        <v>20.620051</v>
      </c>
      <c r="D11">
        <v>20.218247999999999</v>
      </c>
      <c r="E11">
        <v>20.392467</v>
      </c>
      <c r="F11">
        <v>31.059055000000001</v>
      </c>
      <c r="G11">
        <v>28.497358999999999</v>
      </c>
      <c r="H11">
        <v>27.341958999999999</v>
      </c>
      <c r="I11">
        <v>23.508206999999999</v>
      </c>
      <c r="J11">
        <v>56.247847</v>
      </c>
      <c r="K11">
        <v>51.876179999999998</v>
      </c>
      <c r="L11">
        <v>103.070201</v>
      </c>
      <c r="M11">
        <v>-622.48326599999996</v>
      </c>
      <c r="N11">
        <v>1.872563</v>
      </c>
      <c r="O11">
        <v>11.580598999999999</v>
      </c>
      <c r="P11">
        <f t="shared" si="0"/>
        <v>3.1209383333333336E-5</v>
      </c>
      <c r="Q11" cm="1">
        <f t="array" ref="Q11">[1]!PropsSI("D","T",J11+273.15,"P",101325,"Water")</f>
        <v>985.08407472991314</v>
      </c>
      <c r="R11" cm="1">
        <f t="array" ref="R11">[1]!PropsSI("D","T",K11+273.15,"P",101325,"Water")</f>
        <v>987.17499233209026</v>
      </c>
      <c r="S11">
        <f t="shared" si="1"/>
        <v>986.1295335310017</v>
      </c>
      <c r="T11" cm="1">
        <f t="array" ref="T11">[1]!PropsSI("H","T",J11+273.15,"P",101325,"Water")</f>
        <v>235549.05121662107</v>
      </c>
      <c r="U11" cm="1">
        <f t="array" ref="U11">[1]!PropsSI("H","T",K11+273.15,"P",101325,"Water")</f>
        <v>217263.95867660121</v>
      </c>
      <c r="V11">
        <f t="shared" si="2"/>
        <v>562.75105233571094</v>
      </c>
    </row>
    <row r="12" spans="1:23" x14ac:dyDescent="0.2">
      <c r="A12">
        <v>44660.838021412201</v>
      </c>
      <c r="B12">
        <v>20.411197999999999</v>
      </c>
      <c r="C12">
        <v>20.553297000000001</v>
      </c>
      <c r="D12">
        <v>20.264534999999999</v>
      </c>
      <c r="E12">
        <v>20.428166999999998</v>
      </c>
      <c r="F12">
        <v>30.981942</v>
      </c>
      <c r="G12">
        <v>28.063932000000001</v>
      </c>
      <c r="H12">
        <v>27.202988000000001</v>
      </c>
      <c r="I12">
        <v>23.231748</v>
      </c>
      <c r="J12">
        <v>56.245936999999998</v>
      </c>
      <c r="K12">
        <v>51.876497000000001</v>
      </c>
      <c r="L12">
        <v>113.96067600000001</v>
      </c>
      <c r="M12">
        <v>-622.49102100000005</v>
      </c>
      <c r="N12">
        <v>1.8748940000000001</v>
      </c>
      <c r="O12">
        <v>11.68521</v>
      </c>
      <c r="P12">
        <f t="shared" si="0"/>
        <v>3.124823333333333E-5</v>
      </c>
      <c r="Q12" cm="1">
        <f t="array" ref="Q12">[1]!PropsSI("D","T",J12+273.15,"P",101325,"Water")</f>
        <v>985.08501422922291</v>
      </c>
      <c r="R12" cm="1">
        <f t="array" ref="R12">[1]!PropsSI("D","T",K12+273.15,"P",101325,"Water")</f>
        <v>987.17484509374424</v>
      </c>
      <c r="S12">
        <f t="shared" si="1"/>
        <v>986.12992966148363</v>
      </c>
      <c r="T12" cm="1">
        <f t="array" ref="T12">[1]!PropsSI("H","T",J12+273.15,"P",101325,"Water")</f>
        <v>235541.06088563471</v>
      </c>
      <c r="U12" cm="1">
        <f t="array" ref="U12">[1]!PropsSI("H","T",K12+273.15,"P",101325,"Water")</f>
        <v>217265.28433946232</v>
      </c>
      <c r="V12">
        <f t="shared" si="2"/>
        <v>563.16473062013756</v>
      </c>
    </row>
    <row r="13" spans="1:23" x14ac:dyDescent="0.2">
      <c r="A13">
        <v>44660.8380798613</v>
      </c>
      <c r="B13">
        <v>20.344533999999999</v>
      </c>
      <c r="C13">
        <v>20.442163999999998</v>
      </c>
      <c r="D13">
        <v>20.221886999999999</v>
      </c>
      <c r="E13">
        <v>20.348749000000002</v>
      </c>
      <c r="F13">
        <v>31.018789000000002</v>
      </c>
      <c r="G13">
        <v>28.561125000000001</v>
      </c>
      <c r="H13">
        <v>26.994641000000001</v>
      </c>
      <c r="I13">
        <v>23.154817999999999</v>
      </c>
      <c r="J13">
        <v>56.246256000000002</v>
      </c>
      <c r="K13">
        <v>51.869343999999998</v>
      </c>
      <c r="L13">
        <v>109.755989</v>
      </c>
      <c r="M13">
        <v>-622.47918500000003</v>
      </c>
      <c r="N13">
        <v>1.874649</v>
      </c>
      <c r="O13">
        <v>11.621824</v>
      </c>
      <c r="P13">
        <f t="shared" si="0"/>
        <v>3.1244150000000005E-5</v>
      </c>
      <c r="Q13" cm="1">
        <f t="array" ref="Q13">[1]!PropsSI("D","T",J13+273.15,"P",101325,"Water")</f>
        <v>985.08485731963299</v>
      </c>
      <c r="R13" cm="1">
        <f t="array" ref="R13">[1]!PropsSI("D","T",K13+273.15,"P",101325,"Water")</f>
        <v>987.17816732075175</v>
      </c>
      <c r="S13">
        <f t="shared" si="1"/>
        <v>986.13151232019231</v>
      </c>
      <c r="T13" cm="1">
        <f t="array" ref="T13">[1]!PropsSI("H","T",J13+273.15,"P",101325,"Water")</f>
        <v>235542.39539628322</v>
      </c>
      <c r="U13" cm="1">
        <f t="array" ref="U13">[1]!PropsSI("H","T",K13+273.15,"P",101325,"Water")</f>
        <v>217235.37120385226</v>
      </c>
      <c r="V13">
        <f t="shared" si="2"/>
        <v>564.0548095744341</v>
      </c>
    </row>
    <row r="14" spans="1:23" x14ac:dyDescent="0.2">
      <c r="A14">
        <v>44660.838138310399</v>
      </c>
      <c r="B14">
        <v>20.273948000000001</v>
      </c>
      <c r="C14">
        <v>20.490572</v>
      </c>
      <c r="D14">
        <v>20.154693000000002</v>
      </c>
      <c r="E14">
        <v>20.277425999999998</v>
      </c>
      <c r="F14">
        <v>31.013458</v>
      </c>
      <c r="G14">
        <v>28.158538</v>
      </c>
      <c r="H14">
        <v>27.442634999999999</v>
      </c>
      <c r="I14">
        <v>23.403960000000001</v>
      </c>
      <c r="J14">
        <v>56.249121000000002</v>
      </c>
      <c r="K14">
        <v>51.875067000000001</v>
      </c>
      <c r="L14">
        <v>121.29786</v>
      </c>
      <c r="M14">
        <v>-622.47918500000003</v>
      </c>
      <c r="N14">
        <v>1.8741080000000001</v>
      </c>
      <c r="O14">
        <v>11.509957</v>
      </c>
      <c r="P14">
        <f t="shared" si="0"/>
        <v>3.1235133333333335E-5</v>
      </c>
      <c r="Q14" cm="1">
        <f t="array" ref="Q14">[1]!PropsSI("D","T",J14+273.15,"P",101325,"Water")</f>
        <v>985.0834480566823</v>
      </c>
      <c r="R14" cm="1">
        <f t="array" ref="R14">[1]!PropsSI("D","T",K14+273.15,"P",101325,"Water")</f>
        <v>987.17550928675303</v>
      </c>
      <c r="S14">
        <f t="shared" si="1"/>
        <v>986.12947867171761</v>
      </c>
      <c r="T14" cm="1">
        <f t="array" ref="T14">[1]!PropsSI("H","T",J14+273.15,"P",101325,"Water")</f>
        <v>235554.38089368597</v>
      </c>
      <c r="U14" cm="1">
        <f t="array" ref="U14">[1]!PropsSI("H","T",K14+273.15,"P",101325,"Water")</f>
        <v>217259.30422016728</v>
      </c>
      <c r="V14">
        <f t="shared" si="2"/>
        <v>563.52286148963276</v>
      </c>
    </row>
    <row r="15" spans="1:23" x14ac:dyDescent="0.2">
      <c r="A15">
        <v>46122.838196180557</v>
      </c>
      <c r="B15">
        <v>20.247971</v>
      </c>
      <c r="C15">
        <v>20.397493999999998</v>
      </c>
      <c r="D15">
        <v>20.146118000000001</v>
      </c>
      <c r="E15">
        <v>20.262046999999999</v>
      </c>
      <c r="F15">
        <v>30.966691000000001</v>
      </c>
      <c r="G15">
        <v>28.196867999999998</v>
      </c>
      <c r="H15">
        <v>27.249842999999998</v>
      </c>
      <c r="I15">
        <v>23.317488999999998</v>
      </c>
      <c r="J15">
        <v>56.249597999999999</v>
      </c>
      <c r="K15">
        <v>51.877291999999997</v>
      </c>
      <c r="L15">
        <v>112.092606</v>
      </c>
      <c r="M15">
        <v>-622.50938699999995</v>
      </c>
      <c r="N15">
        <v>1.8760870000000001</v>
      </c>
      <c r="O15">
        <v>11.374758</v>
      </c>
      <c r="P15">
        <f t="shared" si="0"/>
        <v>3.126811666666667E-5</v>
      </c>
      <c r="Q15" cm="1">
        <f t="array" ref="Q15">[1]!PropsSI("D","T",J15+273.15,"P",101325,"Water")</f>
        <v>985.08321342059435</v>
      </c>
      <c r="R15" cm="1">
        <f t="array" ref="R15">[1]!PropsSI("D","T",K15+273.15,"P",101325,"Water")</f>
        <v>987.17447583391754</v>
      </c>
      <c r="S15">
        <f t="shared" si="1"/>
        <v>986.12884462725594</v>
      </c>
      <c r="T15" cm="1">
        <f t="array" ref="T15">[1]!PropsSI("H","T",J15+273.15,"P",101325,"Water")</f>
        <v>235556.37638514908</v>
      </c>
      <c r="U15" cm="1">
        <f t="array" ref="U15">[1]!PropsSI("H","T",K15+273.15,"P",101325,"Water")</f>
        <v>217268.60895149157</v>
      </c>
      <c r="V15">
        <f t="shared" si="2"/>
        <v>563.89218550485464</v>
      </c>
    </row>
    <row r="16" spans="1:23" x14ac:dyDescent="0.2">
      <c r="A16">
        <v>46122.838254629627</v>
      </c>
      <c r="B16">
        <v>20.279357999999998</v>
      </c>
      <c r="C16">
        <v>20.440916999999999</v>
      </c>
      <c r="D16">
        <v>20.154253000000001</v>
      </c>
      <c r="E16">
        <v>20.254936000000001</v>
      </c>
      <c r="F16">
        <v>30.880628999999999</v>
      </c>
      <c r="G16">
        <v>27.936164999999999</v>
      </c>
      <c r="H16">
        <v>26.890222999999999</v>
      </c>
      <c r="I16">
        <v>22.983855999999999</v>
      </c>
      <c r="J16">
        <v>56.250394</v>
      </c>
      <c r="K16">
        <v>51.878087000000001</v>
      </c>
      <c r="L16">
        <v>94.509405000000001</v>
      </c>
      <c r="M16">
        <v>-622.46326699999997</v>
      </c>
      <c r="N16">
        <v>1.874231</v>
      </c>
      <c r="O16">
        <v>11.819494000000001</v>
      </c>
      <c r="P16">
        <f t="shared" si="0"/>
        <v>3.1237183333333336E-5</v>
      </c>
      <c r="Q16" cm="1">
        <f t="array" ref="Q16">[1]!PropsSI("D","T",J16+273.15,"P",101325,"Water")</f>
        <v>985.08282186545307</v>
      </c>
      <c r="R16" cm="1">
        <f t="array" ref="R16">[1]!PropsSI("D","T",K16+273.15,"P",101325,"Water")</f>
        <v>987.17410657003461</v>
      </c>
      <c r="S16">
        <f t="shared" si="1"/>
        <v>986.12846421774384</v>
      </c>
      <c r="T16" cm="1">
        <f t="array" ref="T16">[1]!PropsSI("H","T",J16+273.15,"P",101325,"Water")</f>
        <v>235559.70638788055</v>
      </c>
      <c r="U16" cm="1">
        <f t="array" ref="U16">[1]!PropsSI("H","T",K16+273.15,"P",101325,"Water")</f>
        <v>217271.93356370012</v>
      </c>
      <c r="V16">
        <f t="shared" si="2"/>
        <v>563.33427957066704</v>
      </c>
    </row>
    <row r="17" spans="1:22" x14ac:dyDescent="0.2">
      <c r="A17">
        <v>46122.838312499996</v>
      </c>
      <c r="B17">
        <v>20.240220000000001</v>
      </c>
      <c r="C17">
        <v>20.278599</v>
      </c>
      <c r="D17">
        <v>20.162343</v>
      </c>
      <c r="E17">
        <v>20.255590999999999</v>
      </c>
      <c r="F17">
        <v>30.904895</v>
      </c>
      <c r="G17">
        <v>28.045168</v>
      </c>
      <c r="H17">
        <v>27.281613</v>
      </c>
      <c r="I17">
        <v>23.595665</v>
      </c>
      <c r="J17">
        <v>56.246414999999999</v>
      </c>
      <c r="K17">
        <v>51.877927999999997</v>
      </c>
      <c r="L17">
        <v>112.658292</v>
      </c>
      <c r="M17">
        <v>-622.47918500000003</v>
      </c>
      <c r="N17">
        <v>1.877238</v>
      </c>
      <c r="O17">
        <v>11.628952999999999</v>
      </c>
      <c r="P17">
        <f t="shared" si="0"/>
        <v>3.1287300000000001E-5</v>
      </c>
      <c r="Q17" cm="1">
        <f t="array" ref="Q17">[1]!PropsSI("D","T",J17+273.15,"P",101325,"Water")</f>
        <v>985.08477911055252</v>
      </c>
      <c r="R17" cm="1">
        <f t="array" ref="R17">[1]!PropsSI("D","T",K17+273.15,"P",101325,"Water")</f>
        <v>987.17418042314421</v>
      </c>
      <c r="S17">
        <f t="shared" si="1"/>
        <v>986.12947976684836</v>
      </c>
      <c r="T17" cm="1">
        <f t="array" ref="T17">[1]!PropsSI("H","T",J17+273.15,"P",101325,"Water")</f>
        <v>235543.06055997603</v>
      </c>
      <c r="U17" cm="1">
        <f t="array" ref="U17">[1]!PropsSI("H","T",K17+273.15,"P",101325,"Water")</f>
        <v>217271.26864124992</v>
      </c>
      <c r="V17">
        <f t="shared" si="2"/>
        <v>563.74560515486041</v>
      </c>
    </row>
    <row r="18" spans="1:22" x14ac:dyDescent="0.2">
      <c r="A18">
        <v>46122.838370949074</v>
      </c>
      <c r="B18">
        <v>20.204923000000001</v>
      </c>
      <c r="C18">
        <v>20.268443000000001</v>
      </c>
      <c r="D18">
        <v>20.170527</v>
      </c>
      <c r="E18">
        <v>20.238419</v>
      </c>
      <c r="F18">
        <v>30.854761</v>
      </c>
      <c r="G18">
        <v>28.368395</v>
      </c>
      <c r="H18">
        <v>27.036905000000001</v>
      </c>
      <c r="I18">
        <v>23.546552999999999</v>
      </c>
      <c r="J18">
        <v>56.243231999999999</v>
      </c>
      <c r="K18">
        <v>51.866323999999999</v>
      </c>
      <c r="L18">
        <v>100.652771</v>
      </c>
      <c r="M18">
        <v>-622.47387900000001</v>
      </c>
      <c r="N18">
        <v>1.8671450000000001</v>
      </c>
      <c r="O18">
        <v>11.740171999999999</v>
      </c>
      <c r="P18">
        <f t="shared" si="0"/>
        <v>3.1119083333333335E-5</v>
      </c>
      <c r="Q18" cm="1">
        <f t="array" ref="Q18">[1]!PropsSI("D","T",J18+273.15,"P",101325,"Water")</f>
        <v>985.08634473839129</v>
      </c>
      <c r="R18" cm="1">
        <f t="array" ref="R18">[1]!PropsSI("D","T",K18+273.15,"P",101325,"Water")</f>
        <v>987.17956986790898</v>
      </c>
      <c r="S18">
        <f t="shared" si="1"/>
        <v>986.13295730315008</v>
      </c>
      <c r="T18" cm="1">
        <f t="array" ref="T18">[1]!PropsSI("H","T",J18+273.15,"P",101325,"Water")</f>
        <v>235529.74473864396</v>
      </c>
      <c r="U18" cm="1">
        <f t="array" ref="U18">[1]!PropsSI("H","T",K18+273.15,"P",101325,"Water")</f>
        <v>217222.74186857673</v>
      </c>
      <c r="V18">
        <f t="shared" si="2"/>
        <v>561.79713322303053</v>
      </c>
    </row>
    <row r="19" spans="1:22" x14ac:dyDescent="0.2">
      <c r="A19">
        <v>46122.838428819443</v>
      </c>
      <c r="B19">
        <v>20.234684999999999</v>
      </c>
      <c r="C19">
        <v>20.395696000000001</v>
      </c>
      <c r="D19">
        <v>20.195156000000001</v>
      </c>
      <c r="E19">
        <v>20.271066000000001</v>
      </c>
      <c r="F19">
        <v>30.740310999999998</v>
      </c>
      <c r="G19">
        <v>28.394642000000001</v>
      </c>
      <c r="H19">
        <v>27.026405</v>
      </c>
      <c r="I19">
        <v>23.212762000000001</v>
      </c>
      <c r="J19">
        <v>56.243709000000003</v>
      </c>
      <c r="K19">
        <v>51.867117999999998</v>
      </c>
      <c r="L19">
        <v>108.280961</v>
      </c>
      <c r="M19">
        <v>-622.493878</v>
      </c>
      <c r="N19">
        <v>1.8735630000000001</v>
      </c>
      <c r="O19">
        <v>11.728391999999999</v>
      </c>
      <c r="P19">
        <f t="shared" si="0"/>
        <v>3.1226050000000006E-5</v>
      </c>
      <c r="Q19" cm="1">
        <f t="array" ref="Q19">[1]!PropsSI("D","T",J19+273.15,"P",101325,"Water")</f>
        <v>985.08611011952246</v>
      </c>
      <c r="R19" cm="1">
        <f t="array" ref="R19">[1]!PropsSI("D","T",K19+273.15,"P",101325,"Water")</f>
        <v>987.17920112440004</v>
      </c>
      <c r="S19">
        <f t="shared" si="1"/>
        <v>986.13265562196125</v>
      </c>
      <c r="T19" cm="1">
        <f t="array" ref="T19">[1]!PropsSI("H","T",J19+273.15,"P",101325,"Water")</f>
        <v>235531.74022905482</v>
      </c>
      <c r="U19" cm="1">
        <f t="array" ref="U19">[1]!PropsSI("H","T",K19+273.15,"P",101325,"Water")</f>
        <v>217226.06229618922</v>
      </c>
      <c r="V19">
        <f t="shared" si="2"/>
        <v>563.68724602634416</v>
      </c>
    </row>
    <row r="20" spans="1:22" x14ac:dyDescent="0.2">
      <c r="A20">
        <v>46122.838486689812</v>
      </c>
      <c r="B20">
        <v>20.215668000000001</v>
      </c>
      <c r="C20">
        <v>20.349214</v>
      </c>
      <c r="D20">
        <v>20.131271000000002</v>
      </c>
      <c r="E20">
        <v>20.231043</v>
      </c>
      <c r="F20">
        <v>30.830660999999999</v>
      </c>
      <c r="G20">
        <v>27.830765</v>
      </c>
      <c r="H20">
        <v>26.931177999999999</v>
      </c>
      <c r="I20">
        <v>23.211998000000001</v>
      </c>
      <c r="J20">
        <v>56.244027000000003</v>
      </c>
      <c r="K20">
        <v>51.869503000000002</v>
      </c>
      <c r="L20">
        <v>102.51227</v>
      </c>
      <c r="M20">
        <v>-622.50408100000004</v>
      </c>
      <c r="N20">
        <v>1.873202</v>
      </c>
      <c r="O20">
        <v>11.672121000000001</v>
      </c>
      <c r="P20">
        <f t="shared" si="0"/>
        <v>3.1220033333333336E-5</v>
      </c>
      <c r="Q20" cm="1">
        <f t="array" ref="Q20">[1]!PropsSI("D","T",J20+273.15,"P",101325,"Water")</f>
        <v>985.08595370615762</v>
      </c>
      <c r="R20" cm="1">
        <f t="array" ref="R20">[1]!PropsSI("D","T",K20+273.15,"P",101325,"Water")</f>
        <v>987.1780934763907</v>
      </c>
      <c r="S20">
        <f t="shared" si="1"/>
        <v>986.13202359127422</v>
      </c>
      <c r="T20" cm="1">
        <f t="array" ref="T20">[1]!PropsSI("H","T",J20+273.15,"P",101325,"Water")</f>
        <v>235533.07055604801</v>
      </c>
      <c r="U20" cm="1">
        <f t="array" ref="U20">[1]!PropsSI("H","T",K20+273.15,"P",101325,"Water")</f>
        <v>217236.03612583291</v>
      </c>
      <c r="V20">
        <f t="shared" si="2"/>
        <v>563.31216483250262</v>
      </c>
    </row>
    <row r="21" spans="1:22" x14ac:dyDescent="0.2">
      <c r="A21">
        <v>46122.838545138889</v>
      </c>
      <c r="B21">
        <v>20.230936</v>
      </c>
      <c r="C21">
        <v>20.323025999999999</v>
      </c>
      <c r="D21">
        <v>20.146639</v>
      </c>
      <c r="E21">
        <v>20.258658</v>
      </c>
      <c r="F21">
        <v>30.655125999999999</v>
      </c>
      <c r="G21">
        <v>28.522781999999999</v>
      </c>
      <c r="H21">
        <v>27.300447999999999</v>
      </c>
      <c r="I21">
        <v>23.488847</v>
      </c>
      <c r="J21">
        <v>56.246892000000003</v>
      </c>
      <c r="K21">
        <v>51.870139000000002</v>
      </c>
      <c r="L21">
        <v>95.000400999999997</v>
      </c>
      <c r="M21">
        <v>-622.47306300000002</v>
      </c>
      <c r="N21">
        <v>1.8734519999999999</v>
      </c>
      <c r="O21">
        <v>11.944437000000001</v>
      </c>
      <c r="P21">
        <f t="shared" si="0"/>
        <v>3.1224199999999998E-5</v>
      </c>
      <c r="Q21" cm="1">
        <f t="array" ref="Q21">[1]!PropsSI("D","T",J21+273.15,"P",101325,"Water")</f>
        <v>985.08454448235659</v>
      </c>
      <c r="R21" cm="1">
        <f t="array" ref="R21">[1]!PropsSI("D","T",K21+273.15,"P",101325,"Water")</f>
        <v>987.17779809741705</v>
      </c>
      <c r="S21">
        <f t="shared" si="1"/>
        <v>986.13117128988688</v>
      </c>
      <c r="T21" cm="1">
        <f t="array" ref="T21">[1]!PropsSI("H","T",J21+273.15,"P",101325,"Water")</f>
        <v>235545.05605095578</v>
      </c>
      <c r="U21" cm="1">
        <f t="array" ref="U21">[1]!PropsSI("H","T",K21+273.15,"P",101325,"Water")</f>
        <v>217238.69581413644</v>
      </c>
      <c r="V21">
        <f t="shared" si="2"/>
        <v>563.67401066013485</v>
      </c>
    </row>
    <row r="22" spans="1:22" x14ac:dyDescent="0.2">
      <c r="A22">
        <v>46122.838603587959</v>
      </c>
      <c r="B22">
        <v>20.245069000000001</v>
      </c>
      <c r="C22">
        <v>20.442903999999999</v>
      </c>
      <c r="D22">
        <v>20.131633999999998</v>
      </c>
      <c r="E22">
        <v>20.243119</v>
      </c>
      <c r="F22">
        <v>30.725172000000001</v>
      </c>
      <c r="G22">
        <v>28.773631000000002</v>
      </c>
      <c r="H22">
        <v>26.878910999999999</v>
      </c>
      <c r="I22">
        <v>23.344481999999999</v>
      </c>
      <c r="J22">
        <v>56.248165999999998</v>
      </c>
      <c r="K22">
        <v>51.867913000000001</v>
      </c>
      <c r="L22">
        <v>109.151937</v>
      </c>
      <c r="M22">
        <v>-622.47714399999995</v>
      </c>
      <c r="N22">
        <v>1.872784</v>
      </c>
      <c r="O22">
        <v>11.701375000000001</v>
      </c>
      <c r="P22">
        <f t="shared" si="0"/>
        <v>3.1213066666666668E-5</v>
      </c>
      <c r="Q22" cm="1">
        <f t="array" ref="Q22">[1]!PropsSI("D","T",J22+273.15,"P",101325,"Water")</f>
        <v>985.08391781659611</v>
      </c>
      <c r="R22" cm="1">
        <f t="array" ref="R22">[1]!PropsSI("D","T",K22+273.15,"P",101325,"Water")</f>
        <v>987.17883191246926</v>
      </c>
      <c r="S22">
        <f t="shared" si="1"/>
        <v>986.13137486453275</v>
      </c>
      <c r="T22" cm="1">
        <f t="array" ref="T22">[1]!PropsSI("H","T",J22+273.15,"P",101325,"Water")</f>
        <v>235550.38572756038</v>
      </c>
      <c r="U22" cm="1">
        <f t="array" ref="U22">[1]!PropsSI("H","T",K22+273.15,"P",101325,"Water")</f>
        <v>217229.38690588874</v>
      </c>
      <c r="V22">
        <f t="shared" si="2"/>
        <v>563.92372112910778</v>
      </c>
    </row>
    <row r="23" spans="1:22" x14ac:dyDescent="0.2">
      <c r="A23">
        <v>46122.838661458336</v>
      </c>
      <c r="B23">
        <v>20.356555</v>
      </c>
      <c r="C23">
        <v>20.445958999999998</v>
      </c>
      <c r="D23">
        <v>20.133527999999998</v>
      </c>
      <c r="E23">
        <v>20.235803000000001</v>
      </c>
      <c r="F23">
        <v>30.789487999999999</v>
      </c>
      <c r="G23">
        <v>28.682942000000001</v>
      </c>
      <c r="H23">
        <v>26.762702999999998</v>
      </c>
      <c r="I23">
        <v>23.034649000000002</v>
      </c>
      <c r="J23">
        <v>56.247211</v>
      </c>
      <c r="K23">
        <v>51.869661999999998</v>
      </c>
      <c r="L23">
        <v>106.306366</v>
      </c>
      <c r="M23">
        <v>-622.49877600000002</v>
      </c>
      <c r="N23">
        <v>1.8712059999999999</v>
      </c>
      <c r="O23">
        <v>11.449417</v>
      </c>
      <c r="P23">
        <f t="shared" si="0"/>
        <v>3.1186766666666664E-5</v>
      </c>
      <c r="Q23" cm="1">
        <f t="array" ref="Q23">[1]!PropsSI("D","T",J23+273.15,"P",101325,"Water")</f>
        <v>985.08438757090494</v>
      </c>
      <c r="R23" cm="1">
        <f t="array" ref="R23">[1]!PropsSI("D","T",K23+273.15,"P",101325,"Water")</f>
        <v>987.17801963188901</v>
      </c>
      <c r="S23">
        <f t="shared" si="1"/>
        <v>986.13120360139692</v>
      </c>
      <c r="T23" cm="1">
        <f t="array" ref="T23">[1]!PropsSI("H","T",J23+273.15,"P",101325,"Water")</f>
        <v>235546.39056178683</v>
      </c>
      <c r="U23" cm="1">
        <f t="array" ref="U23">[1]!PropsSI("H","T",K23+273.15,"P",101325,"Water")</f>
        <v>217236.7010479171</v>
      </c>
      <c r="V23">
        <f t="shared" si="2"/>
        <v>563.10065428604059</v>
      </c>
    </row>
    <row r="24" spans="1:22" x14ac:dyDescent="0.2">
      <c r="A24">
        <v>46122.838719907406</v>
      </c>
      <c r="B24">
        <v>20.239867</v>
      </c>
      <c r="C24">
        <v>20.301931</v>
      </c>
      <c r="D24">
        <v>20.080513</v>
      </c>
      <c r="E24">
        <v>20.226068000000001</v>
      </c>
      <c r="F24">
        <v>30.728982999999999</v>
      </c>
      <c r="G24">
        <v>28.492262</v>
      </c>
      <c r="H24">
        <v>27.894535999999999</v>
      </c>
      <c r="I24">
        <v>23.455383000000001</v>
      </c>
      <c r="J24">
        <v>56.246574000000003</v>
      </c>
      <c r="K24">
        <v>51.872205000000001</v>
      </c>
      <c r="L24">
        <v>106.60145300000001</v>
      </c>
      <c r="M24">
        <v>-622.49714300000005</v>
      </c>
      <c r="N24">
        <v>1.870706</v>
      </c>
      <c r="O24">
        <v>11.474005999999999</v>
      </c>
      <c r="P24">
        <f t="shared" si="0"/>
        <v>3.1178433333333333E-5</v>
      </c>
      <c r="Q24" cm="1">
        <f t="array" ref="Q24">[1]!PropsSI("D","T",J24+273.15,"P",101325,"Water")</f>
        <v>985.08470090130515</v>
      </c>
      <c r="R24" cm="1">
        <f t="array" ref="R24">[1]!PropsSI("D","T",K24+273.15,"P",101325,"Water")</f>
        <v>987.17683856225619</v>
      </c>
      <c r="S24">
        <f t="shared" si="1"/>
        <v>986.13076973178067</v>
      </c>
      <c r="T24" cm="1">
        <f t="array" ref="T24">[1]!PropsSI("H","T",J24+273.15,"P",101325,"Water")</f>
        <v>235543.72572360153</v>
      </c>
      <c r="U24" cm="1">
        <f t="array" ref="U24">[1]!PropsSI("H","T",K24+273.15,"P",101325,"Water")</f>
        <v>217247.33561977951</v>
      </c>
      <c r="V24">
        <f t="shared" si="2"/>
        <v>562.54103814229268</v>
      </c>
    </row>
    <row r="25" spans="1:22" x14ac:dyDescent="0.2">
      <c r="A25">
        <v>46122.838778356483</v>
      </c>
      <c r="B25">
        <v>20.206529</v>
      </c>
      <c r="C25">
        <v>20.277232999999999</v>
      </c>
      <c r="D25">
        <v>20.149370000000001</v>
      </c>
      <c r="E25">
        <v>20.269629999999999</v>
      </c>
      <c r="F25">
        <v>30.662568</v>
      </c>
      <c r="G25">
        <v>28.30132</v>
      </c>
      <c r="H25">
        <v>26.896850000000001</v>
      </c>
      <c r="I25">
        <v>23.514211</v>
      </c>
      <c r="J25">
        <v>56.247211</v>
      </c>
      <c r="K25">
        <v>51.867913000000001</v>
      </c>
      <c r="L25">
        <v>111.07510600000001</v>
      </c>
      <c r="M25">
        <v>-622.49469399999998</v>
      </c>
      <c r="N25">
        <v>1.8694200000000001</v>
      </c>
      <c r="O25">
        <v>11.703586</v>
      </c>
      <c r="P25">
        <f t="shared" si="0"/>
        <v>3.1157E-5</v>
      </c>
      <c r="Q25" cm="1">
        <f t="array" ref="Q25">[1]!PropsSI("D","T",J25+273.15,"P",101325,"Water")</f>
        <v>985.08438757090494</v>
      </c>
      <c r="R25" cm="1">
        <f t="array" ref="R25">[1]!PropsSI("D","T",K25+273.15,"P",101325,"Water")</f>
        <v>987.17883191246926</v>
      </c>
      <c r="S25">
        <f t="shared" si="1"/>
        <v>986.13160974168704</v>
      </c>
      <c r="T25" cm="1">
        <f t="array" ref="T25">[1]!PropsSI("H","T",J25+273.15,"P",101325,"Water")</f>
        <v>235546.39056178683</v>
      </c>
      <c r="U25" cm="1">
        <f t="array" ref="U25">[1]!PropsSI("H","T",K25+273.15,"P",101325,"Water")</f>
        <v>217229.38690588874</v>
      </c>
      <c r="V25">
        <f t="shared" si="2"/>
        <v>562.7881526051209</v>
      </c>
    </row>
    <row r="26" spans="1:22" x14ac:dyDescent="0.2">
      <c r="A26">
        <v>46122.838836226852</v>
      </c>
      <c r="B26">
        <v>20.179870999999999</v>
      </c>
      <c r="C26">
        <v>20.274715</v>
      </c>
      <c r="D26">
        <v>20.107854</v>
      </c>
      <c r="E26">
        <v>20.175933000000001</v>
      </c>
      <c r="F26">
        <v>30.796848000000001</v>
      </c>
      <c r="G26">
        <v>28.292234000000001</v>
      </c>
      <c r="H26">
        <v>27.574632999999999</v>
      </c>
      <c r="I26">
        <v>23.628748000000002</v>
      </c>
      <c r="J26">
        <v>56.243071999999998</v>
      </c>
      <c r="K26">
        <v>51.855513999999999</v>
      </c>
      <c r="L26">
        <v>104.754198</v>
      </c>
      <c r="M26">
        <v>-622.48816399999998</v>
      </c>
      <c r="N26">
        <v>1.873567</v>
      </c>
      <c r="O26">
        <v>11.602698</v>
      </c>
      <c r="P26">
        <f t="shared" si="0"/>
        <v>3.1226116666666666E-5</v>
      </c>
      <c r="Q26" cm="1">
        <f t="array" ref="Q26">[1]!PropsSI("D","T",J26+273.15,"P",101325,"Water")</f>
        <v>985.08642343623899</v>
      </c>
      <c r="R26" cm="1">
        <f t="array" ref="R26">[1]!PropsSI("D","T",K26+273.15,"P",101325,"Water")</f>
        <v>987.18458976362103</v>
      </c>
      <c r="S26">
        <f t="shared" si="1"/>
        <v>986.13550659993007</v>
      </c>
      <c r="T26" cm="1">
        <f t="array" ref="T26">[1]!PropsSI("H","T",J26+273.15,"P",101325,"Water")</f>
        <v>235529.0753917543</v>
      </c>
      <c r="U26" cm="1">
        <f t="array" ref="U26">[1]!PropsSI("H","T",K26+273.15,"P",101325,"Water")</f>
        <v>217177.53556278555</v>
      </c>
      <c r="V26">
        <f t="shared" si="2"/>
        <v>565.10231287482077</v>
      </c>
    </row>
    <row r="27" spans="1:22" x14ac:dyDescent="0.2">
      <c r="A27">
        <v>46122.838894675922</v>
      </c>
      <c r="B27">
        <v>20.140605000000001</v>
      </c>
      <c r="C27">
        <v>20.239032000000002</v>
      </c>
      <c r="D27">
        <v>20.063587999999999</v>
      </c>
      <c r="E27">
        <v>20.139704999999999</v>
      </c>
      <c r="F27">
        <v>30.666537000000002</v>
      </c>
      <c r="G27">
        <v>28.336773999999998</v>
      </c>
      <c r="H27">
        <v>26.858288000000002</v>
      </c>
      <c r="I27">
        <v>23.245132000000002</v>
      </c>
      <c r="J27">
        <v>56.245142000000001</v>
      </c>
      <c r="K27">
        <v>51.857739000000002</v>
      </c>
      <c r="L27">
        <v>103.880365</v>
      </c>
      <c r="M27">
        <v>-622.48122499999999</v>
      </c>
      <c r="N27">
        <v>1.8654200000000001</v>
      </c>
      <c r="O27">
        <v>11.748151999999999</v>
      </c>
      <c r="P27">
        <f t="shared" si="0"/>
        <v>3.1090333333333336E-5</v>
      </c>
      <c r="Q27" cm="1">
        <f t="array" ref="Q27">[1]!PropsSI("D","T",J27+273.15,"P",101325,"Water")</f>
        <v>985.085405270759</v>
      </c>
      <c r="R27" cm="1">
        <f t="array" ref="R27">[1]!PropsSI("D","T",K27+273.15,"P",101325,"Water")</f>
        <v>987.18355659016993</v>
      </c>
      <c r="S27">
        <f t="shared" si="1"/>
        <v>986.13448093046441</v>
      </c>
      <c r="T27" cm="1">
        <f t="array" ref="T27">[1]!PropsSI("H","T",J27+273.15,"P",101325,"Water")</f>
        <v>235537.73506762163</v>
      </c>
      <c r="U27" cm="1">
        <f t="array" ref="U27">[1]!PropsSI("H","T",K27+273.15,"P",101325,"Water")</f>
        <v>217186.84028045958</v>
      </c>
      <c r="V27">
        <f t="shared" si="2"/>
        <v>562.62466593151044</v>
      </c>
    </row>
    <row r="28" spans="1:22" x14ac:dyDescent="0.2">
      <c r="A28">
        <v>46122.838952546299</v>
      </c>
      <c r="B28">
        <v>20.298573000000001</v>
      </c>
      <c r="C28">
        <v>20.277721</v>
      </c>
      <c r="D28">
        <v>20.063037999999999</v>
      </c>
      <c r="E28">
        <v>20.122848000000001</v>
      </c>
      <c r="F28">
        <v>30.816822999999999</v>
      </c>
      <c r="G28">
        <v>27.868880999999998</v>
      </c>
      <c r="H28">
        <v>26.439841999999999</v>
      </c>
      <c r="I28">
        <v>23.146903999999999</v>
      </c>
      <c r="J28">
        <v>56.249917000000003</v>
      </c>
      <c r="K28">
        <v>51.857103000000002</v>
      </c>
      <c r="L28">
        <v>105.89659</v>
      </c>
      <c r="M28">
        <v>-622.48775599999999</v>
      </c>
      <c r="N28">
        <v>1.870309</v>
      </c>
      <c r="O28">
        <v>11.728327999999999</v>
      </c>
      <c r="P28">
        <f t="shared" si="0"/>
        <v>3.1171816666666669E-5</v>
      </c>
      <c r="Q28" cm="1">
        <f t="array" ref="Q28">[1]!PropsSI("D","T",J28+273.15,"P",101325,"Water")</f>
        <v>985.08305650386671</v>
      </c>
      <c r="R28" cm="1">
        <f t="array" ref="R28">[1]!PropsSI("D","T",K28+273.15,"P",101325,"Water")</f>
        <v>987.18385191850018</v>
      </c>
      <c r="S28">
        <f t="shared" si="1"/>
        <v>986.13345421118345</v>
      </c>
      <c r="T28" cm="1">
        <f t="array" ref="T28">[1]!PropsSI("H","T",J28+273.15,"P",101325,"Water")</f>
        <v>235557.71089628321</v>
      </c>
      <c r="U28" cm="1">
        <f t="array" ref="U28">[1]!PropsSI("H","T",K28+273.15,"P",101325,"Water")</f>
        <v>217184.18059469806</v>
      </c>
      <c r="V28">
        <f t="shared" si="2"/>
        <v>564.79444370087629</v>
      </c>
    </row>
    <row r="29" spans="1:22" x14ac:dyDescent="0.2">
      <c r="A29">
        <v>46122.839010995369</v>
      </c>
      <c r="B29">
        <v>20.410374999999998</v>
      </c>
      <c r="C29">
        <v>20.561534999999999</v>
      </c>
      <c r="D29">
        <v>20.096589999999999</v>
      </c>
      <c r="E29">
        <v>20.172826000000001</v>
      </c>
      <c r="F29">
        <v>30.875540999999998</v>
      </c>
      <c r="G29">
        <v>28.653963000000001</v>
      </c>
      <c r="H29">
        <v>27.015969999999999</v>
      </c>
      <c r="I29">
        <v>23.352332000000001</v>
      </c>
      <c r="J29">
        <v>56.249757000000002</v>
      </c>
      <c r="K29">
        <v>51.863621000000002</v>
      </c>
      <c r="L29">
        <v>102.39635699999999</v>
      </c>
      <c r="M29">
        <v>-622.474287</v>
      </c>
      <c r="N29">
        <v>1.8734850000000001</v>
      </c>
      <c r="O29">
        <v>11.606052999999999</v>
      </c>
      <c r="P29">
        <f t="shared" si="0"/>
        <v>3.1224750000000003E-5</v>
      </c>
      <c r="Q29" cm="1">
        <f t="array" ref="Q29">[1]!PropsSI("D","T",J29+273.15,"P",101325,"Water")</f>
        <v>985.08313520825789</v>
      </c>
      <c r="R29" cm="1">
        <f t="array" ref="R29">[1]!PropsSI("D","T",K29+273.15,"P",101325,"Water")</f>
        <v>987.18082514439232</v>
      </c>
      <c r="S29">
        <f t="shared" si="1"/>
        <v>986.1319801763251</v>
      </c>
      <c r="T29" cm="1">
        <f t="array" ref="T29">[1]!PropsSI("H","T",J29+273.15,"P",101325,"Water")</f>
        <v>235557.04154899105</v>
      </c>
      <c r="U29" cm="1">
        <f t="array" ref="U29">[1]!PropsSI("H","T",K29+273.15,"P",101325,"Water")</f>
        <v>217211.43819774847</v>
      </c>
      <c r="V29">
        <f t="shared" si="2"/>
        <v>564.89276505852365</v>
      </c>
    </row>
    <row r="30" spans="1:22" x14ac:dyDescent="0.2">
      <c r="A30">
        <v>46122.839068865738</v>
      </c>
      <c r="B30">
        <v>20.231929000000001</v>
      </c>
      <c r="C30">
        <v>20.388784999999999</v>
      </c>
      <c r="D30">
        <v>20.091446000000001</v>
      </c>
      <c r="E30">
        <v>20.170262999999998</v>
      </c>
      <c r="F30">
        <v>30.610655000000001</v>
      </c>
      <c r="G30">
        <v>28.30941</v>
      </c>
      <c r="H30">
        <v>27.338242000000001</v>
      </c>
      <c r="I30">
        <v>23.348731000000001</v>
      </c>
      <c r="J30">
        <v>56.250076</v>
      </c>
      <c r="K30">
        <v>51.870139000000002</v>
      </c>
      <c r="L30">
        <v>109.645382</v>
      </c>
      <c r="M30">
        <v>-622.48449100000005</v>
      </c>
      <c r="N30">
        <v>1.8718619999999999</v>
      </c>
      <c r="O30">
        <v>11.705772</v>
      </c>
      <c r="P30">
        <f t="shared" si="0"/>
        <v>3.1197700000000001E-5</v>
      </c>
      <c r="Q30" cm="1">
        <f t="array" ref="Q30">[1]!PropsSI("D","T",J30+273.15,"P",101325,"Water")</f>
        <v>985.08297829122273</v>
      </c>
      <c r="R30" cm="1">
        <f t="array" ref="R30">[1]!PropsSI("D","T",K30+273.15,"P",101325,"Water")</f>
        <v>987.17779809741705</v>
      </c>
      <c r="S30">
        <f t="shared" si="1"/>
        <v>986.13038819431995</v>
      </c>
      <c r="T30" cm="1">
        <f t="array" ref="T30">[1]!PropsSI("H","T",J30+273.15,"P",101325,"Water")</f>
        <v>235558.37606016235</v>
      </c>
      <c r="U30" cm="1">
        <f t="array" ref="U30">[1]!PropsSI("H","T",K30+273.15,"P",101325,"Water")</f>
        <v>217238.69581413644</v>
      </c>
      <c r="V30">
        <f t="shared" si="2"/>
        <v>563.60496298460851</v>
      </c>
    </row>
    <row r="31" spans="1:22" x14ac:dyDescent="0.2">
      <c r="A31">
        <v>46122.839127314815</v>
      </c>
      <c r="B31">
        <v>20.303391999999999</v>
      </c>
      <c r="C31">
        <v>20.360045</v>
      </c>
      <c r="D31">
        <v>20.162064000000001</v>
      </c>
      <c r="E31">
        <v>20.234639000000001</v>
      </c>
      <c r="F31">
        <v>30.680897000000002</v>
      </c>
      <c r="G31">
        <v>28.200903</v>
      </c>
      <c r="H31">
        <v>27.061737999999998</v>
      </c>
      <c r="I31">
        <v>23.684218999999999</v>
      </c>
      <c r="J31">
        <v>56.249439000000002</v>
      </c>
      <c r="K31">
        <v>51.869185000000002</v>
      </c>
      <c r="L31">
        <v>101.767409</v>
      </c>
      <c r="M31">
        <v>-622.50081599999999</v>
      </c>
      <c r="N31">
        <v>1.872485</v>
      </c>
      <c r="O31">
        <v>11.705594</v>
      </c>
      <c r="P31">
        <f t="shared" si="0"/>
        <v>3.1208083333333334E-5</v>
      </c>
      <c r="Q31" cm="1">
        <f t="array" ref="Q31">[1]!PropsSI("D","T",J31+273.15,"P",101325,"Water")</f>
        <v>985.08329163279245</v>
      </c>
      <c r="R31" cm="1">
        <f t="array" ref="R31">[1]!PropsSI("D","T",K31+273.15,"P",101325,"Water")</f>
        <v>987.17824116490578</v>
      </c>
      <c r="S31">
        <f t="shared" si="1"/>
        <v>986.13076639884912</v>
      </c>
      <c r="T31" cm="1">
        <f t="array" ref="T31">[1]!PropsSI("H","T",J31+273.15,"P",101325,"Water")</f>
        <v>235555.71122131488</v>
      </c>
      <c r="U31" cm="1">
        <f t="array" ref="U31">[1]!PropsSI("H","T",K31+273.15,"P",101325,"Water")</f>
        <v>217234.70628180105</v>
      </c>
      <c r="V31">
        <f t="shared" si="2"/>
        <v>563.8335280653273</v>
      </c>
    </row>
    <row r="32" spans="1:22" x14ac:dyDescent="0.2">
      <c r="A32">
        <v>46122.839185763885</v>
      </c>
      <c r="B32">
        <v>20.562553999999999</v>
      </c>
      <c r="C32">
        <v>20.36469</v>
      </c>
      <c r="D32">
        <v>20.211275000000001</v>
      </c>
      <c r="E32">
        <v>20.216491000000001</v>
      </c>
      <c r="F32">
        <v>31.159635999999999</v>
      </c>
      <c r="G32">
        <v>28.345945</v>
      </c>
      <c r="H32">
        <v>26.824701999999998</v>
      </c>
      <c r="I32">
        <v>23.036059999999999</v>
      </c>
      <c r="J32">
        <v>56.245778000000001</v>
      </c>
      <c r="K32">
        <v>51.868867000000002</v>
      </c>
      <c r="L32">
        <v>99.125091999999995</v>
      </c>
      <c r="M32">
        <v>-622.49306200000001</v>
      </c>
      <c r="N32">
        <v>1.875464</v>
      </c>
      <c r="O32">
        <v>11.597640999999999</v>
      </c>
      <c r="P32">
        <f t="shared" si="0"/>
        <v>3.1257733333333337E-5</v>
      </c>
      <c r="Q32" cm="1">
        <f t="array" ref="Q32">[1]!PropsSI("D","T",J32+273.15,"P",101325,"Water")</f>
        <v>985.08509243782441</v>
      </c>
      <c r="R32" cm="1">
        <f t="array" ref="R32">[1]!PropsSI("D","T",K32+273.15,"P",101325,"Water")</f>
        <v>987.17838885277013</v>
      </c>
      <c r="S32">
        <f t="shared" si="1"/>
        <v>986.13174064529721</v>
      </c>
      <c r="T32" cm="1">
        <f t="array" ref="T32">[1]!PropsSI("H","T",J32+273.15,"P",101325,"Water")</f>
        <v>235540.39572203736</v>
      </c>
      <c r="U32" cm="1">
        <f t="array" ref="U32">[1]!PropsSI("H","T",K32+273.15,"P",101325,"Water")</f>
        <v>217233.37643777477</v>
      </c>
      <c r="V32">
        <f t="shared" si="2"/>
        <v>564.30001066912553</v>
      </c>
    </row>
    <row r="33" spans="1:22" x14ac:dyDescent="0.2">
      <c r="A33">
        <v>46122.839243634262</v>
      </c>
      <c r="B33">
        <v>20.454066999999998</v>
      </c>
      <c r="C33">
        <v>20.448630000000001</v>
      </c>
      <c r="D33">
        <v>20.170786</v>
      </c>
      <c r="E33">
        <v>20.148847</v>
      </c>
      <c r="F33">
        <v>30.986281999999999</v>
      </c>
      <c r="G33">
        <v>28.123716999999999</v>
      </c>
      <c r="H33">
        <v>26.70309</v>
      </c>
      <c r="I33">
        <v>22.951346999999998</v>
      </c>
      <c r="J33">
        <v>56.245142000000001</v>
      </c>
      <c r="K33">
        <v>51.864415999999999</v>
      </c>
      <c r="L33">
        <v>108.04260499999999</v>
      </c>
      <c r="M33">
        <v>-622.49347</v>
      </c>
      <c r="N33">
        <v>1.8744270000000001</v>
      </c>
      <c r="O33">
        <v>11.708211</v>
      </c>
      <c r="P33">
        <f t="shared" si="0"/>
        <v>3.1240450000000003E-5</v>
      </c>
      <c r="Q33" cm="1">
        <f t="array" ref="Q33">[1]!PropsSI("D","T",J33+273.15,"P",101325,"Water")</f>
        <v>985.085405270759</v>
      </c>
      <c r="R33" cm="1">
        <f t="array" ref="R33">[1]!PropsSI("D","T",K33+273.15,"P",101325,"Water")</f>
        <v>987.18045595030264</v>
      </c>
      <c r="S33">
        <f t="shared" si="1"/>
        <v>986.13293061053082</v>
      </c>
      <c r="T33" cm="1">
        <f t="array" ref="T33">[1]!PropsSI("H","T",J33+273.15,"P",101325,"Water")</f>
        <v>235537.73506762163</v>
      </c>
      <c r="U33" cm="1">
        <f t="array" ref="U33">[1]!PropsSI("H","T",K33+273.15,"P",101325,"Water")</f>
        <v>217214.76280660246</v>
      </c>
      <c r="V33">
        <f t="shared" si="2"/>
        <v>564.48014004971424</v>
      </c>
    </row>
    <row r="34" spans="1:22" x14ac:dyDescent="0.2">
      <c r="A34">
        <v>46122.839301504631</v>
      </c>
      <c r="B34">
        <v>20.429828000000001</v>
      </c>
      <c r="C34">
        <v>20.403701000000002</v>
      </c>
      <c r="D34">
        <v>20.131665000000002</v>
      </c>
      <c r="E34">
        <v>20.228674999999999</v>
      </c>
      <c r="F34">
        <v>30.986615</v>
      </c>
      <c r="G34">
        <v>28.478434</v>
      </c>
      <c r="H34">
        <v>27.191454</v>
      </c>
      <c r="I34">
        <v>23.260876</v>
      </c>
      <c r="J34">
        <v>56.246096999999999</v>
      </c>
      <c r="K34">
        <v>51.871409999999997</v>
      </c>
      <c r="L34">
        <v>97.485990999999999</v>
      </c>
      <c r="M34">
        <v>-622.47591999999997</v>
      </c>
      <c r="N34">
        <v>1.875718</v>
      </c>
      <c r="O34">
        <v>11.676289000000001</v>
      </c>
      <c r="P34">
        <f t="shared" si="0"/>
        <v>3.1261966666666666E-5</v>
      </c>
      <c r="Q34" cm="1">
        <f t="array" ref="Q34">[1]!PropsSI("D","T",J34+273.15,"P",101325,"Water")</f>
        <v>985.08493552854782</v>
      </c>
      <c r="R34" cm="1">
        <f t="array" ref="R34">[1]!PropsSI("D","T",K34+273.15,"P",101325,"Water")</f>
        <v>987.1772077961225</v>
      </c>
      <c r="S34">
        <f t="shared" si="1"/>
        <v>986.13107166233522</v>
      </c>
      <c r="T34" cm="1">
        <f t="array" ref="T34">[1]!PropsSI("H","T",J34+273.15,"P",101325,"Water")</f>
        <v>235541.7302326819</v>
      </c>
      <c r="U34" cm="1">
        <f t="array" ref="U34">[1]!PropsSI("H","T",K34+273.15,"P",101325,"Water")</f>
        <v>217244.0110090033</v>
      </c>
      <c r="V34">
        <f t="shared" si="2"/>
        <v>564.08934677308127</v>
      </c>
    </row>
    <row r="35" spans="1:22" x14ac:dyDescent="0.2">
      <c r="A35">
        <v>46122.839359953701</v>
      </c>
      <c r="B35">
        <v>20.417456999999999</v>
      </c>
      <c r="C35">
        <v>20.397701000000001</v>
      </c>
      <c r="D35">
        <v>20.164663999999998</v>
      </c>
      <c r="E35">
        <v>20.250077000000001</v>
      </c>
      <c r="F35">
        <v>30.959627000000001</v>
      </c>
      <c r="G35">
        <v>28.492833999999998</v>
      </c>
      <c r="H35">
        <v>26.940753999999998</v>
      </c>
      <c r="I35">
        <v>23.347163999999999</v>
      </c>
      <c r="J35">
        <v>56.243071999999998</v>
      </c>
      <c r="K35">
        <v>51.875067000000001</v>
      </c>
      <c r="L35">
        <v>103.406103</v>
      </c>
      <c r="M35">
        <v>-622.46653200000003</v>
      </c>
      <c r="N35">
        <v>1.8758330000000001</v>
      </c>
      <c r="O35">
        <v>11.694385</v>
      </c>
      <c r="P35">
        <f t="shared" si="0"/>
        <v>3.1263883333333334E-5</v>
      </c>
      <c r="Q35" cm="1">
        <f t="array" ref="Q35">[1]!PropsSI("D","T",J35+273.15,"P",101325,"Water")</f>
        <v>985.08642343623899</v>
      </c>
      <c r="R35" cm="1">
        <f t="array" ref="R35">[1]!PropsSI("D","T",K35+273.15,"P",101325,"Water")</f>
        <v>987.17550928675303</v>
      </c>
      <c r="S35">
        <f t="shared" si="1"/>
        <v>986.13096636149601</v>
      </c>
      <c r="T35" cm="1">
        <f t="array" ref="T35">[1]!PropsSI("H","T",J35+273.15,"P",101325,"Water")</f>
        <v>235529.0753917543</v>
      </c>
      <c r="U35" cm="1">
        <f t="array" ref="U35">[1]!PropsSI("H","T",K35+273.15,"P",101325,"Water")</f>
        <v>217259.30422016728</v>
      </c>
      <c r="V35">
        <f t="shared" si="2"/>
        <v>563.26222440259664</v>
      </c>
    </row>
    <row r="36" spans="1:22" x14ac:dyDescent="0.2">
      <c r="A36">
        <v>46122.839418402778</v>
      </c>
      <c r="B36">
        <v>20.419488999999999</v>
      </c>
      <c r="C36">
        <v>20.507200000000001</v>
      </c>
      <c r="D36">
        <v>20.169464000000001</v>
      </c>
      <c r="E36">
        <v>20.233232999999998</v>
      </c>
      <c r="F36">
        <v>31.017008000000001</v>
      </c>
      <c r="G36">
        <v>28.178525</v>
      </c>
      <c r="H36">
        <v>27.224585000000001</v>
      </c>
      <c r="I36">
        <v>23.258461</v>
      </c>
      <c r="J36">
        <v>56.244504999999997</v>
      </c>
      <c r="K36">
        <v>51.862825999999998</v>
      </c>
      <c r="L36">
        <v>114.003531</v>
      </c>
      <c r="M36">
        <v>-622.49183700000003</v>
      </c>
      <c r="N36">
        <v>1.8747100000000001</v>
      </c>
      <c r="O36">
        <v>11.666492</v>
      </c>
      <c r="P36">
        <f t="shared" si="0"/>
        <v>3.124516666666667E-5</v>
      </c>
      <c r="Q36" cm="1">
        <f t="array" ref="Q36">[1]!PropsSI("D","T",J36+273.15,"P",101325,"Water")</f>
        <v>985.08571859306824</v>
      </c>
      <c r="R36" cm="1">
        <f t="array" ref="R36">[1]!PropsSI("D","T",K36+273.15,"P",101325,"Water")</f>
        <v>987.18119433441541</v>
      </c>
      <c r="S36">
        <f t="shared" si="1"/>
        <v>986.13345646374182</v>
      </c>
      <c r="T36" cm="1">
        <f t="array" ref="T36">[1]!PropsSI("H","T",J36+273.15,"P",101325,"Water")</f>
        <v>235535.070230018</v>
      </c>
      <c r="U36" cm="1">
        <f t="array" ref="U36">[1]!PropsSI("H","T",K36+273.15,"P",101325,"Water")</f>
        <v>217208.11358912126</v>
      </c>
      <c r="V36">
        <f t="shared" si="2"/>
        <v>564.68843234791734</v>
      </c>
    </row>
    <row r="37" spans="1:22" x14ac:dyDescent="0.2">
      <c r="A37">
        <v>46122.839476851848</v>
      </c>
      <c r="B37">
        <v>20.435274</v>
      </c>
      <c r="C37">
        <v>20.468764</v>
      </c>
      <c r="D37">
        <v>20.176758</v>
      </c>
      <c r="E37">
        <v>20.263655</v>
      </c>
      <c r="F37">
        <v>30.975774000000001</v>
      </c>
      <c r="G37">
        <v>28.285810000000001</v>
      </c>
      <c r="H37">
        <v>27.266539999999999</v>
      </c>
      <c r="I37">
        <v>23.588563000000001</v>
      </c>
      <c r="J37">
        <v>56.243867999999999</v>
      </c>
      <c r="K37">
        <v>51.867753999999998</v>
      </c>
      <c r="L37">
        <v>102.409826</v>
      </c>
      <c r="M37">
        <v>-622.47224600000004</v>
      </c>
      <c r="N37">
        <v>1.8748450000000001</v>
      </c>
      <c r="O37">
        <v>11.533212000000001</v>
      </c>
      <c r="P37">
        <f t="shared" si="0"/>
        <v>3.1247416666666672E-5</v>
      </c>
      <c r="Q37" cm="1">
        <f t="array" ref="Q37">[1]!PropsSI("D","T",J37+273.15,"P",101325,"Water")</f>
        <v>985.08603191291149</v>
      </c>
      <c r="R37" cm="1">
        <f t="array" ref="R37">[1]!PropsSI("D","T",K37+273.15,"P",101325,"Water")</f>
        <v>987.17890575518038</v>
      </c>
      <c r="S37">
        <f t="shared" si="1"/>
        <v>986.13246883404599</v>
      </c>
      <c r="T37" cm="1">
        <f t="array" ref="T37">[1]!PropsSI("H","T",J37+273.15,"P",101325,"Water")</f>
        <v>235532.40539255715</v>
      </c>
      <c r="U37" cm="1">
        <f t="array" ref="U37">[1]!PropsSI("H","T",K37+273.15,"P",101325,"Water")</f>
        <v>217228.72198394779</v>
      </c>
      <c r="V37">
        <f t="shared" si="2"/>
        <v>564.0113870942921</v>
      </c>
    </row>
    <row r="38" spans="1:22" x14ac:dyDescent="0.2">
      <c r="A38">
        <v>44660.8395353011</v>
      </c>
      <c r="B38">
        <v>20.352568999999999</v>
      </c>
      <c r="C38">
        <v>20.366788</v>
      </c>
      <c r="D38">
        <v>20.211980000000001</v>
      </c>
      <c r="E38">
        <v>20.274851999999999</v>
      </c>
      <c r="F38">
        <v>30.926888999999999</v>
      </c>
      <c r="G38">
        <v>28.460193</v>
      </c>
      <c r="H38">
        <v>27.291412000000001</v>
      </c>
      <c r="I38">
        <v>23.371362000000001</v>
      </c>
      <c r="J38">
        <v>56.243231999999999</v>
      </c>
      <c r="K38">
        <v>51.868867000000002</v>
      </c>
      <c r="L38">
        <v>105.894958</v>
      </c>
      <c r="M38">
        <v>-622.49591899999996</v>
      </c>
      <c r="N38">
        <v>1.873518</v>
      </c>
      <c r="O38">
        <v>11.65203</v>
      </c>
      <c r="P38">
        <f t="shared" si="0"/>
        <v>3.1225300000000001E-5</v>
      </c>
      <c r="Q38" cm="1">
        <f t="array" ref="Q38">[1]!PropsSI("D","T",J38+273.15,"P",101325,"Water")</f>
        <v>985.08634473839129</v>
      </c>
      <c r="R38" cm="1">
        <f t="array" ref="R38">[1]!PropsSI("D","T",K38+273.15,"P",101325,"Water")</f>
        <v>987.17838885277013</v>
      </c>
      <c r="S38">
        <f t="shared" si="1"/>
        <v>986.13236679558077</v>
      </c>
      <c r="T38" cm="1">
        <f t="array" ref="T38">[1]!PropsSI("H","T",J38+273.15,"P",101325,"Water")</f>
        <v>235529.74473864396</v>
      </c>
      <c r="U38" cm="1">
        <f t="array" ref="U38">[1]!PropsSI("H","T",K38+273.15,"P",101325,"Water")</f>
        <v>217233.37643777477</v>
      </c>
      <c r="V38">
        <f t="shared" si="2"/>
        <v>563.38687727725323</v>
      </c>
    </row>
    <row r="39" spans="1:22" x14ac:dyDescent="0.2">
      <c r="A39">
        <v>44660.839593171499</v>
      </c>
      <c r="B39">
        <v>20.365925000000001</v>
      </c>
      <c r="C39">
        <v>20.351244000000001</v>
      </c>
      <c r="D39">
        <v>20.203866999999999</v>
      </c>
      <c r="E39">
        <v>20.268889000000001</v>
      </c>
      <c r="F39">
        <v>30.815840000000001</v>
      </c>
      <c r="G39">
        <v>27.911695000000002</v>
      </c>
      <c r="H39">
        <v>27.004563000000001</v>
      </c>
      <c r="I39">
        <v>23.227620000000002</v>
      </c>
      <c r="J39">
        <v>56.242117</v>
      </c>
      <c r="K39">
        <v>51.869343999999998</v>
      </c>
      <c r="L39">
        <v>101.364164</v>
      </c>
      <c r="M39">
        <v>-622.48775599999999</v>
      </c>
      <c r="N39">
        <v>1.876042</v>
      </c>
      <c r="O39">
        <v>11.660506</v>
      </c>
      <c r="P39">
        <f t="shared" ref="P39:P88" si="3" xml:space="preserve"> N39*0.001/60</f>
        <v>3.1267366666666665E-5</v>
      </c>
      <c r="Q39" cm="1">
        <f t="array" ref="Q39">[1]!PropsSI("D","T",J39+273.15,"P",101325,"Water")</f>
        <v>985.08689316072241</v>
      </c>
      <c r="R39" cm="1">
        <f t="array" ref="R39">[1]!PropsSI("D","T",K39+273.15,"P",101325,"Water")</f>
        <v>987.17816732075175</v>
      </c>
      <c r="S39">
        <f t="shared" ref="S39:S88" si="4">(Q39+R39)/2</f>
        <v>986.13253024073708</v>
      </c>
      <c r="T39" cm="1">
        <f t="array" ref="T39">[1]!PropsSI("H","T",J39+273.15,"P",101325,"Water")</f>
        <v>235525.08022781817</v>
      </c>
      <c r="U39" cm="1">
        <f t="array" ref="U39">[1]!PropsSI("H","T",K39+273.15,"P",101325,"Water")</f>
        <v>217235.37120385226</v>
      </c>
      <c r="V39">
        <f t="shared" ref="V39:V88" si="5">S39*P39*(T39-U39)</f>
        <v>563.94063394945181</v>
      </c>
    </row>
    <row r="40" spans="1:22" x14ac:dyDescent="0.2">
      <c r="A40">
        <v>44660.839651620503</v>
      </c>
      <c r="B40">
        <v>20.448962000000002</v>
      </c>
      <c r="C40">
        <v>20.434978000000001</v>
      </c>
      <c r="D40">
        <v>20.21331</v>
      </c>
      <c r="E40">
        <v>20.260776</v>
      </c>
      <c r="F40">
        <v>30.869821999999999</v>
      </c>
      <c r="G40">
        <v>28.051684000000002</v>
      </c>
      <c r="H40">
        <v>27.254753000000001</v>
      </c>
      <c r="I40">
        <v>23.206633</v>
      </c>
      <c r="J40">
        <v>56.244664</v>
      </c>
      <c r="K40">
        <v>51.872045999999997</v>
      </c>
      <c r="L40">
        <v>106.332487</v>
      </c>
      <c r="M40">
        <v>-622.48612300000002</v>
      </c>
      <c r="N40">
        <v>1.8746940000000001</v>
      </c>
      <c r="O40">
        <v>11.706343</v>
      </c>
      <c r="P40">
        <f t="shared" si="3"/>
        <v>3.1244900000000003E-5</v>
      </c>
      <c r="Q40" cm="1">
        <f t="array" ref="Q40">[1]!PropsSI("D","T",J40+273.15,"P",101325,"Water")</f>
        <v>985.08564038569273</v>
      </c>
      <c r="R40" cm="1">
        <f t="array" ref="R40">[1]!PropsSI("D","T",K40+273.15,"P",101325,"Water")</f>
        <v>987.17691240935414</v>
      </c>
      <c r="S40">
        <f t="shared" si="4"/>
        <v>986.13127639752338</v>
      </c>
      <c r="T40" cm="1">
        <f t="array" ref="T40">[1]!PropsSI("H","T",J40+273.15,"P",101325,"Water")</f>
        <v>235535.73539354667</v>
      </c>
      <c r="U40" cm="1">
        <f t="array" ref="U40">[1]!PropsSI("H","T",K40+273.15,"P",101325,"Water")</f>
        <v>217246.67069763027</v>
      </c>
      <c r="V40">
        <f t="shared" si="5"/>
        <v>563.51485413646913</v>
      </c>
    </row>
    <row r="41" spans="1:22" x14ac:dyDescent="0.2">
      <c r="A41">
        <v>44660.839709490901</v>
      </c>
      <c r="B41">
        <v>20.370927999999999</v>
      </c>
      <c r="C41">
        <v>20.498049000000002</v>
      </c>
      <c r="D41">
        <v>20.248750000000001</v>
      </c>
      <c r="E41">
        <v>20.297460000000001</v>
      </c>
      <c r="F41">
        <v>30.997382000000002</v>
      </c>
      <c r="G41">
        <v>28.180481</v>
      </c>
      <c r="H41">
        <v>26.979479999999999</v>
      </c>
      <c r="I41">
        <v>23.394506</v>
      </c>
      <c r="J41">
        <v>56.245778000000001</v>
      </c>
      <c r="K41">
        <v>51.875067000000001</v>
      </c>
      <c r="L41">
        <v>109.67680900000001</v>
      </c>
      <c r="M41">
        <v>-622.47510299999999</v>
      </c>
      <c r="N41">
        <v>1.8706160000000001</v>
      </c>
      <c r="O41">
        <v>11.689798</v>
      </c>
      <c r="P41">
        <f t="shared" si="3"/>
        <v>3.1176933333333336E-5</v>
      </c>
      <c r="Q41" cm="1">
        <f t="array" ref="Q41">[1]!PropsSI("D","T",J41+273.15,"P",101325,"Water")</f>
        <v>985.08509243782441</v>
      </c>
      <c r="R41" cm="1">
        <f t="array" ref="R41">[1]!PropsSI("D","T",K41+273.15,"P",101325,"Water")</f>
        <v>987.17550928675303</v>
      </c>
      <c r="S41">
        <f t="shared" si="4"/>
        <v>986.13030086228878</v>
      </c>
      <c r="T41" cm="1">
        <f t="array" ref="T41">[1]!PropsSI("H","T",J41+273.15,"P",101325,"Water")</f>
        <v>235540.39572203736</v>
      </c>
      <c r="U41" cm="1">
        <f t="array" ref="U41">[1]!PropsSI("H","T",K41+273.15,"P",101325,"Water")</f>
        <v>217259.30422016728</v>
      </c>
      <c r="V41">
        <f t="shared" si="5"/>
        <v>562.04335858437207</v>
      </c>
    </row>
    <row r="42" spans="1:22" x14ac:dyDescent="0.2">
      <c r="A42">
        <v>46122.839767939811</v>
      </c>
      <c r="B42">
        <v>20.383618999999999</v>
      </c>
      <c r="C42">
        <v>20.497169</v>
      </c>
      <c r="D42">
        <v>20.250655999999999</v>
      </c>
      <c r="E42">
        <v>20.341155000000001</v>
      </c>
      <c r="F42">
        <v>30.869344000000002</v>
      </c>
      <c r="G42">
        <v>27.973420000000001</v>
      </c>
      <c r="H42">
        <v>26.739954999999998</v>
      </c>
      <c r="I42">
        <v>23.472719999999999</v>
      </c>
      <c r="J42">
        <v>56.248961999999999</v>
      </c>
      <c r="K42">
        <v>51.876815000000001</v>
      </c>
      <c r="L42">
        <v>97.878624000000002</v>
      </c>
      <c r="M42">
        <v>-622.48612300000002</v>
      </c>
      <c r="N42">
        <v>1.8670880000000001</v>
      </c>
      <c r="O42">
        <v>11.707665</v>
      </c>
      <c r="P42">
        <f t="shared" si="3"/>
        <v>3.1118133333333336E-5</v>
      </c>
      <c r="Q42" cm="1">
        <f t="array" ref="Q42">[1]!PropsSI("D","T",J42+273.15,"P",101325,"Water")</f>
        <v>985.08352626842247</v>
      </c>
      <c r="R42" cm="1">
        <f t="array" ref="R42">[1]!PropsSI("D","T",K42+273.15,"P",101325,"Water")</f>
        <v>987.17469739031412</v>
      </c>
      <c r="S42">
        <f t="shared" si="4"/>
        <v>986.1291118293683</v>
      </c>
      <c r="T42" cm="1">
        <f t="array" ref="T42">[1]!PropsSI("H","T",J42+273.15,"P",101325,"Water")</f>
        <v>235553.71572982252</v>
      </c>
      <c r="U42" cm="1">
        <f t="array" ref="U42">[1]!PropsSI("H","T",K42+273.15,"P",101325,"Water")</f>
        <v>217266.61418429221</v>
      </c>
      <c r="V42">
        <f t="shared" si="5"/>
        <v>561.16709011313287</v>
      </c>
    </row>
    <row r="43" spans="1:22" x14ac:dyDescent="0.2">
      <c r="A43">
        <v>46122.839825810188</v>
      </c>
      <c r="B43">
        <v>20.616631999999999</v>
      </c>
      <c r="C43">
        <v>20.559697</v>
      </c>
      <c r="D43">
        <v>20.278825999999999</v>
      </c>
      <c r="E43">
        <v>20.359615999999999</v>
      </c>
      <c r="F43">
        <v>31.01568</v>
      </c>
      <c r="G43">
        <v>28.341847000000001</v>
      </c>
      <c r="H43">
        <v>27.555325</v>
      </c>
      <c r="I43">
        <v>23.216200000000001</v>
      </c>
      <c r="J43">
        <v>56.246256000000002</v>
      </c>
      <c r="K43">
        <v>51.875703000000001</v>
      </c>
      <c r="L43">
        <v>117.46703100000001</v>
      </c>
      <c r="M43">
        <v>-622.49591899999996</v>
      </c>
      <c r="N43">
        <v>1.8693249999999999</v>
      </c>
      <c r="O43">
        <v>11.615216</v>
      </c>
      <c r="P43">
        <f t="shared" si="3"/>
        <v>3.1155416666666667E-5</v>
      </c>
      <c r="Q43" cm="1">
        <f t="array" ref="Q43">[1]!PropsSI("D","T",J43+273.15,"P",101325,"Water")</f>
        <v>985.08485731963299</v>
      </c>
      <c r="R43" cm="1">
        <f t="array" ref="R43">[1]!PropsSI("D","T",K43+273.15,"P",101325,"Water")</f>
        <v>987.17521388502917</v>
      </c>
      <c r="S43">
        <f t="shared" si="4"/>
        <v>986.13003560233108</v>
      </c>
      <c r="T43" cm="1">
        <f t="array" ref="T43">[1]!PropsSI("H","T",J43+273.15,"P",101325,"Water")</f>
        <v>235542.39539628322</v>
      </c>
      <c r="U43" cm="1">
        <f t="array" ref="U43">[1]!PropsSI("H","T",K43+273.15,"P",101325,"Water")</f>
        <v>217261.96390954318</v>
      </c>
      <c r="V43">
        <f t="shared" si="5"/>
        <v>561.63503713494742</v>
      </c>
    </row>
    <row r="44" spans="1:22" x14ac:dyDescent="0.2">
      <c r="A44">
        <v>46122.839884259258</v>
      </c>
      <c r="B44">
        <v>20.378270000000001</v>
      </c>
      <c r="C44">
        <v>20.419899999999998</v>
      </c>
      <c r="D44">
        <v>20.277383</v>
      </c>
      <c r="E44">
        <v>20.329014999999998</v>
      </c>
      <c r="F44">
        <v>30.879145000000001</v>
      </c>
      <c r="G44">
        <v>28.344761999999999</v>
      </c>
      <c r="H44">
        <v>27.140391000000001</v>
      </c>
      <c r="I44">
        <v>23.320461999999999</v>
      </c>
      <c r="J44">
        <v>56.244027000000003</v>
      </c>
      <c r="K44">
        <v>51.874589999999998</v>
      </c>
      <c r="L44">
        <v>98.994895</v>
      </c>
      <c r="M44">
        <v>-622.525713</v>
      </c>
      <c r="N44">
        <v>1.869686</v>
      </c>
      <c r="O44">
        <v>11.640669000000001</v>
      </c>
      <c r="P44">
        <f t="shared" si="3"/>
        <v>3.116143333333333E-5</v>
      </c>
      <c r="Q44" cm="1">
        <f t="array" ref="Q44">[1]!PropsSI("D","T",J44+273.15,"P",101325,"Water")</f>
        <v>985.08595370615762</v>
      </c>
      <c r="R44" cm="1">
        <f t="array" ref="R44">[1]!PropsSI("D","T",K44+273.15,"P",101325,"Water")</f>
        <v>987.17573083631862</v>
      </c>
      <c r="S44">
        <f t="shared" si="4"/>
        <v>986.13084227123818</v>
      </c>
      <c r="T44" cm="1">
        <f t="array" ref="T44">[1]!PropsSI("H","T",J44+273.15,"P",101325,"Water")</f>
        <v>235533.07055604801</v>
      </c>
      <c r="U44" cm="1">
        <f t="array" ref="U44">[1]!PropsSI("H","T",K44+273.15,"P",101325,"Water")</f>
        <v>217257.30945327927</v>
      </c>
      <c r="V44">
        <f t="shared" si="5"/>
        <v>561.6004409937882</v>
      </c>
    </row>
    <row r="45" spans="1:22" x14ac:dyDescent="0.2">
      <c r="A45">
        <v>46122.839942129627</v>
      </c>
      <c r="B45">
        <v>20.396529999999998</v>
      </c>
      <c r="C45">
        <v>20.430344999999999</v>
      </c>
      <c r="D45">
        <v>20.253706999999999</v>
      </c>
      <c r="E45">
        <v>20.357728000000002</v>
      </c>
      <c r="F45">
        <v>30.915707999999999</v>
      </c>
      <c r="G45">
        <v>27.874445999999999</v>
      </c>
      <c r="H45">
        <v>27.15503</v>
      </c>
      <c r="I45">
        <v>23.390789000000002</v>
      </c>
      <c r="J45">
        <v>56.244027000000003</v>
      </c>
      <c r="K45">
        <v>51.874271999999998</v>
      </c>
      <c r="L45">
        <v>111.690178</v>
      </c>
      <c r="M45">
        <v>-622.49224500000003</v>
      </c>
      <c r="N45">
        <v>1.8726940000000001</v>
      </c>
      <c r="O45">
        <v>11.593218</v>
      </c>
      <c r="P45">
        <f t="shared" si="3"/>
        <v>3.1211566666666664E-5</v>
      </c>
      <c r="Q45" cm="1">
        <f t="array" ref="Q45">[1]!PropsSI("D","T",J45+273.15,"P",101325,"Water")</f>
        <v>985.08595370615762</v>
      </c>
      <c r="R45" cm="1">
        <f t="array" ref="R45">[1]!PropsSI("D","T",K45+273.15,"P",101325,"Water")</f>
        <v>987.17587853522207</v>
      </c>
      <c r="S45">
        <f t="shared" si="4"/>
        <v>986.13091612068979</v>
      </c>
      <c r="T45" cm="1">
        <f t="array" ref="T45">[1]!PropsSI("H","T",J45+273.15,"P",101325,"Water")</f>
        <v>235533.07055604801</v>
      </c>
      <c r="U45" cm="1">
        <f t="array" ref="U45">[1]!PropsSI("H","T",K45+273.15,"P",101325,"Water")</f>
        <v>217255.97960868684</v>
      </c>
      <c r="V45">
        <f t="shared" si="5"/>
        <v>562.54493155089256</v>
      </c>
    </row>
    <row r="46" spans="1:22" x14ac:dyDescent="0.2">
      <c r="A46">
        <v>46122.84</v>
      </c>
      <c r="B46">
        <v>20.406337000000001</v>
      </c>
      <c r="C46">
        <v>20.441927</v>
      </c>
      <c r="D46">
        <v>20.251128000000001</v>
      </c>
      <c r="E46">
        <v>20.363675000000001</v>
      </c>
      <c r="F46">
        <v>30.963146999999999</v>
      </c>
      <c r="G46">
        <v>28.258534999999998</v>
      </c>
      <c r="H46">
        <v>27.294993000000002</v>
      </c>
      <c r="I46">
        <v>23.46275</v>
      </c>
      <c r="J46">
        <v>56.245936999999998</v>
      </c>
      <c r="K46">
        <v>51.874749000000001</v>
      </c>
      <c r="L46">
        <v>109.961285</v>
      </c>
      <c r="M46">
        <v>-622.50571400000001</v>
      </c>
      <c r="N46">
        <v>1.873038</v>
      </c>
      <c r="O46">
        <v>11.658689000000001</v>
      </c>
      <c r="P46">
        <f t="shared" si="3"/>
        <v>3.1217300000000003E-5</v>
      </c>
      <c r="Q46" cm="1">
        <f t="array" ref="Q46">[1]!PropsSI("D","T",J46+273.15,"P",101325,"Water")</f>
        <v>985.08501422922291</v>
      </c>
      <c r="R46" cm="1">
        <f t="array" ref="R46">[1]!PropsSI("D","T",K46+273.15,"P",101325,"Water")</f>
        <v>987.17565698662645</v>
      </c>
      <c r="S46">
        <f t="shared" si="4"/>
        <v>986.13033560792474</v>
      </c>
      <c r="T46" cm="1">
        <f t="array" ref="T46">[1]!PropsSI("H","T",J46+273.15,"P",101325,"Water")</f>
        <v>235541.06088563471</v>
      </c>
      <c r="U46" cm="1">
        <f t="array" ref="U46">[1]!PropsSI("H","T",K46+273.15,"P",101325,"Water")</f>
        <v>217257.97437557054</v>
      </c>
      <c r="V46">
        <f t="shared" si="5"/>
        <v>562.83250502477586</v>
      </c>
    </row>
    <row r="47" spans="1:22" x14ac:dyDescent="0.2">
      <c r="A47">
        <v>46122.840058449074</v>
      </c>
      <c r="B47">
        <v>20.448771000000001</v>
      </c>
      <c r="C47">
        <v>20.495380000000001</v>
      </c>
      <c r="D47">
        <v>20.238189999999999</v>
      </c>
      <c r="E47">
        <v>20.347653999999999</v>
      </c>
      <c r="F47">
        <v>31.021795000000001</v>
      </c>
      <c r="G47">
        <v>28.503039000000001</v>
      </c>
      <c r="H47">
        <v>27.044111999999998</v>
      </c>
      <c r="I47">
        <v>23.465661999999998</v>
      </c>
      <c r="J47">
        <v>56.249439000000002</v>
      </c>
      <c r="K47">
        <v>51.880153999999997</v>
      </c>
      <c r="L47">
        <v>112.46973</v>
      </c>
      <c r="M47">
        <v>-622.47714399999995</v>
      </c>
      <c r="N47">
        <v>1.8739110000000001</v>
      </c>
      <c r="O47">
        <v>11.842241</v>
      </c>
      <c r="P47">
        <f t="shared" si="3"/>
        <v>3.1231850000000005E-5</v>
      </c>
      <c r="Q47" cm="1">
        <f t="array" ref="Q47">[1]!PropsSI("D","T",J47+273.15,"P",101325,"Water")</f>
        <v>985.08329163279245</v>
      </c>
      <c r="R47" cm="1">
        <f t="array" ref="R47">[1]!PropsSI("D","T",K47+273.15,"P",101325,"Water")</f>
        <v>987.17314646492991</v>
      </c>
      <c r="S47">
        <f t="shared" si="4"/>
        <v>986.12821904886118</v>
      </c>
      <c r="T47" cm="1">
        <f t="array" ref="T47">[1]!PropsSI("H","T",J47+273.15,"P",101325,"Water")</f>
        <v>235555.71122131488</v>
      </c>
      <c r="U47" cm="1">
        <f t="array" ref="U47">[1]!PropsSI("H","T",K47+273.15,"P",101325,"Water")</f>
        <v>217280.57755645891</v>
      </c>
      <c r="V47">
        <f t="shared" si="5"/>
        <v>562.84868918738391</v>
      </c>
    </row>
    <row r="48" spans="1:22" x14ac:dyDescent="0.2">
      <c r="A48">
        <v>46122.840116898151</v>
      </c>
      <c r="B48">
        <v>20.394815000000001</v>
      </c>
      <c r="C48">
        <v>20.386856999999999</v>
      </c>
      <c r="D48">
        <v>20.232973999999999</v>
      </c>
      <c r="E48">
        <v>20.360410000000002</v>
      </c>
      <c r="F48">
        <v>30.904959999999999</v>
      </c>
      <c r="G48">
        <v>28.282430999999999</v>
      </c>
      <c r="H48">
        <v>26.729845000000001</v>
      </c>
      <c r="I48">
        <v>23.256941999999999</v>
      </c>
      <c r="J48">
        <v>56.247529</v>
      </c>
      <c r="K48">
        <v>51.882379</v>
      </c>
      <c r="L48">
        <v>101.29396300000001</v>
      </c>
      <c r="M48">
        <v>-622.48857199999998</v>
      </c>
      <c r="N48">
        <v>1.8706199999999999</v>
      </c>
      <c r="O48">
        <v>11.669669000000001</v>
      </c>
      <c r="P48">
        <f t="shared" si="3"/>
        <v>3.1176999999999996E-5</v>
      </c>
      <c r="Q48" cm="1">
        <f t="array" ref="Q48">[1]!PropsSI("D","T",J48+273.15,"P",101325,"Water")</f>
        <v>985.08423115073094</v>
      </c>
      <c r="R48" cm="1">
        <f t="array" ref="R48">[1]!PropsSI("D","T",K48+273.15,"P",101325,"Water")</f>
        <v>987.17211293943103</v>
      </c>
      <c r="S48">
        <f t="shared" si="4"/>
        <v>986.12817204508099</v>
      </c>
      <c r="T48" cm="1">
        <f t="array" ref="T48">[1]!PropsSI("H","T",J48+273.15,"P",101325,"Water")</f>
        <v>235547.72088920491</v>
      </c>
      <c r="U48" cm="1">
        <f t="array" ref="U48">[1]!PropsSI("H","T",K48+273.15,"P",101325,"Water")</f>
        <v>217289.88229129571</v>
      </c>
      <c r="V48">
        <f t="shared" si="5"/>
        <v>561.32844777692276</v>
      </c>
    </row>
    <row r="49" spans="1:22" x14ac:dyDescent="0.2">
      <c r="A49">
        <v>44660.840174768702</v>
      </c>
      <c r="B49">
        <v>20.381423000000002</v>
      </c>
      <c r="C49">
        <v>20.390756</v>
      </c>
      <c r="D49">
        <v>20.244067999999999</v>
      </c>
      <c r="E49">
        <v>20.346810000000001</v>
      </c>
      <c r="F49">
        <v>31.015056000000001</v>
      </c>
      <c r="G49">
        <v>28.206669999999999</v>
      </c>
      <c r="H49">
        <v>27.208435999999999</v>
      </c>
      <c r="I49">
        <v>23.372606999999999</v>
      </c>
      <c r="J49">
        <v>56.247529</v>
      </c>
      <c r="K49">
        <v>51.880949000000001</v>
      </c>
      <c r="L49">
        <v>111.45263799999999</v>
      </c>
      <c r="M49">
        <v>-622.512652</v>
      </c>
      <c r="N49">
        <v>1.874177</v>
      </c>
      <c r="O49">
        <v>11.857046</v>
      </c>
      <c r="P49">
        <f t="shared" si="3"/>
        <v>3.1236283333333334E-5</v>
      </c>
      <c r="Q49" cm="1">
        <f t="array" ref="Q49">[1]!PropsSI("D","T",J49+273.15,"P",101325,"Water")</f>
        <v>985.08423115073094</v>
      </c>
      <c r="R49" cm="1">
        <f t="array" ref="R49">[1]!PropsSI("D","T",K49+273.15,"P",101325,"Water")</f>
        <v>987.17277718642652</v>
      </c>
      <c r="S49">
        <f t="shared" si="4"/>
        <v>986.12850416857873</v>
      </c>
      <c r="T49" cm="1">
        <f t="array" ref="T49">[1]!PropsSI("H","T",J49+273.15,"P",101325,"Water")</f>
        <v>235547.72088920491</v>
      </c>
      <c r="U49" cm="1">
        <f t="array" ref="U49">[1]!PropsSI("H","T",K49+273.15,"P",101325,"Water")</f>
        <v>217283.90216944396</v>
      </c>
      <c r="V49">
        <f t="shared" si="5"/>
        <v>562.58021368472328</v>
      </c>
    </row>
    <row r="50" spans="1:22" x14ac:dyDescent="0.2">
      <c r="A50" t="s">
        <v>19</v>
      </c>
      <c r="B50">
        <v>20.423549999999999</v>
      </c>
      <c r="C50">
        <v>20.447620000000001</v>
      </c>
      <c r="D50">
        <v>20.264479999999999</v>
      </c>
      <c r="E50">
        <v>20.342431999999999</v>
      </c>
      <c r="F50">
        <v>30.992788000000001</v>
      </c>
      <c r="G50">
        <v>28.526128</v>
      </c>
      <c r="H50">
        <v>27.459553</v>
      </c>
      <c r="I50">
        <v>23.259018000000001</v>
      </c>
      <c r="J50">
        <v>56.246256000000002</v>
      </c>
      <c r="K50">
        <v>51.878563999999997</v>
      </c>
      <c r="L50">
        <v>107.164282</v>
      </c>
      <c r="M50">
        <v>-622.50571400000001</v>
      </c>
      <c r="N50">
        <v>1.8689279999999999</v>
      </c>
      <c r="O50">
        <v>11.615494999999999</v>
      </c>
      <c r="P50">
        <f t="shared" si="3"/>
        <v>3.1148800000000002E-5</v>
      </c>
      <c r="Q50" cm="1">
        <f t="array" ref="Q50">[1]!PropsSI("D","T",J50+273.15,"P",101325,"Water")</f>
        <v>985.08485731963299</v>
      </c>
      <c r="R50" cm="1">
        <f t="array" ref="R50">[1]!PropsSI("D","T",K50+273.15,"P",101325,"Water")</f>
        <v>987.17388500974857</v>
      </c>
      <c r="S50">
        <f t="shared" si="4"/>
        <v>986.12937116469084</v>
      </c>
      <c r="T50" cm="1">
        <f t="array" ref="T50">[1]!PropsSI("H","T",J50+273.15,"P",101325,"Water")</f>
        <v>235542.39539628322</v>
      </c>
      <c r="U50" cm="1">
        <f t="array" ref="U50">[1]!PropsSI("H","T",K50+273.15,"P",101325,"Water")</f>
        <v>217273.92833115242</v>
      </c>
      <c r="V50">
        <f t="shared" si="5"/>
        <v>561.14787281602446</v>
      </c>
    </row>
    <row r="51" spans="1:22" x14ac:dyDescent="0.2">
      <c r="A51">
        <v>46122.840291666667</v>
      </c>
      <c r="B51">
        <v>20.348113999999999</v>
      </c>
      <c r="C51">
        <v>20.344726000000001</v>
      </c>
      <c r="D51">
        <v>20.267448999999999</v>
      </c>
      <c r="E51">
        <v>20.341464999999999</v>
      </c>
      <c r="F51">
        <v>30.909396000000001</v>
      </c>
      <c r="G51">
        <v>28.374908000000001</v>
      </c>
      <c r="H51">
        <v>27.143409999999999</v>
      </c>
      <c r="I51">
        <v>23.235682000000001</v>
      </c>
      <c r="J51">
        <v>56.245778000000001</v>
      </c>
      <c r="K51">
        <v>51.877291999999997</v>
      </c>
      <c r="L51">
        <v>114.08801699999999</v>
      </c>
      <c r="M51">
        <v>-622.49428599999999</v>
      </c>
      <c r="N51">
        <v>1.8711199999999999</v>
      </c>
      <c r="O51">
        <v>11.609802</v>
      </c>
      <c r="P51">
        <f t="shared" si="3"/>
        <v>3.1185333333333334E-5</v>
      </c>
      <c r="Q51" cm="1">
        <f t="array" ref="Q51">[1]!PropsSI("D","T",J51+273.15,"P",101325,"Water")</f>
        <v>985.08509243782441</v>
      </c>
      <c r="R51" cm="1">
        <f t="array" ref="R51">[1]!PropsSI("D","T",K51+273.15,"P",101325,"Water")</f>
        <v>987.17447583391754</v>
      </c>
      <c r="S51">
        <f t="shared" si="4"/>
        <v>986.12978413587098</v>
      </c>
      <c r="T51" cm="1">
        <f t="array" ref="T51">[1]!PropsSI("H","T",J51+273.15,"P",101325,"Water")</f>
        <v>235540.39572203736</v>
      </c>
      <c r="U51" cm="1">
        <f t="array" ref="U51">[1]!PropsSI("H","T",K51+273.15,"P",101325,"Water")</f>
        <v>217268.60895149157</v>
      </c>
      <c r="V51">
        <f t="shared" si="5"/>
        <v>561.90834890758481</v>
      </c>
    </row>
    <row r="52" spans="1:22" x14ac:dyDescent="0.2">
      <c r="A52">
        <v>46122.840350115737</v>
      </c>
      <c r="B52">
        <v>20.322901999999999</v>
      </c>
      <c r="C52">
        <v>20.478287999999999</v>
      </c>
      <c r="D52">
        <v>20.287019000000001</v>
      </c>
      <c r="E52">
        <v>20.353942</v>
      </c>
      <c r="F52">
        <v>31.102263000000001</v>
      </c>
      <c r="G52">
        <v>28.580414000000001</v>
      </c>
      <c r="H52">
        <v>27.175508000000001</v>
      </c>
      <c r="I52">
        <v>23.474778000000001</v>
      </c>
      <c r="J52">
        <v>56.245300999999998</v>
      </c>
      <c r="K52">
        <v>51.876497000000001</v>
      </c>
      <c r="L52">
        <v>104.42646000000001</v>
      </c>
      <c r="M52">
        <v>-622.50081599999999</v>
      </c>
      <c r="N52">
        <v>1.8551839999999999</v>
      </c>
      <c r="O52">
        <v>11.66963</v>
      </c>
      <c r="P52">
        <f t="shared" si="3"/>
        <v>3.0919733333333335E-5</v>
      </c>
      <c r="Q52" cm="1">
        <f t="array" ref="Q52">[1]!PropsSI("D","T",J52+273.15,"P",101325,"Water")</f>
        <v>985.08532706276469</v>
      </c>
      <c r="R52" cm="1">
        <f t="array" ref="R52">[1]!PropsSI("D","T",K52+273.15,"P",101325,"Water")</f>
        <v>987.17484509374424</v>
      </c>
      <c r="S52">
        <f t="shared" si="4"/>
        <v>986.13008607825441</v>
      </c>
      <c r="T52" cm="1">
        <f t="array" ref="T52">[1]!PropsSI("H","T",J52+273.15,"P",101325,"Water")</f>
        <v>235538.40023124666</v>
      </c>
      <c r="U52" cm="1">
        <f t="array" ref="U52">[1]!PropsSI("H","T",K52+273.15,"P",101325,"Water")</f>
        <v>217265.28433946232</v>
      </c>
      <c r="V52">
        <f t="shared" si="5"/>
        <v>557.1633709728377</v>
      </c>
    </row>
    <row r="53" spans="1:22" x14ac:dyDescent="0.2">
      <c r="A53">
        <v>46122.840407986114</v>
      </c>
      <c r="B53">
        <v>20.340522</v>
      </c>
      <c r="C53">
        <v>20.450953999999999</v>
      </c>
      <c r="D53">
        <v>20.323518</v>
      </c>
      <c r="E53">
        <v>20.379498000000002</v>
      </c>
      <c r="F53">
        <v>30.817315000000001</v>
      </c>
      <c r="G53">
        <v>27.875534999999999</v>
      </c>
      <c r="H53">
        <v>26.904463</v>
      </c>
      <c r="I53">
        <v>23.299735999999999</v>
      </c>
      <c r="J53">
        <v>56.242595000000001</v>
      </c>
      <c r="K53">
        <v>51.872363999999997</v>
      </c>
      <c r="L53">
        <v>102.791848</v>
      </c>
      <c r="M53">
        <v>-622.48367399999995</v>
      </c>
      <c r="N53">
        <v>1.87321</v>
      </c>
      <c r="O53">
        <v>11.706469999999999</v>
      </c>
      <c r="P53">
        <f t="shared" si="3"/>
        <v>3.122016666666667E-5</v>
      </c>
      <c r="Q53" cm="1">
        <f t="array" ref="Q53">[1]!PropsSI("D","T",J53+273.15,"P",101325,"Water")</f>
        <v>985.08665805326223</v>
      </c>
      <c r="R53" cm="1">
        <f t="array" ref="R53">[1]!PropsSI("D","T",K53+273.15,"P",101325,"Water")</f>
        <v>987.17676471499453</v>
      </c>
      <c r="S53">
        <f t="shared" si="4"/>
        <v>986.13171138412838</v>
      </c>
      <c r="T53" cm="1">
        <f t="array" ref="T53">[1]!PropsSI("H","T",J53+273.15,"P",101325,"Water")</f>
        <v>235527.07990142039</v>
      </c>
      <c r="U53" cm="1">
        <f t="array" ref="U53">[1]!PropsSI("H","T",K53+273.15,"P",101325,"Water")</f>
        <v>217248.00054199391</v>
      </c>
      <c r="V53">
        <f t="shared" si="5"/>
        <v>562.76160597013779</v>
      </c>
    </row>
    <row r="54" spans="1:22" x14ac:dyDescent="0.2">
      <c r="A54">
        <v>46122.840466435184</v>
      </c>
      <c r="B54">
        <v>20.319288</v>
      </c>
      <c r="C54">
        <v>20.484453999999999</v>
      </c>
      <c r="D54">
        <v>20.326839</v>
      </c>
      <c r="E54">
        <v>20.403459000000002</v>
      </c>
      <c r="F54">
        <v>30.688141999999999</v>
      </c>
      <c r="G54">
        <v>28.544063999999999</v>
      </c>
      <c r="H54">
        <v>27.464737</v>
      </c>
      <c r="I54">
        <v>23.622434999999999</v>
      </c>
      <c r="J54">
        <v>56.243709000000003</v>
      </c>
      <c r="K54">
        <v>51.873159000000001</v>
      </c>
      <c r="L54">
        <v>105.38967700000001</v>
      </c>
      <c r="M54">
        <v>-622.51877500000001</v>
      </c>
      <c r="N54">
        <v>1.8733249999999999</v>
      </c>
      <c r="O54">
        <v>11.638648999999999</v>
      </c>
      <c r="P54">
        <f t="shared" si="3"/>
        <v>3.122208333333333E-5</v>
      </c>
      <c r="Q54" cm="1">
        <f t="array" ref="Q54">[1]!PropsSI("D","T",J54+273.15,"P",101325,"Water")</f>
        <v>985.08611011952246</v>
      </c>
      <c r="R54" cm="1">
        <f t="array" ref="R54">[1]!PropsSI("D","T",K54+273.15,"P",101325,"Water")</f>
        <v>987.17639547627277</v>
      </c>
      <c r="S54">
        <f t="shared" si="4"/>
        <v>986.13125279789756</v>
      </c>
      <c r="T54" cm="1">
        <f t="array" ref="T54">[1]!PropsSI("H","T",J54+273.15,"P",101325,"Water")</f>
        <v>235531.74022905482</v>
      </c>
      <c r="U54" cm="1">
        <f t="array" ref="U54">[1]!PropsSI("H","T",K54+273.15,"P",101325,"Water")</f>
        <v>217251.32515299236</v>
      </c>
      <c r="V54">
        <f t="shared" si="5"/>
        <v>562.83701875381121</v>
      </c>
    </row>
    <row r="55" spans="1:22" x14ac:dyDescent="0.2">
      <c r="A55">
        <v>46122.840524305553</v>
      </c>
      <c r="B55">
        <v>20.351299000000001</v>
      </c>
      <c r="C55">
        <v>20.489497</v>
      </c>
      <c r="D55">
        <v>20.324918</v>
      </c>
      <c r="E55">
        <v>20.382031999999999</v>
      </c>
      <c r="F55">
        <v>30.819593999999999</v>
      </c>
      <c r="G55">
        <v>28.196711000000001</v>
      </c>
      <c r="H55">
        <v>26.943825</v>
      </c>
      <c r="I55">
        <v>23.592438999999999</v>
      </c>
      <c r="J55">
        <v>56.246256000000002</v>
      </c>
      <c r="K55">
        <v>51.879199999999997</v>
      </c>
      <c r="L55">
        <v>102.724096</v>
      </c>
      <c r="M55">
        <v>-622.52856999999995</v>
      </c>
      <c r="N55">
        <v>1.8754029999999999</v>
      </c>
      <c r="O55">
        <v>11.691399000000001</v>
      </c>
      <c r="P55">
        <f t="shared" si="3"/>
        <v>3.1256716666666665E-5</v>
      </c>
      <c r="Q55" cm="1">
        <f t="array" ref="Q55">[1]!PropsSI("D","T",J55+273.15,"P",101325,"Water")</f>
        <v>985.08485731963299</v>
      </c>
      <c r="R55" cm="1">
        <f t="array" ref="R55">[1]!PropsSI("D","T",K55+273.15,"P",101325,"Water")</f>
        <v>987.17358959376452</v>
      </c>
      <c r="S55">
        <f t="shared" si="4"/>
        <v>986.12922345669881</v>
      </c>
      <c r="T55" cm="1">
        <f t="array" ref="T55">[1]!PropsSI("H","T",J55+273.15,"P",101325,"Water")</f>
        <v>235542.39539628322</v>
      </c>
      <c r="U55" cm="1">
        <f t="array" ref="U55">[1]!PropsSI("H","T",K55+273.15,"P",101325,"Water")</f>
        <v>217276.58802124253</v>
      </c>
      <c r="V55">
        <f t="shared" si="5"/>
        <v>563.00993492855957</v>
      </c>
    </row>
    <row r="56" spans="1:22" x14ac:dyDescent="0.2">
      <c r="A56">
        <v>46122.84058275463</v>
      </c>
      <c r="B56">
        <v>20.413782000000001</v>
      </c>
      <c r="C56">
        <v>20.588356999999998</v>
      </c>
      <c r="D56">
        <v>20.304698999999999</v>
      </c>
      <c r="E56">
        <v>20.401301</v>
      </c>
      <c r="F56">
        <v>30.917228000000001</v>
      </c>
      <c r="G56">
        <v>28.414466999999998</v>
      </c>
      <c r="H56">
        <v>27.168913</v>
      </c>
      <c r="I56">
        <v>23.212748000000001</v>
      </c>
      <c r="J56">
        <v>56.248483999999998</v>
      </c>
      <c r="K56">
        <v>51.882537999999997</v>
      </c>
      <c r="L56">
        <v>102.685322</v>
      </c>
      <c r="M56">
        <v>-622.47591999999997</v>
      </c>
      <c r="N56">
        <v>1.871297</v>
      </c>
      <c r="O56">
        <v>11.524914000000001</v>
      </c>
      <c r="P56">
        <f t="shared" si="3"/>
        <v>3.1188283333333338E-5</v>
      </c>
      <c r="Q56" cm="1">
        <f t="array" ref="Q56">[1]!PropsSI("D","T",J56+273.15,"P",101325,"Water")</f>
        <v>985.08376139455288</v>
      </c>
      <c r="R56" cm="1">
        <f t="array" ref="R56">[1]!PropsSI("D","T",K56+273.15,"P",101325,"Water")</f>
        <v>987.17203908178874</v>
      </c>
      <c r="S56">
        <f t="shared" si="4"/>
        <v>986.12790023817081</v>
      </c>
      <c r="T56" cm="1">
        <f t="array" ref="T56">[1]!PropsSI("H","T",J56+273.15,"P",101325,"Water")</f>
        <v>235551.71605505852</v>
      </c>
      <c r="U56" cm="1">
        <f t="array" ref="U56">[1]!PropsSI("H","T",K56+273.15,"P",101325,"Water")</f>
        <v>217290.54721400031</v>
      </c>
      <c r="V56">
        <f t="shared" si="5"/>
        <v>561.633868302579</v>
      </c>
    </row>
    <row r="57" spans="1:22" x14ac:dyDescent="0.2">
      <c r="A57">
        <v>46122.8406412037</v>
      </c>
      <c r="B57">
        <v>20.434923000000001</v>
      </c>
      <c r="C57">
        <v>20.503236999999999</v>
      </c>
      <c r="D57">
        <v>20.298501999999999</v>
      </c>
      <c r="E57">
        <v>20.375184000000001</v>
      </c>
      <c r="F57">
        <v>30.944776000000001</v>
      </c>
      <c r="G57">
        <v>28.224578000000001</v>
      </c>
      <c r="H57">
        <v>26.983678000000001</v>
      </c>
      <c r="I57">
        <v>23.219474000000002</v>
      </c>
      <c r="J57">
        <v>56.250235000000004</v>
      </c>
      <c r="K57">
        <v>51.885559000000001</v>
      </c>
      <c r="L57">
        <v>117.930273</v>
      </c>
      <c r="M57">
        <v>-622.49510199999997</v>
      </c>
      <c r="N57">
        <v>1.8733949999999999</v>
      </c>
      <c r="O57">
        <v>11.694309000000001</v>
      </c>
      <c r="P57">
        <f t="shared" si="3"/>
        <v>3.122325E-5</v>
      </c>
      <c r="Q57" cm="1">
        <f t="array" ref="Q57">[1]!PropsSI("D","T",J57+273.15,"P",101325,"Water")</f>
        <v>985.08290007840446</v>
      </c>
      <c r="R57" cm="1">
        <f t="array" ref="R57">[1]!PropsSI("D","T",K57+273.15,"P",101325,"Water")</f>
        <v>987.1706357556377</v>
      </c>
      <c r="S57">
        <f t="shared" si="4"/>
        <v>986.12676791702108</v>
      </c>
      <c r="T57" cm="1">
        <f t="array" ref="T57">[1]!PropsSI("H","T",J57+273.15,"P",101325,"Water")</f>
        <v>235559.04122401355</v>
      </c>
      <c r="U57" cm="1">
        <f t="array" ref="U57">[1]!PropsSI("H","T",K57+273.15,"P",101325,"Water")</f>
        <v>217303.18074652975</v>
      </c>
      <c r="V57">
        <f t="shared" si="5"/>
        <v>562.09945215200264</v>
      </c>
    </row>
    <row r="58" spans="1:22" x14ac:dyDescent="0.2">
      <c r="A58">
        <v>46122.840699074077</v>
      </c>
      <c r="B58">
        <v>20.628011999999998</v>
      </c>
      <c r="C58">
        <v>20.697018</v>
      </c>
      <c r="D58">
        <v>20.276648000000002</v>
      </c>
      <c r="E58">
        <v>20.346205000000001</v>
      </c>
      <c r="F58">
        <v>31.319161000000001</v>
      </c>
      <c r="G58">
        <v>28.386225</v>
      </c>
      <c r="H58">
        <v>27.539688000000002</v>
      </c>
      <c r="I58">
        <v>23.337053999999998</v>
      </c>
      <c r="J58">
        <v>56.248325000000001</v>
      </c>
      <c r="K58">
        <v>51.857579999999999</v>
      </c>
      <c r="L58">
        <v>105.662316</v>
      </c>
      <c r="M58">
        <v>-622.493878</v>
      </c>
      <c r="N58">
        <v>1.8726240000000001</v>
      </c>
      <c r="O58">
        <v>11.56244</v>
      </c>
      <c r="P58">
        <f t="shared" si="3"/>
        <v>3.1210400000000002E-5</v>
      </c>
      <c r="Q58" cm="1">
        <f t="array" ref="Q58">[1]!PropsSI("D","T",J58+273.15,"P",101325,"Water")</f>
        <v>985.08383960565914</v>
      </c>
      <c r="R58" cm="1">
        <f t="array" ref="R58">[1]!PropsSI("D","T",K58+273.15,"P",101325,"Water")</f>
        <v>987.18363042250303</v>
      </c>
      <c r="S58">
        <f t="shared" si="4"/>
        <v>986.13373501408114</v>
      </c>
      <c r="T58" cm="1">
        <f t="array" ref="T58">[1]!PropsSI("H","T",J58+273.15,"P",101325,"Water")</f>
        <v>235551.0508912821</v>
      </c>
      <c r="U58" cm="1">
        <f t="array" ref="U58">[1]!PropsSI("H","T",K58+273.15,"P",101325,"Water")</f>
        <v>217186.1753589978</v>
      </c>
      <c r="V58">
        <f t="shared" si="5"/>
        <v>565.22731333600882</v>
      </c>
    </row>
    <row r="59" spans="1:22" x14ac:dyDescent="0.2">
      <c r="A59">
        <v>46122.840757523147</v>
      </c>
      <c r="B59">
        <v>20.601203999999999</v>
      </c>
      <c r="C59">
        <v>20.805047999999999</v>
      </c>
      <c r="D59">
        <v>20.373774000000001</v>
      </c>
      <c r="E59">
        <v>20.386053</v>
      </c>
      <c r="F59">
        <v>31.114023</v>
      </c>
      <c r="G59">
        <v>28.250191999999998</v>
      </c>
      <c r="H59">
        <v>26.950803000000001</v>
      </c>
      <c r="I59">
        <v>23.504662</v>
      </c>
      <c r="J59">
        <v>56.249757000000002</v>
      </c>
      <c r="K59">
        <v>51.868549000000002</v>
      </c>
      <c r="L59">
        <v>113.624775</v>
      </c>
      <c r="M59">
        <v>-622.46326699999997</v>
      </c>
      <c r="N59">
        <v>1.8654980000000001</v>
      </c>
      <c r="O59">
        <v>11.633705000000001</v>
      </c>
      <c r="P59">
        <f t="shared" si="3"/>
        <v>3.1091633333333339E-5</v>
      </c>
      <c r="Q59" cm="1">
        <f t="array" ref="Q59">[1]!PropsSI("D","T",J59+273.15,"P",101325,"Water")</f>
        <v>985.08313520825789</v>
      </c>
      <c r="R59" cm="1">
        <f t="array" ref="R59">[1]!PropsSI("D","T",K59+273.15,"P",101325,"Water")</f>
        <v>987.17853653999396</v>
      </c>
      <c r="S59">
        <f t="shared" si="4"/>
        <v>986.13083587412598</v>
      </c>
      <c r="T59" cm="1">
        <f t="array" ref="T59">[1]!PropsSI("H","T",J59+273.15,"P",101325,"Water")</f>
        <v>235557.04154899105</v>
      </c>
      <c r="U59" cm="1">
        <f t="array" ref="U59">[1]!PropsSI("H","T",K59+273.15,"P",101325,"Water")</f>
        <v>217232.0465937719</v>
      </c>
      <c r="V59">
        <f t="shared" si="5"/>
        <v>561.85201191286171</v>
      </c>
    </row>
    <row r="60" spans="1:22" x14ac:dyDescent="0.2">
      <c r="A60">
        <v>46122.840815393516</v>
      </c>
      <c r="B60">
        <v>20.538886000000002</v>
      </c>
      <c r="C60">
        <v>20.689882000000001</v>
      </c>
      <c r="D60">
        <v>20.348889</v>
      </c>
      <c r="E60">
        <v>20.407135</v>
      </c>
      <c r="F60">
        <v>30.982723</v>
      </c>
      <c r="G60">
        <v>28.450127999999999</v>
      </c>
      <c r="H60">
        <v>27.395444000000001</v>
      </c>
      <c r="I60">
        <v>23.495107000000001</v>
      </c>
      <c r="J60">
        <v>56.250712999999998</v>
      </c>
      <c r="K60">
        <v>51.879199999999997</v>
      </c>
      <c r="L60">
        <v>107.124692</v>
      </c>
      <c r="M60">
        <v>-622.50081599999999</v>
      </c>
      <c r="N60">
        <v>1.868428</v>
      </c>
      <c r="O60">
        <v>11.505445</v>
      </c>
      <c r="P60">
        <f t="shared" si="3"/>
        <v>3.1140466666666671E-5</v>
      </c>
      <c r="Q60" cm="1">
        <f t="array" ref="Q60">[1]!PropsSI("D","T",J60+273.15,"P",101325,"Water")</f>
        <v>985.08266494714303</v>
      </c>
      <c r="R60" cm="1">
        <f t="array" ref="R60">[1]!PropsSI("D","T",K60+273.15,"P",101325,"Water")</f>
        <v>987.17358959376452</v>
      </c>
      <c r="S60">
        <f t="shared" si="4"/>
        <v>986.12812727045377</v>
      </c>
      <c r="T60" cm="1">
        <f t="array" ref="T60">[1]!PropsSI("H","T",J60+273.15,"P",101325,"Water")</f>
        <v>235561.04089909312</v>
      </c>
      <c r="U60" cm="1">
        <f t="array" ref="U60">[1]!PropsSI("H","T",K60+273.15,"P",101325,"Water")</f>
        <v>217276.58802124253</v>
      </c>
      <c r="V60">
        <f t="shared" si="5"/>
        <v>561.48793975056174</v>
      </c>
    </row>
    <row r="61" spans="1:22" x14ac:dyDescent="0.2">
      <c r="A61">
        <v>46122.840873263885</v>
      </c>
      <c r="B61">
        <v>20.56148</v>
      </c>
      <c r="C61">
        <v>20.596229999999998</v>
      </c>
      <c r="D61">
        <v>20.313267</v>
      </c>
      <c r="E61">
        <v>20.2986</v>
      </c>
      <c r="F61">
        <v>30.997827999999998</v>
      </c>
      <c r="G61">
        <v>28.598672000000001</v>
      </c>
      <c r="H61">
        <v>27.091116</v>
      </c>
      <c r="I61">
        <v>23.651776000000002</v>
      </c>
      <c r="J61">
        <v>56.250394</v>
      </c>
      <c r="K61">
        <v>51.881265999999997</v>
      </c>
      <c r="L61">
        <v>117.125007</v>
      </c>
      <c r="M61">
        <v>-622.49428599999999</v>
      </c>
      <c r="N61">
        <v>1.8696489999999999</v>
      </c>
      <c r="O61">
        <v>11.751863</v>
      </c>
      <c r="P61">
        <f t="shared" si="3"/>
        <v>3.1160816666666665E-5</v>
      </c>
      <c r="Q61" cm="1">
        <f t="array" ref="Q61">[1]!PropsSI("D","T",J61+273.15,"P",101325,"Water")</f>
        <v>985.08282186545307</v>
      </c>
      <c r="R61" cm="1">
        <f t="array" ref="R61">[1]!PropsSI("D","T",K61+273.15,"P",101325,"Water")</f>
        <v>987.17262993840927</v>
      </c>
      <c r="S61">
        <f t="shared" si="4"/>
        <v>986.12772590193117</v>
      </c>
      <c r="T61" cm="1">
        <f t="array" ref="T61">[1]!PropsSI("H","T",J61+273.15,"P",101325,"Water")</f>
        <v>235559.70638788055</v>
      </c>
      <c r="U61" cm="1">
        <f t="array" ref="U61">[1]!PropsSI("H","T",K61+273.15,"P",101325,"Water")</f>
        <v>217285.22783273287</v>
      </c>
      <c r="V61">
        <f t="shared" si="5"/>
        <v>561.54814169079748</v>
      </c>
    </row>
    <row r="62" spans="1:22" x14ac:dyDescent="0.2">
      <c r="A62">
        <v>46122.840931134262</v>
      </c>
      <c r="B62">
        <v>20.447807000000001</v>
      </c>
      <c r="C62">
        <v>20.457744999999999</v>
      </c>
      <c r="D62">
        <v>20.185471</v>
      </c>
      <c r="E62">
        <v>20.191870000000002</v>
      </c>
      <c r="F62">
        <v>30.889368999999999</v>
      </c>
      <c r="G62">
        <v>28.293229</v>
      </c>
      <c r="H62">
        <v>26.816196999999999</v>
      </c>
      <c r="I62">
        <v>23.216391999999999</v>
      </c>
      <c r="J62">
        <v>56.251508000000001</v>
      </c>
      <c r="K62">
        <v>51.886512000000003</v>
      </c>
      <c r="L62">
        <v>111.947716</v>
      </c>
      <c r="M62">
        <v>-622.48938799999996</v>
      </c>
      <c r="N62">
        <v>1.8710469999999999</v>
      </c>
      <c r="O62">
        <v>11.71407</v>
      </c>
      <c r="P62">
        <f t="shared" si="3"/>
        <v>3.1184116666666669E-5</v>
      </c>
      <c r="Q62" cm="1">
        <f t="array" ref="Q62">[1]!PropsSI("D","T",J62+273.15,"P",101325,"Water")</f>
        <v>985.08227387845693</v>
      </c>
      <c r="R62" cm="1">
        <f t="array" ref="R62">[1]!PropsSI("D","T",K62+273.15,"P",101325,"Water")</f>
        <v>987.17019305239126</v>
      </c>
      <c r="S62">
        <f t="shared" si="4"/>
        <v>986.12623346542409</v>
      </c>
      <c r="T62" cm="1">
        <f t="array" ref="T62">[1]!PropsSI("H","T",J62+273.15,"P",101325,"Water")</f>
        <v>235564.36671879812</v>
      </c>
      <c r="U62" cm="1">
        <f t="array" ref="U62">[1]!PropsSI("H","T",K62+273.15,"P",101325,"Water")</f>
        <v>217307.16610178302</v>
      </c>
      <c r="V62">
        <f t="shared" si="5"/>
        <v>561.43585769996037</v>
      </c>
    </row>
    <row r="63" spans="1:22" x14ac:dyDescent="0.2">
      <c r="A63">
        <v>46122.840989583332</v>
      </c>
      <c r="B63">
        <v>20.318522000000002</v>
      </c>
      <c r="C63">
        <v>20.328614999999999</v>
      </c>
      <c r="D63">
        <v>20.130406000000001</v>
      </c>
      <c r="E63">
        <v>20.150006000000001</v>
      </c>
      <c r="F63">
        <v>30.802786999999999</v>
      </c>
      <c r="G63">
        <v>28.329667000000001</v>
      </c>
      <c r="H63">
        <v>27.127306999999998</v>
      </c>
      <c r="I63">
        <v>23.337999</v>
      </c>
      <c r="J63">
        <v>56.251826999999999</v>
      </c>
      <c r="K63">
        <v>51.880153999999997</v>
      </c>
      <c r="L63">
        <v>117.39111699999999</v>
      </c>
      <c r="M63">
        <v>-622.50244899999996</v>
      </c>
      <c r="N63">
        <v>1.872231</v>
      </c>
      <c r="O63">
        <v>11.440661</v>
      </c>
      <c r="P63">
        <f t="shared" si="3"/>
        <v>3.1203849999999998E-5</v>
      </c>
      <c r="Q63" cm="1">
        <f t="array" ref="Q63">[1]!PropsSI("D","T",J63+273.15,"P",101325,"Water")</f>
        <v>985.08211695798116</v>
      </c>
      <c r="R63" cm="1">
        <f t="array" ref="R63">[1]!PropsSI("D","T",K63+273.15,"P",101325,"Water")</f>
        <v>987.17314646492991</v>
      </c>
      <c r="S63">
        <f t="shared" si="4"/>
        <v>986.12763171145548</v>
      </c>
      <c r="T63" cm="1">
        <f t="array" ref="T63">[1]!PropsSI("H","T",J63+273.15,"P",101325,"Water")</f>
        <v>235565.70123019279</v>
      </c>
      <c r="U63" cm="1">
        <f t="array" ref="U63">[1]!PropsSI("H","T",K63+273.15,"P",101325,"Water")</f>
        <v>217280.57755645891</v>
      </c>
      <c r="V63">
        <f t="shared" si="5"/>
        <v>562.65115110558406</v>
      </c>
    </row>
    <row r="64" spans="1:22" x14ac:dyDescent="0.2">
      <c r="A64">
        <v>46122.841048032409</v>
      </c>
      <c r="B64">
        <v>20.369057999999999</v>
      </c>
      <c r="C64">
        <v>20.402408000000001</v>
      </c>
      <c r="D64">
        <v>20.139889</v>
      </c>
      <c r="E64">
        <v>20.208556999999999</v>
      </c>
      <c r="F64">
        <v>30.909725999999999</v>
      </c>
      <c r="G64">
        <v>28.413775999999999</v>
      </c>
      <c r="H64">
        <v>27.233412000000001</v>
      </c>
      <c r="I64">
        <v>23.313251999999999</v>
      </c>
      <c r="J64">
        <v>56.250552999999996</v>
      </c>
      <c r="K64">
        <v>51.879199999999997</v>
      </c>
      <c r="L64">
        <v>110.275555</v>
      </c>
      <c r="M64">
        <v>-622.51550899999995</v>
      </c>
      <c r="N64">
        <v>1.873399</v>
      </c>
      <c r="O64">
        <v>11.474235</v>
      </c>
      <c r="P64">
        <f t="shared" si="3"/>
        <v>3.1223316666666666E-5</v>
      </c>
      <c r="Q64" cm="1">
        <f t="array" ref="Q64">[1]!PropsSI("D","T",J64+273.15,"P",101325,"Water")</f>
        <v>985.08274365231557</v>
      </c>
      <c r="R64" cm="1">
        <f t="array" ref="R64">[1]!PropsSI("D","T",K64+273.15,"P",101325,"Water")</f>
        <v>987.17358959376452</v>
      </c>
      <c r="S64">
        <f t="shared" si="4"/>
        <v>986.12816662303999</v>
      </c>
      <c r="T64" cm="1">
        <f t="array" ref="T64">[1]!PropsSI("H","T",J64+273.15,"P",101325,"Water")</f>
        <v>235560.37155183428</v>
      </c>
      <c r="U64" cm="1">
        <f t="array" ref="U64">[1]!PropsSI("H","T",K64+273.15,"P",101325,"Water")</f>
        <v>217276.58802124253</v>
      </c>
      <c r="V64">
        <f t="shared" si="5"/>
        <v>562.96120576617545</v>
      </c>
    </row>
    <row r="65" spans="1:22" x14ac:dyDescent="0.2">
      <c r="A65">
        <v>46122.841105902779</v>
      </c>
      <c r="B65">
        <v>20.410176</v>
      </c>
      <c r="C65">
        <v>20.43993</v>
      </c>
      <c r="D65">
        <v>20.215706999999998</v>
      </c>
      <c r="E65">
        <v>20.286811</v>
      </c>
      <c r="F65">
        <v>30.860811999999999</v>
      </c>
      <c r="G65">
        <v>28.422812</v>
      </c>
      <c r="H65">
        <v>27.336711000000001</v>
      </c>
      <c r="I65">
        <v>23.488026999999999</v>
      </c>
      <c r="J65">
        <v>56.250872000000001</v>
      </c>
      <c r="K65">
        <v>51.874907999999998</v>
      </c>
      <c r="L65">
        <v>102.387378</v>
      </c>
      <c r="M65">
        <v>-622.49591899999996</v>
      </c>
      <c r="N65">
        <v>1.878681</v>
      </c>
      <c r="O65">
        <v>11.707144</v>
      </c>
      <c r="P65">
        <f t="shared" si="3"/>
        <v>3.1311350000000003E-5</v>
      </c>
      <c r="Q65" cm="1">
        <f t="array" ref="Q65">[1]!PropsSI("D","T",J65+273.15,"P",101325,"Water")</f>
        <v>985.08258673372859</v>
      </c>
      <c r="R65" cm="1">
        <f t="array" ref="R65">[1]!PropsSI("D","T",K65+273.15,"P",101325,"Water")</f>
        <v>987.17558313678853</v>
      </c>
      <c r="S65">
        <f t="shared" si="4"/>
        <v>986.12908493525856</v>
      </c>
      <c r="T65" cm="1">
        <f t="array" ref="T65">[1]!PropsSI("H","T",J65+273.15,"P",101325,"Water")</f>
        <v>235561.70606304321</v>
      </c>
      <c r="U65" cm="1">
        <f t="array" ref="U65">[1]!PropsSI("H","T",K65+273.15,"P",101325,"Water")</f>
        <v>217258.63929787886</v>
      </c>
      <c r="V65">
        <f t="shared" si="5"/>
        <v>565.14439511060164</v>
      </c>
    </row>
    <row r="66" spans="1:22" x14ac:dyDescent="0.2">
      <c r="A66">
        <v>46122.841164351848</v>
      </c>
      <c r="B66">
        <v>20.432231999999999</v>
      </c>
      <c r="C66">
        <v>20.445550000000001</v>
      </c>
      <c r="D66">
        <v>20.134048</v>
      </c>
      <c r="E66">
        <v>20.194735000000001</v>
      </c>
      <c r="F66">
        <v>30.906282999999998</v>
      </c>
      <c r="G66">
        <v>28.352855000000002</v>
      </c>
      <c r="H66">
        <v>27.034126000000001</v>
      </c>
      <c r="I66">
        <v>23.342676000000001</v>
      </c>
      <c r="J66">
        <v>56.250872000000001</v>
      </c>
      <c r="K66">
        <v>51.870139000000002</v>
      </c>
      <c r="L66">
        <v>93.675161000000003</v>
      </c>
      <c r="M66">
        <v>-622.49836700000003</v>
      </c>
      <c r="N66">
        <v>1.8743449999999999</v>
      </c>
      <c r="O66">
        <v>11.703344</v>
      </c>
      <c r="P66">
        <f t="shared" si="3"/>
        <v>3.1239083333333334E-5</v>
      </c>
      <c r="Q66" cm="1">
        <f t="array" ref="Q66">[1]!PropsSI("D","T",J66+273.15,"P",101325,"Water")</f>
        <v>985.08258673372859</v>
      </c>
      <c r="R66" cm="1">
        <f t="array" ref="R66">[1]!PropsSI("D","T",K66+273.15,"P",101325,"Water")</f>
        <v>987.17779809741705</v>
      </c>
      <c r="S66">
        <f t="shared" si="4"/>
        <v>986.13019241557276</v>
      </c>
      <c r="T66" cm="1">
        <f t="array" ref="T66">[1]!PropsSI("H","T",J66+273.15,"P",101325,"Water")</f>
        <v>235561.70606304321</v>
      </c>
      <c r="U66" cm="1">
        <f t="array" ref="U66">[1]!PropsSI("H","T",K66+273.15,"P",101325,"Water")</f>
        <v>217238.69581413644</v>
      </c>
      <c r="V66">
        <f t="shared" si="5"/>
        <v>564.45504882921421</v>
      </c>
    </row>
    <row r="67" spans="1:22" x14ac:dyDescent="0.2">
      <c r="A67">
        <v>46122.841222222225</v>
      </c>
      <c r="B67">
        <v>20.352779999999999</v>
      </c>
      <c r="C67">
        <v>20.408785000000002</v>
      </c>
      <c r="D67">
        <v>20.147891000000001</v>
      </c>
      <c r="E67">
        <v>20.237611999999999</v>
      </c>
      <c r="F67">
        <v>30.670662</v>
      </c>
      <c r="G67">
        <v>28.476358999999999</v>
      </c>
      <c r="H67">
        <v>27.019171</v>
      </c>
      <c r="I67">
        <v>23.297919</v>
      </c>
      <c r="J67">
        <v>56.249917000000003</v>
      </c>
      <c r="K67">
        <v>51.870615999999998</v>
      </c>
      <c r="L67">
        <v>105.003574</v>
      </c>
      <c r="M67">
        <v>-622.47306300000002</v>
      </c>
      <c r="N67">
        <v>1.870965</v>
      </c>
      <c r="O67">
        <v>11.618952</v>
      </c>
      <c r="P67">
        <f t="shared" si="3"/>
        <v>3.1182749999999999E-5</v>
      </c>
      <c r="Q67" cm="1">
        <f t="array" ref="Q67">[1]!PropsSI("D","T",J67+273.15,"P",101325,"Water")</f>
        <v>985.08305650386671</v>
      </c>
      <c r="R67" cm="1">
        <f t="array" ref="R67">[1]!PropsSI("D","T",K67+273.15,"P",101325,"Water")</f>
        <v>987.17757656148058</v>
      </c>
      <c r="S67">
        <f t="shared" si="4"/>
        <v>986.13031653267365</v>
      </c>
      <c r="T67" cm="1">
        <f t="array" ref="T67">[1]!PropsSI("H","T",J67+273.15,"P",101325,"Water")</f>
        <v>235557.71089628321</v>
      </c>
      <c r="U67" cm="1">
        <f t="array" ref="U67">[1]!PropsSI("H","T",K67+273.15,"P",101325,"Water")</f>
        <v>217240.69058035291</v>
      </c>
      <c r="V67">
        <f t="shared" si="5"/>
        <v>563.2530478970375</v>
      </c>
    </row>
    <row r="68" spans="1:22" x14ac:dyDescent="0.2">
      <c r="A68">
        <v>46122.841280092594</v>
      </c>
      <c r="B68">
        <v>20.294395000000002</v>
      </c>
      <c r="C68">
        <v>20.392681</v>
      </c>
      <c r="D68">
        <v>20.129235000000001</v>
      </c>
      <c r="E68">
        <v>20.199390999999999</v>
      </c>
      <c r="F68">
        <v>30.887492999999999</v>
      </c>
      <c r="G68">
        <v>28.058254999999999</v>
      </c>
      <c r="H68">
        <v>27.290619</v>
      </c>
      <c r="I68">
        <v>23.184963</v>
      </c>
      <c r="J68">
        <v>56.247369999999997</v>
      </c>
      <c r="K68">
        <v>51.868867000000002</v>
      </c>
      <c r="L68">
        <v>92.906220000000005</v>
      </c>
      <c r="M68">
        <v>-622.49306200000001</v>
      </c>
      <c r="N68">
        <v>1.8728130000000001</v>
      </c>
      <c r="O68">
        <v>11.642130999999999</v>
      </c>
      <c r="P68">
        <f t="shared" si="3"/>
        <v>3.1213549999999999E-5</v>
      </c>
      <c r="Q68" cm="1">
        <f t="array" ref="Q68">[1]!PropsSI("D","T",J68+273.15,"P",101325,"Water")</f>
        <v>985.08430936090178</v>
      </c>
      <c r="R68" cm="1">
        <f t="array" ref="R68">[1]!PropsSI("D","T",K68+273.15,"P",101325,"Water")</f>
        <v>987.17838885277013</v>
      </c>
      <c r="S68">
        <f t="shared" si="4"/>
        <v>986.13134910683596</v>
      </c>
      <c r="T68" cm="1">
        <f t="array" ref="T68">[1]!PropsSI("H","T",J68+273.15,"P",101325,"Water")</f>
        <v>235547.05572546445</v>
      </c>
      <c r="U68" cm="1">
        <f t="array" ref="U68">[1]!PropsSI("H","T",K68+273.15,"P",101325,"Water")</f>
        <v>217233.37643777477</v>
      </c>
      <c r="V68">
        <f t="shared" si="5"/>
        <v>563.70713865179016</v>
      </c>
    </row>
    <row r="69" spans="1:22" x14ac:dyDescent="0.2">
      <c r="A69">
        <v>46122.841337962964</v>
      </c>
      <c r="B69">
        <v>20.241624999999999</v>
      </c>
      <c r="C69">
        <v>20.291602000000001</v>
      </c>
      <c r="D69">
        <v>20.110346</v>
      </c>
      <c r="E69">
        <v>20.208725000000001</v>
      </c>
      <c r="F69">
        <v>30.579626000000001</v>
      </c>
      <c r="G69">
        <v>28.372214</v>
      </c>
      <c r="H69">
        <v>27.250734999999999</v>
      </c>
      <c r="I69">
        <v>23.201270999999998</v>
      </c>
      <c r="J69">
        <v>56.246574000000003</v>
      </c>
      <c r="K69">
        <v>51.867913000000001</v>
      </c>
      <c r="L69">
        <v>102.82205</v>
      </c>
      <c r="M69">
        <v>-622.52408000000003</v>
      </c>
      <c r="N69">
        <v>1.878414</v>
      </c>
      <c r="O69">
        <v>11.651573000000001</v>
      </c>
      <c r="P69">
        <f t="shared" si="3"/>
        <v>3.1306900000000003E-5</v>
      </c>
      <c r="Q69" cm="1">
        <f t="array" ref="Q69">[1]!PropsSI("D","T",J69+273.15,"P",101325,"Water")</f>
        <v>985.08470090130515</v>
      </c>
      <c r="R69" cm="1">
        <f t="array" ref="R69">[1]!PropsSI("D","T",K69+273.15,"P",101325,"Water")</f>
        <v>987.17883191246926</v>
      </c>
      <c r="S69">
        <f t="shared" si="4"/>
        <v>986.13176640688721</v>
      </c>
      <c r="T69" cm="1">
        <f t="array" ref="T69">[1]!PropsSI("H","T",J69+273.15,"P",101325,"Water")</f>
        <v>235543.72572360153</v>
      </c>
      <c r="U69" cm="1">
        <f t="array" ref="U69">[1]!PropsSI("H","T",K69+273.15,"P",101325,"Water")</f>
        <v>217229.38690588874</v>
      </c>
      <c r="V69">
        <f t="shared" si="5"/>
        <v>565.41361176600446</v>
      </c>
    </row>
    <row r="70" spans="1:22" x14ac:dyDescent="0.2">
      <c r="A70">
        <v>46122.841396412034</v>
      </c>
      <c r="B70">
        <v>20.224989999999998</v>
      </c>
      <c r="C70">
        <v>20.273713000000001</v>
      </c>
      <c r="D70">
        <v>20.124959</v>
      </c>
      <c r="E70">
        <v>20.239729000000001</v>
      </c>
      <c r="F70">
        <v>30.786100999999999</v>
      </c>
      <c r="G70">
        <v>28.381553</v>
      </c>
      <c r="H70">
        <v>26.775079999999999</v>
      </c>
      <c r="I70">
        <v>23.101927</v>
      </c>
      <c r="J70">
        <v>56.247051999999996</v>
      </c>
      <c r="K70">
        <v>51.865369999999999</v>
      </c>
      <c r="L70">
        <v>109.782518</v>
      </c>
      <c r="M70">
        <v>-622.49755100000004</v>
      </c>
      <c r="N70">
        <v>1.8745419999999999</v>
      </c>
      <c r="O70">
        <v>11.704425000000001</v>
      </c>
      <c r="P70">
        <f t="shared" si="3"/>
        <v>3.1242366666666664E-5</v>
      </c>
      <c r="Q70" cm="1">
        <f t="array" ref="Q70">[1]!PropsSI("D","T",J70+273.15,"P",101325,"Water")</f>
        <v>985.08446578075916</v>
      </c>
      <c r="R70" cm="1">
        <f t="array" ref="R70">[1]!PropsSI("D","T",K70+273.15,"P",101325,"Water")</f>
        <v>987.18001291203416</v>
      </c>
      <c r="S70">
        <f t="shared" si="4"/>
        <v>986.13223934639666</v>
      </c>
      <c r="T70" cm="1">
        <f t="array" ref="T70">[1]!PropsSI("H","T",J70+273.15,"P",101325,"Water")</f>
        <v>235545.72539806477</v>
      </c>
      <c r="U70" cm="1">
        <f t="array" ref="U70">[1]!PropsSI("H","T",K70+273.15,"P",101325,"Water")</f>
        <v>217218.75233741952</v>
      </c>
      <c r="V70">
        <f t="shared" si="5"/>
        <v>564.63763742139099</v>
      </c>
    </row>
    <row r="71" spans="1:22" x14ac:dyDescent="0.2">
      <c r="A71">
        <v>46122.84145428241</v>
      </c>
      <c r="B71">
        <v>20.251214999999998</v>
      </c>
      <c r="C71">
        <v>20.341276000000001</v>
      </c>
      <c r="D71">
        <v>20.170921</v>
      </c>
      <c r="E71">
        <v>20.266836999999999</v>
      </c>
      <c r="F71">
        <v>30.826983999999999</v>
      </c>
      <c r="G71">
        <v>28.368327000000001</v>
      </c>
      <c r="H71">
        <v>27.131547000000001</v>
      </c>
      <c r="I71">
        <v>23.301772</v>
      </c>
      <c r="J71">
        <v>56.248643000000001</v>
      </c>
      <c r="K71">
        <v>51.866959000000001</v>
      </c>
      <c r="L71">
        <v>107.08428600000001</v>
      </c>
      <c r="M71">
        <v>-622.48693900000001</v>
      </c>
      <c r="N71">
        <v>1.8721779999999999</v>
      </c>
      <c r="O71">
        <v>11.796404000000001</v>
      </c>
      <c r="P71">
        <f t="shared" si="3"/>
        <v>3.1202966666666666E-5</v>
      </c>
      <c r="Q71" cm="1">
        <f t="array" ref="Q71">[1]!PropsSI("D","T",J71+273.15,"P",101325,"Water")</f>
        <v>985.08368318331077</v>
      </c>
      <c r="R71" cm="1">
        <f t="array" ref="R71">[1]!PropsSI("D","T",K71+273.15,"P",101325,"Water")</f>
        <v>987.17927496630273</v>
      </c>
      <c r="S71">
        <f t="shared" si="4"/>
        <v>986.13147907480675</v>
      </c>
      <c r="T71" cm="1">
        <f t="array" ref="T71">[1]!PropsSI("H","T",J71+273.15,"P",101325,"Water")</f>
        <v>235552.38121885149</v>
      </c>
      <c r="U71" cm="1">
        <f t="array" ref="U71">[1]!PropsSI("H","T",K71+273.15,"P",101325,"Water")</f>
        <v>217225.39737431103</v>
      </c>
      <c r="V71">
        <f t="shared" si="5"/>
        <v>563.92546541048659</v>
      </c>
    </row>
    <row r="72" spans="1:22" x14ac:dyDescent="0.2">
      <c r="A72">
        <v>46122.84151273148</v>
      </c>
      <c r="B72">
        <v>20.3566</v>
      </c>
      <c r="C72">
        <v>20.517734999999998</v>
      </c>
      <c r="D72">
        <v>20.198799999999999</v>
      </c>
      <c r="E72">
        <v>20.286618000000001</v>
      </c>
      <c r="F72">
        <v>30.835412000000002</v>
      </c>
      <c r="G72">
        <v>28.301763999999999</v>
      </c>
      <c r="H72">
        <v>27.259211000000001</v>
      </c>
      <c r="I72">
        <v>23.321518000000001</v>
      </c>
      <c r="J72">
        <v>56.249757000000002</v>
      </c>
      <c r="K72">
        <v>51.869343999999998</v>
      </c>
      <c r="L72">
        <v>105.174177</v>
      </c>
      <c r="M72">
        <v>-622.506122</v>
      </c>
      <c r="N72">
        <v>1.872255</v>
      </c>
      <c r="O72">
        <v>11.502878000000001</v>
      </c>
      <c r="P72">
        <f t="shared" si="3"/>
        <v>3.1204249999999999E-5</v>
      </c>
      <c r="Q72" cm="1">
        <f t="array" ref="Q72">[1]!PropsSI("D","T",J72+273.15,"P",101325,"Water")</f>
        <v>985.08313520825789</v>
      </c>
      <c r="R72" cm="1">
        <f t="array" ref="R72">[1]!PropsSI("D","T",K72+273.15,"P",101325,"Water")</f>
        <v>987.17816732075175</v>
      </c>
      <c r="S72">
        <f t="shared" si="4"/>
        <v>986.13065126450488</v>
      </c>
      <c r="T72" cm="1">
        <f t="array" ref="T72">[1]!PropsSI("H","T",J72+273.15,"P",101325,"Water")</f>
        <v>235557.04154899105</v>
      </c>
      <c r="U72" cm="1">
        <f t="array" ref="U72">[1]!PropsSI("H","T",K72+273.15,"P",101325,"Water")</f>
        <v>217235.37120385226</v>
      </c>
      <c r="V72">
        <f t="shared" si="5"/>
        <v>563.78468127582096</v>
      </c>
    </row>
    <row r="73" spans="1:22" x14ac:dyDescent="0.2">
      <c r="A73">
        <v>46122.84157060185</v>
      </c>
      <c r="B73">
        <v>20.297453000000001</v>
      </c>
      <c r="C73">
        <v>20.423805000000002</v>
      </c>
      <c r="D73">
        <v>20.198888</v>
      </c>
      <c r="E73">
        <v>20.319095999999998</v>
      </c>
      <c r="F73">
        <v>30.822778</v>
      </c>
      <c r="G73">
        <v>28.326478000000002</v>
      </c>
      <c r="H73">
        <v>26.937422999999999</v>
      </c>
      <c r="I73">
        <v>23.215157000000001</v>
      </c>
      <c r="J73">
        <v>56.250076</v>
      </c>
      <c r="K73">
        <v>51.877133000000001</v>
      </c>
      <c r="L73">
        <v>112.70114700000001</v>
      </c>
      <c r="M73">
        <v>-622.47265400000003</v>
      </c>
      <c r="N73">
        <v>1.8711819999999999</v>
      </c>
      <c r="O73">
        <v>11.717347999999999</v>
      </c>
      <c r="P73">
        <f t="shared" si="3"/>
        <v>3.1186366666666663E-5</v>
      </c>
      <c r="Q73" cm="1">
        <f t="array" ref="Q73">[1]!PropsSI("D","T",J73+273.15,"P",101325,"Water")</f>
        <v>985.08297829122273</v>
      </c>
      <c r="R73" cm="1">
        <f t="array" ref="R73">[1]!PropsSI("D","T",K73+273.15,"P",101325,"Water")</f>
        <v>987.17454968622405</v>
      </c>
      <c r="S73">
        <f t="shared" si="4"/>
        <v>986.12876398872345</v>
      </c>
      <c r="T73" cm="1">
        <f t="array" ref="T73">[1]!PropsSI("H","T",J73+273.15,"P",101325,"Water")</f>
        <v>235558.37606016235</v>
      </c>
      <c r="U73" cm="1">
        <f t="array" ref="U73">[1]!PropsSI("H","T",K73+273.15,"P",101325,"Water")</f>
        <v>217267.9440290686</v>
      </c>
      <c r="V73">
        <f t="shared" si="5"/>
        <v>562.49979867580953</v>
      </c>
    </row>
    <row r="74" spans="1:22" x14ac:dyDescent="0.2">
      <c r="A74">
        <v>46122.841629050927</v>
      </c>
      <c r="B74">
        <v>20.203907000000001</v>
      </c>
      <c r="C74">
        <v>20.35868</v>
      </c>
      <c r="D74">
        <v>20.101737</v>
      </c>
      <c r="E74">
        <v>20.205949</v>
      </c>
      <c r="F74">
        <v>30.795632000000001</v>
      </c>
      <c r="G74">
        <v>28.51174</v>
      </c>
      <c r="H74">
        <v>27.434830000000002</v>
      </c>
      <c r="I74">
        <v>23.142555000000002</v>
      </c>
      <c r="J74">
        <v>56.249279999999999</v>
      </c>
      <c r="K74">
        <v>51.864257000000002</v>
      </c>
      <c r="L74">
        <v>107.79404599999999</v>
      </c>
      <c r="M74">
        <v>-622.49918400000001</v>
      </c>
      <c r="N74">
        <v>1.8675470000000001</v>
      </c>
      <c r="O74">
        <v>11.526401</v>
      </c>
      <c r="P74">
        <f t="shared" si="3"/>
        <v>3.1125783333333336E-5</v>
      </c>
      <c r="Q74" cm="1">
        <f t="array" ref="Q74">[1]!PropsSI("D","T",J74+273.15,"P",101325,"Water")</f>
        <v>985.08336984480673</v>
      </c>
      <c r="R74" cm="1">
        <f t="array" ref="R74">[1]!PropsSI("D","T",K74+273.15,"P",101325,"Water")</f>
        <v>987.18052978943433</v>
      </c>
      <c r="S74">
        <f t="shared" si="4"/>
        <v>986.13194981712059</v>
      </c>
      <c r="T74" cm="1">
        <f t="array" ref="T74">[1]!PropsSI("H","T",J74+273.15,"P",101325,"Water")</f>
        <v>235555.04605749241</v>
      </c>
      <c r="U74" cm="1">
        <f t="array" ref="U74">[1]!PropsSI("H","T",K74+273.15,"P",101325,"Water")</f>
        <v>217214.09788482531</v>
      </c>
      <c r="V74">
        <f t="shared" si="5"/>
        <v>562.95943667882818</v>
      </c>
    </row>
    <row r="75" spans="1:22" x14ac:dyDescent="0.2">
      <c r="A75">
        <v>46122.841686921296</v>
      </c>
      <c r="B75">
        <v>20.237428999999999</v>
      </c>
      <c r="C75">
        <v>20.462026000000002</v>
      </c>
      <c r="D75">
        <v>20.124524000000001</v>
      </c>
      <c r="E75">
        <v>20.280190999999999</v>
      </c>
      <c r="F75">
        <v>30.885382</v>
      </c>
      <c r="G75">
        <v>27.866340000000001</v>
      </c>
      <c r="H75">
        <v>26.781286999999999</v>
      </c>
      <c r="I75">
        <v>23.057516</v>
      </c>
      <c r="J75">
        <v>56.253259</v>
      </c>
      <c r="K75">
        <v>51.865847000000002</v>
      </c>
      <c r="L75">
        <v>101.158052</v>
      </c>
      <c r="M75">
        <v>-622.480817</v>
      </c>
      <c r="N75">
        <v>1.8725179999999999</v>
      </c>
      <c r="O75">
        <v>11.708567</v>
      </c>
      <c r="P75">
        <f t="shared" si="3"/>
        <v>3.1208633333333331E-5</v>
      </c>
      <c r="Q75" cm="1">
        <f t="array" ref="Q75">[1]!PropsSI("D","T",J75+273.15,"P",101325,"Water")</f>
        <v>985.08141252985763</v>
      </c>
      <c r="R75" cm="1">
        <f t="array" ref="R75">[1]!PropsSI("D","T",K75+273.15,"P",101325,"Water")</f>
        <v>987.17979139068359</v>
      </c>
      <c r="S75">
        <f t="shared" si="4"/>
        <v>986.13060196027061</v>
      </c>
      <c r="T75" cm="1">
        <f t="array" ref="T75">[1]!PropsSI("H","T",J75+273.15,"P",101325,"Water")</f>
        <v>235571.69188977394</v>
      </c>
      <c r="U75" cm="1">
        <f t="array" ref="U75">[1]!PropsSI("H","T",K75+273.15,"P",101325,"Water")</f>
        <v>217220.74710294255</v>
      </c>
      <c r="V75">
        <f t="shared" si="5"/>
        <v>564.76479324739023</v>
      </c>
    </row>
    <row r="76" spans="1:22" x14ac:dyDescent="0.2">
      <c r="A76">
        <v>46122.841744791665</v>
      </c>
      <c r="B76">
        <v>20.286134000000001</v>
      </c>
      <c r="C76">
        <v>20.402830999999999</v>
      </c>
      <c r="D76">
        <v>20.200199999999999</v>
      </c>
      <c r="E76">
        <v>20.303166000000001</v>
      </c>
      <c r="F76">
        <v>30.884249000000001</v>
      </c>
      <c r="G76">
        <v>28.605938999999999</v>
      </c>
      <c r="H76">
        <v>27.835007999999998</v>
      </c>
      <c r="I76">
        <v>23.262599000000002</v>
      </c>
      <c r="J76">
        <v>56.254213999999997</v>
      </c>
      <c r="K76">
        <v>51.873159000000001</v>
      </c>
      <c r="L76">
        <v>109.402537</v>
      </c>
      <c r="M76">
        <v>-622.48897999999997</v>
      </c>
      <c r="N76">
        <v>1.871969</v>
      </c>
      <c r="O76">
        <v>11.697613</v>
      </c>
      <c r="P76">
        <f t="shared" si="3"/>
        <v>3.1199483333333335E-5</v>
      </c>
      <c r="Q76" cm="1">
        <f t="array" ref="Q76">[1]!PropsSI("D","T",J76+273.15,"P",101325,"Water")</f>
        <v>985.08094274017253</v>
      </c>
      <c r="R76" cm="1">
        <f t="array" ref="R76">[1]!PropsSI("D","T",K76+273.15,"P",101325,"Water")</f>
        <v>987.17639547627277</v>
      </c>
      <c r="S76">
        <f t="shared" si="4"/>
        <v>986.12866910822265</v>
      </c>
      <c r="T76" cm="1">
        <f t="array" ref="T76">[1]!PropsSI("H","T",J76+273.15,"P",101325,"Water")</f>
        <v>235575.68705774596</v>
      </c>
      <c r="U76" cm="1">
        <f t="array" ref="U76">[1]!PropsSI("H","T",K76+273.15,"P",101325,"Water")</f>
        <v>217251.32515299236</v>
      </c>
      <c r="V76">
        <f t="shared" si="5"/>
        <v>563.78023660368092</v>
      </c>
    </row>
    <row r="77" spans="1:22" x14ac:dyDescent="0.2">
      <c r="A77">
        <v>46122.841803240743</v>
      </c>
      <c r="B77">
        <v>20.239812000000001</v>
      </c>
      <c r="C77">
        <v>20.377331999999999</v>
      </c>
      <c r="D77">
        <v>20.171455999999999</v>
      </c>
      <c r="E77">
        <v>20.293785</v>
      </c>
      <c r="F77">
        <v>30.981033</v>
      </c>
      <c r="G77">
        <v>28.524357999999999</v>
      </c>
      <c r="H77">
        <v>27.081745999999999</v>
      </c>
      <c r="I77">
        <v>23.389517999999999</v>
      </c>
      <c r="J77">
        <v>56.254055000000001</v>
      </c>
      <c r="K77">
        <v>51.877291999999997</v>
      </c>
      <c r="L77">
        <v>118.09148999999999</v>
      </c>
      <c r="M77">
        <v>-622.50816299999997</v>
      </c>
      <c r="N77">
        <v>1.8713660000000001</v>
      </c>
      <c r="O77">
        <v>11.518407</v>
      </c>
      <c r="P77">
        <f t="shared" si="3"/>
        <v>3.1189433333333337E-5</v>
      </c>
      <c r="Q77" cm="1">
        <f t="array" ref="Q77">[1]!PropsSI("D","T",J77+273.15,"P",101325,"Water")</f>
        <v>985.08102095683967</v>
      </c>
      <c r="R77" cm="1">
        <f t="array" ref="R77">[1]!PropsSI("D","T",K77+273.15,"P",101325,"Water")</f>
        <v>987.17447583391754</v>
      </c>
      <c r="S77">
        <f t="shared" si="4"/>
        <v>986.1277483953786</v>
      </c>
      <c r="T77" cm="1">
        <f t="array" ref="T77">[1]!PropsSI("H","T",J77+273.15,"P",101325,"Water")</f>
        <v>235575.02189364118</v>
      </c>
      <c r="U77" cm="1">
        <f t="array" ref="U77">[1]!PropsSI("H","T",K77+273.15,"P",101325,"Water")</f>
        <v>217268.60895149157</v>
      </c>
      <c r="V77">
        <f t="shared" si="5"/>
        <v>563.04605306004828</v>
      </c>
    </row>
    <row r="78" spans="1:22" x14ac:dyDescent="0.2">
      <c r="A78">
        <v>46122.841861111112</v>
      </c>
      <c r="B78">
        <v>20.318570999999999</v>
      </c>
      <c r="C78">
        <v>20.630215</v>
      </c>
      <c r="D78">
        <v>20.221912</v>
      </c>
      <c r="E78">
        <v>20.312249000000001</v>
      </c>
      <c r="F78">
        <v>31.080579</v>
      </c>
      <c r="G78">
        <v>28.774297000000001</v>
      </c>
      <c r="H78">
        <v>27.512060000000002</v>
      </c>
      <c r="I78">
        <v>23.324743000000002</v>
      </c>
      <c r="J78">
        <v>56.255327999999999</v>
      </c>
      <c r="K78">
        <v>51.881107999999998</v>
      </c>
      <c r="L78">
        <v>96.379515999999995</v>
      </c>
      <c r="M78">
        <v>-622.48122499999999</v>
      </c>
      <c r="N78">
        <v>1.8726609999999999</v>
      </c>
      <c r="O78">
        <v>11.70431</v>
      </c>
      <c r="P78">
        <f t="shared" si="3"/>
        <v>3.1211016666666667E-5</v>
      </c>
      <c r="Q78" cm="1">
        <f t="array" ref="Q78">[1]!PropsSI("D","T",J78+273.15,"P",101325,"Water")</f>
        <v>985.08039472708981</v>
      </c>
      <c r="R78" cm="1">
        <f t="array" ref="R78">[1]!PropsSI("D","T",K78+273.15,"P",101325,"Water")</f>
        <v>987.17270333023919</v>
      </c>
      <c r="S78">
        <f t="shared" si="4"/>
        <v>986.1265490286645</v>
      </c>
      <c r="T78" cm="1">
        <f t="array" ref="T78">[1]!PropsSI("H","T",J78+273.15,"P",101325,"Water")</f>
        <v>235580.34739027673</v>
      </c>
      <c r="U78" cm="1">
        <f t="array" ref="U78">[1]!PropsSI("H","T",K78+273.15,"P",101325,"Water")</f>
        <v>217284.56709200834</v>
      </c>
      <c r="V78">
        <f t="shared" si="5"/>
        <v>563.1077484451281</v>
      </c>
    </row>
    <row r="79" spans="1:22" x14ac:dyDescent="0.2">
      <c r="A79">
        <v>46122.841919560182</v>
      </c>
      <c r="B79">
        <v>20.340333000000001</v>
      </c>
      <c r="C79">
        <v>20.446356000000002</v>
      </c>
      <c r="D79">
        <v>20.178958000000002</v>
      </c>
      <c r="E79">
        <v>20.269736999999999</v>
      </c>
      <c r="F79">
        <v>31.08193</v>
      </c>
      <c r="G79">
        <v>28.362767999999999</v>
      </c>
      <c r="H79">
        <v>26.906338000000002</v>
      </c>
      <c r="I79">
        <v>23.429507999999998</v>
      </c>
      <c r="J79">
        <v>56.257078999999997</v>
      </c>
      <c r="K79">
        <v>51.881425</v>
      </c>
      <c r="L79">
        <v>120.328112</v>
      </c>
      <c r="M79">
        <v>-622.50693799999999</v>
      </c>
      <c r="N79">
        <v>1.8732310000000001</v>
      </c>
      <c r="O79">
        <v>11.525193</v>
      </c>
      <c r="P79">
        <f t="shared" si="3"/>
        <v>3.1220516666666667E-5</v>
      </c>
      <c r="Q79" cm="1">
        <f t="array" ref="Q79">[1]!PropsSI("D","T",J79+273.15,"P",101325,"Water")</f>
        <v>985.07953333750015</v>
      </c>
      <c r="R79" cm="1">
        <f t="array" ref="R79">[1]!PropsSI("D","T",K79+273.15,"P",101325,"Water")</f>
        <v>987.17255608189384</v>
      </c>
      <c r="S79">
        <f t="shared" si="4"/>
        <v>986.126044709697</v>
      </c>
      <c r="T79" cm="1">
        <f t="array" ref="T79">[1]!PropsSI("H","T",J79+273.15,"P",101325,"Water")</f>
        <v>235587.67256380591</v>
      </c>
      <c r="U79" cm="1">
        <f t="array" ref="U79">[1]!PropsSI("H","T",K79+273.15,"P",101325,"Water")</f>
        <v>217285.89275536672</v>
      </c>
      <c r="V79">
        <f t="shared" si="5"/>
        <v>563.46356805292623</v>
      </c>
    </row>
    <row r="80" spans="1:22" x14ac:dyDescent="0.2">
      <c r="A80">
        <v>46122.841977430558</v>
      </c>
      <c r="B80">
        <v>20.334073</v>
      </c>
      <c r="C80">
        <v>20.442005999999999</v>
      </c>
      <c r="D80">
        <v>20.191552999999999</v>
      </c>
      <c r="E80">
        <v>20.283581000000002</v>
      </c>
      <c r="F80">
        <v>31.064959000000002</v>
      </c>
      <c r="G80">
        <v>28.255876000000001</v>
      </c>
      <c r="H80">
        <v>27.425207</v>
      </c>
      <c r="I80">
        <v>23.584700000000002</v>
      </c>
      <c r="J80">
        <v>56.260103999999998</v>
      </c>
      <c r="K80">
        <v>51.882061</v>
      </c>
      <c r="L80">
        <v>101.960461</v>
      </c>
      <c r="M80">
        <v>-622.48653100000001</v>
      </c>
      <c r="N80">
        <v>1.8696079999999999</v>
      </c>
      <c r="O80">
        <v>11.703433</v>
      </c>
      <c r="P80">
        <f t="shared" si="3"/>
        <v>3.1160133333333333E-5</v>
      </c>
      <c r="Q80" cm="1">
        <f t="array" ref="Q80">[1]!PropsSI("D","T",J80+273.15,"P",101325,"Water")</f>
        <v>985.07804517017769</v>
      </c>
      <c r="R80" cm="1">
        <f t="array" ref="R80">[1]!PropsSI("D","T",K80+273.15,"P",101325,"Water")</f>
        <v>987.17226065422847</v>
      </c>
      <c r="S80">
        <f t="shared" si="4"/>
        <v>986.12515291220302</v>
      </c>
      <c r="T80" cm="1">
        <f t="array" ref="T80">[1]!PropsSI("H","T",J80+273.15,"P",101325,"Water")</f>
        <v>235600.32742084374</v>
      </c>
      <c r="U80" cm="1">
        <f t="array" ref="U80">[1]!PropsSI("H","T",K80+273.15,"P",101325,"Water")</f>
        <v>217288.55244596204</v>
      </c>
      <c r="V80">
        <f t="shared" si="5"/>
        <v>562.68039881030927</v>
      </c>
    </row>
    <row r="81" spans="1:22" x14ac:dyDescent="0.2">
      <c r="A81">
        <v>46122.842035879628</v>
      </c>
      <c r="B81">
        <v>20.421794999999999</v>
      </c>
      <c r="C81">
        <v>20.689145</v>
      </c>
      <c r="D81">
        <v>20.225833999999999</v>
      </c>
      <c r="E81">
        <v>20.264212000000001</v>
      </c>
      <c r="F81">
        <v>31.110074000000001</v>
      </c>
      <c r="G81">
        <v>28.598058999999999</v>
      </c>
      <c r="H81">
        <v>26.975652</v>
      </c>
      <c r="I81">
        <v>23.805523999999998</v>
      </c>
      <c r="J81">
        <v>56.263128000000002</v>
      </c>
      <c r="K81">
        <v>51.884763999999997</v>
      </c>
      <c r="L81">
        <v>113.60151</v>
      </c>
      <c r="M81">
        <v>-622.493878</v>
      </c>
      <c r="N81">
        <v>1.8748039999999999</v>
      </c>
      <c r="O81">
        <v>11.754607999999999</v>
      </c>
      <c r="P81">
        <f t="shared" si="3"/>
        <v>3.1246733333333334E-5</v>
      </c>
      <c r="Q81" cm="1">
        <f t="array" ref="Q81">[1]!PropsSI("D","T",J81+273.15,"P",101325,"Water")</f>
        <v>985.07655743876353</v>
      </c>
      <c r="R81" cm="1">
        <f t="array" ref="R81">[1]!PropsSI("D","T",K81+273.15,"P",101325,"Water")</f>
        <v>987.17100505768826</v>
      </c>
      <c r="S81">
        <f t="shared" si="4"/>
        <v>986.1237812482259</v>
      </c>
      <c r="T81" cm="1">
        <f t="array" ref="T81">[1]!PropsSI("H","T",J81+273.15,"P",101325,"Water")</f>
        <v>235612.97809795808</v>
      </c>
      <c r="U81" cm="1">
        <f t="array" ref="U81">[1]!PropsSI("H","T",K81+273.15,"P",101325,"Water")</f>
        <v>217299.85613243957</v>
      </c>
      <c r="V81">
        <f t="shared" si="5"/>
        <v>564.28491597185803</v>
      </c>
    </row>
    <row r="82" spans="1:22" x14ac:dyDescent="0.2">
      <c r="A82">
        <v>46122.842094328706</v>
      </c>
      <c r="B82">
        <v>20.44098</v>
      </c>
      <c r="C82">
        <v>20.669172</v>
      </c>
      <c r="D82">
        <v>20.204235000000001</v>
      </c>
      <c r="E82">
        <v>20.349426999999999</v>
      </c>
      <c r="F82">
        <v>31.04898</v>
      </c>
      <c r="G82">
        <v>28.054172000000001</v>
      </c>
      <c r="H82">
        <v>27.260221000000001</v>
      </c>
      <c r="I82">
        <v>23.570834999999999</v>
      </c>
      <c r="J82">
        <v>56.266629999999999</v>
      </c>
      <c r="K82">
        <v>51.891916999999999</v>
      </c>
      <c r="L82">
        <v>102.013519</v>
      </c>
      <c r="M82">
        <v>-622.47632799999997</v>
      </c>
      <c r="N82">
        <v>1.8731120000000001</v>
      </c>
      <c r="O82">
        <v>11.724019999999999</v>
      </c>
      <c r="P82">
        <f t="shared" si="3"/>
        <v>3.1218533333333333E-5</v>
      </c>
      <c r="Q82" cm="1">
        <f t="array" ref="Q82">[1]!PropsSI("D","T",J82+273.15,"P",101325,"Water")</f>
        <v>985.07483447342327</v>
      </c>
      <c r="R82" cm="1">
        <f t="array" ref="R82">[1]!PropsSI("D","T",K82+273.15,"P",101325,"Water")</f>
        <v>987.16768212248917</v>
      </c>
      <c r="S82">
        <f t="shared" si="4"/>
        <v>986.12125829795627</v>
      </c>
      <c r="T82" cm="1">
        <f t="array" ref="T82">[1]!PropsSI("H","T",J82+273.15,"P",101325,"Water")</f>
        <v>235627.62845657772</v>
      </c>
      <c r="U82" cm="1">
        <f t="array" ref="U82">[1]!PropsSI("H","T",K82+273.15,"P",101325,"Water")</f>
        <v>217329.76930257792</v>
      </c>
      <c r="V82">
        <f t="shared" si="5"/>
        <v>563.30434002437198</v>
      </c>
    </row>
    <row r="83" spans="1:22" x14ac:dyDescent="0.2">
      <c r="A83">
        <v>46122.842152199075</v>
      </c>
      <c r="B83">
        <v>20.479925999999999</v>
      </c>
      <c r="C83">
        <v>20.666239000000001</v>
      </c>
      <c r="D83">
        <v>20.247724999999999</v>
      </c>
      <c r="E83">
        <v>20.347213</v>
      </c>
      <c r="F83">
        <v>31.013636999999999</v>
      </c>
      <c r="G83">
        <v>28.576471000000002</v>
      </c>
      <c r="H83">
        <v>27.248180999999999</v>
      </c>
      <c r="I83">
        <v>23.537188</v>
      </c>
      <c r="J83">
        <v>56.267107000000003</v>
      </c>
      <c r="K83">
        <v>51.894938000000003</v>
      </c>
      <c r="L83">
        <v>102.234324</v>
      </c>
      <c r="M83">
        <v>-622.52367200000003</v>
      </c>
      <c r="N83">
        <v>1.8749929999999999</v>
      </c>
      <c r="O83">
        <v>11.392257000000001</v>
      </c>
      <c r="P83">
        <f t="shared" si="3"/>
        <v>3.124988333333333E-5</v>
      </c>
      <c r="Q83" cm="1">
        <f t="array" ref="Q83">[1]!PropsSI("D","T",J83+273.15,"P",101325,"Water")</f>
        <v>985.07459978614679</v>
      </c>
      <c r="R83" cm="1">
        <f t="array" ref="R83">[1]!PropsSI("D","T",K83+273.15,"P",101325,"Water")</f>
        <v>987.16627861444169</v>
      </c>
      <c r="S83">
        <f t="shared" si="4"/>
        <v>986.12043920029419</v>
      </c>
      <c r="T83" cm="1">
        <f t="array" ref="T83">[1]!PropsSI("H","T",J83+273.15,"P",101325,"Water")</f>
        <v>235629.62395125531</v>
      </c>
      <c r="U83" cm="1">
        <f t="array" ref="U83">[1]!PropsSI("H","T",K83+273.15,"P",101325,"Water")</f>
        <v>217342.40284396367</v>
      </c>
      <c r="V83">
        <f t="shared" si="5"/>
        <v>563.54172454289426</v>
      </c>
    </row>
    <row r="84" spans="1:22" x14ac:dyDescent="0.2">
      <c r="A84">
        <v>46122.842210069444</v>
      </c>
      <c r="B84">
        <v>20.500170000000001</v>
      </c>
      <c r="C84">
        <v>20.543095999999998</v>
      </c>
      <c r="D84">
        <v>20.276152</v>
      </c>
      <c r="E84">
        <v>20.386372999999999</v>
      </c>
      <c r="F84">
        <v>30.988312000000001</v>
      </c>
      <c r="G84">
        <v>28.290875</v>
      </c>
      <c r="H84">
        <v>27.176006999999998</v>
      </c>
      <c r="I84">
        <v>23.454628</v>
      </c>
      <c r="J84">
        <v>56.265675000000002</v>
      </c>
      <c r="K84">
        <v>51.899070999999999</v>
      </c>
      <c r="L84">
        <v>105.90312</v>
      </c>
      <c r="M84">
        <v>-622.51061200000004</v>
      </c>
      <c r="N84">
        <v>1.872641</v>
      </c>
      <c r="O84">
        <v>11.645651000000001</v>
      </c>
      <c r="P84">
        <f t="shared" si="3"/>
        <v>3.1210683333333332E-5</v>
      </c>
      <c r="Q84" cm="1">
        <f t="array" ref="Q84">[1]!PropsSI("D","T",J84+273.15,"P",101325,"Water")</f>
        <v>985.07530433578518</v>
      </c>
      <c r="R84" cm="1">
        <f t="array" ref="R84">[1]!PropsSI("D","T",K84+273.15,"P",101325,"Water")</f>
        <v>987.16435839417909</v>
      </c>
      <c r="S84">
        <f t="shared" si="4"/>
        <v>986.11983136498213</v>
      </c>
      <c r="T84" cm="1">
        <f t="array" ref="T84">[1]!PropsSI("H","T",J84+273.15,"P",101325,"Water")</f>
        <v>235623.63328411063</v>
      </c>
      <c r="U84" cm="1">
        <f t="array" ref="U84">[1]!PropsSI("H","T",K84+273.15,"P",101325,"Water")</f>
        <v>217359.68667070757</v>
      </c>
      <c r="V84">
        <f t="shared" si="5"/>
        <v>562.11813811291734</v>
      </c>
    </row>
    <row r="85" spans="1:22" x14ac:dyDescent="0.2">
      <c r="A85">
        <v>46122.842267939814</v>
      </c>
      <c r="B85">
        <v>20.441078000000001</v>
      </c>
      <c r="C85">
        <v>20.587565999999999</v>
      </c>
      <c r="D85">
        <v>20.197832999999999</v>
      </c>
      <c r="E85">
        <v>20.292323</v>
      </c>
      <c r="F85">
        <v>30.952335999999999</v>
      </c>
      <c r="G85">
        <v>28.588795000000001</v>
      </c>
      <c r="H85">
        <v>27.162644</v>
      </c>
      <c r="I85">
        <v>23.755022</v>
      </c>
      <c r="J85">
        <v>56.263128000000002</v>
      </c>
      <c r="K85">
        <v>51.896051</v>
      </c>
      <c r="L85">
        <v>106.954088</v>
      </c>
      <c r="M85">
        <v>-622.50897899999995</v>
      </c>
      <c r="N85">
        <v>1.870293</v>
      </c>
      <c r="O85">
        <v>11.682389000000001</v>
      </c>
      <c r="P85">
        <f t="shared" si="3"/>
        <v>3.1171550000000001E-5</v>
      </c>
      <c r="Q85" cm="1">
        <f t="array" ref="Q85">[1]!PropsSI("D","T",J85+273.15,"P",101325,"Water")</f>
        <v>985.07655743876353</v>
      </c>
      <c r="R85" cm="1">
        <f t="array" ref="R85">[1]!PropsSI("D","T",K85+273.15,"P",101325,"Water")</f>
        <v>987.16576151776906</v>
      </c>
      <c r="S85">
        <f t="shared" si="4"/>
        <v>986.12115947826624</v>
      </c>
      <c r="T85" cm="1">
        <f t="array" ref="T85">[1]!PropsSI("H","T",J85+273.15,"P",101325,"Water")</f>
        <v>235612.97809795808</v>
      </c>
      <c r="U85" cm="1">
        <f t="array" ref="U85">[1]!PropsSI("H","T",K85+273.15,"P",101325,"Water")</f>
        <v>217347.05730729687</v>
      </c>
      <c r="V85">
        <f t="shared" si="5"/>
        <v>561.47476976494238</v>
      </c>
    </row>
    <row r="86" spans="1:22" x14ac:dyDescent="0.2">
      <c r="A86">
        <v>46122.842325810183</v>
      </c>
      <c r="B86">
        <v>20.447227000000002</v>
      </c>
      <c r="C86">
        <v>20.5867</v>
      </c>
      <c r="D86">
        <v>20.259173000000001</v>
      </c>
      <c r="E86">
        <v>20.330977000000001</v>
      </c>
      <c r="F86">
        <v>30.977377000000001</v>
      </c>
      <c r="G86">
        <v>28.514074999999998</v>
      </c>
      <c r="H86">
        <v>27.517441000000002</v>
      </c>
      <c r="I86">
        <v>23.237665</v>
      </c>
      <c r="J86">
        <v>56.264082999999999</v>
      </c>
      <c r="K86">
        <v>51.893666000000003</v>
      </c>
      <c r="L86">
        <v>119.10817299999999</v>
      </c>
      <c r="M86">
        <v>-622.48693900000001</v>
      </c>
      <c r="N86">
        <v>1.872493</v>
      </c>
      <c r="O86">
        <v>11.709673</v>
      </c>
      <c r="P86">
        <f t="shared" si="3"/>
        <v>3.1208216666666667E-5</v>
      </c>
      <c r="Q86" cm="1">
        <f t="array" ref="Q86">[1]!PropsSI("D","T",J86+273.15,"P",101325,"Water")</f>
        <v>985.07608759130733</v>
      </c>
      <c r="R86" cm="1">
        <f t="array" ref="R86">[1]!PropsSI("D","T",K86+273.15,"P",101325,"Water")</f>
        <v>987.16686957233799</v>
      </c>
      <c r="S86">
        <f t="shared" si="4"/>
        <v>986.12147858182266</v>
      </c>
      <c r="T86" cm="1">
        <f t="array" ref="T86">[1]!PropsSI("H","T",J86+273.15,"P",101325,"Water")</f>
        <v>235616.97326955321</v>
      </c>
      <c r="U86" cm="1">
        <f t="array" ref="U86">[1]!PropsSI("H","T",K86+273.15,"P",101325,"Water")</f>
        <v>217337.08345776729</v>
      </c>
      <c r="V86">
        <f t="shared" si="5"/>
        <v>562.56530465943001</v>
      </c>
    </row>
    <row r="87" spans="1:22" x14ac:dyDescent="0.2">
      <c r="A87">
        <v>46122.842383680552</v>
      </c>
      <c r="B87">
        <v>20.428706999999999</v>
      </c>
      <c r="C87">
        <v>20.526786000000001</v>
      </c>
      <c r="D87">
        <v>20.232918999999999</v>
      </c>
      <c r="E87">
        <v>20.296493999999999</v>
      </c>
      <c r="F87">
        <v>31.017320000000002</v>
      </c>
      <c r="G87">
        <v>28.665202000000001</v>
      </c>
      <c r="H87">
        <v>27.034113000000001</v>
      </c>
      <c r="I87">
        <v>23.238589000000001</v>
      </c>
      <c r="J87">
        <v>56.260581000000002</v>
      </c>
      <c r="K87">
        <v>51.883969</v>
      </c>
      <c r="L87">
        <v>107.112039</v>
      </c>
      <c r="M87">
        <v>-622.51142800000002</v>
      </c>
      <c r="N87">
        <v>1.8702639999999999</v>
      </c>
      <c r="O87">
        <v>11.751735999999999</v>
      </c>
      <c r="P87">
        <f t="shared" si="3"/>
        <v>3.1171066666666664E-5</v>
      </c>
      <c r="Q87" cm="1">
        <f t="array" ref="Q87">[1]!PropsSI("D","T",J87+273.15,"P",101325,"Water")</f>
        <v>985.07781050197696</v>
      </c>
      <c r="R87" cm="1">
        <f t="array" ref="R87">[1]!PropsSI("D","T",K87+273.15,"P",101325,"Water")</f>
        <v>987.17137435566394</v>
      </c>
      <c r="S87">
        <f t="shared" si="4"/>
        <v>986.12459242882051</v>
      </c>
      <c r="T87" cm="1">
        <f t="array" ref="T87">[1]!PropsSI("H","T",J87+273.15,"P",101325,"Water")</f>
        <v>235602.32291436143</v>
      </c>
      <c r="U87" cm="1">
        <f t="array" ref="U87">[1]!PropsSI("H","T",K87+273.15,"P",101325,"Water")</f>
        <v>217296.53151852259</v>
      </c>
      <c r="V87">
        <f t="shared" si="5"/>
        <v>562.69358318586637</v>
      </c>
    </row>
    <row r="88" spans="1:22" x14ac:dyDescent="0.2">
      <c r="A88">
        <v>46122.842442129629</v>
      </c>
      <c r="B88">
        <v>20.349550000000001</v>
      </c>
      <c r="C88">
        <v>20.399082</v>
      </c>
      <c r="D88">
        <v>20.136099000000002</v>
      </c>
      <c r="E88">
        <v>20.201820000000001</v>
      </c>
      <c r="F88">
        <v>30.934407</v>
      </c>
      <c r="G88">
        <v>28.313596</v>
      </c>
      <c r="H88">
        <v>27.257355</v>
      </c>
      <c r="I88">
        <v>23.646485999999999</v>
      </c>
      <c r="J88">
        <v>56.260739999999998</v>
      </c>
      <c r="K88">
        <v>51.889691999999997</v>
      </c>
      <c r="L88">
        <v>99.943826999999999</v>
      </c>
      <c r="M88">
        <v>-622.49428599999999</v>
      </c>
      <c r="N88">
        <v>1.874735</v>
      </c>
      <c r="O88">
        <v>11.557509</v>
      </c>
      <c r="P88">
        <f t="shared" si="3"/>
        <v>3.1245583333333334E-5</v>
      </c>
      <c r="Q88" cm="1">
        <f t="array" ref="Q88">[1]!PropsSI("D","T",J88+273.15,"P",101325,"Water")</f>
        <v>985.07773227893813</v>
      </c>
      <c r="R88" cm="1">
        <f t="array" ref="R88">[1]!PropsSI("D","T",K88+273.15,"P",101325,"Water")</f>
        <v>987.16871578425457</v>
      </c>
      <c r="S88">
        <f t="shared" si="4"/>
        <v>986.12322403159635</v>
      </c>
      <c r="T88" cm="1">
        <f t="array" ref="T88">[1]!PropsSI("H","T",J88+273.15,"P",101325,"Water")</f>
        <v>235602.98807884697</v>
      </c>
      <c r="U88" cm="1">
        <f t="array" ref="U88">[1]!PropsSI("H","T",K88+273.15,"P",101325,"Water")</f>
        <v>217320.46456108693</v>
      </c>
      <c r="V88">
        <f t="shared" si="5"/>
        <v>563.32103004356566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F409-C3DF-814E-8AEF-A10E08E761E3}">
  <dimension ref="A1:W38"/>
  <sheetViews>
    <sheetView topLeftCell="G1" workbookViewId="0">
      <selection activeCell="W2" sqref="W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>
        <v>44660.825653356696</v>
      </c>
      <c r="B2">
        <v>20.375668999999998</v>
      </c>
      <c r="C2">
        <v>20.552890999999999</v>
      </c>
      <c r="D2">
        <v>20.284322</v>
      </c>
      <c r="E2">
        <v>20.401119000000001</v>
      </c>
      <c r="F2">
        <v>30.242097999999999</v>
      </c>
      <c r="G2">
        <v>27.301869</v>
      </c>
      <c r="H2">
        <v>26.363909</v>
      </c>
      <c r="I2">
        <v>23.142458000000001</v>
      </c>
      <c r="J2">
        <v>56.237341999999998</v>
      </c>
      <c r="K2">
        <v>51.594501000000001</v>
      </c>
      <c r="L2">
        <v>155.13126800000001</v>
      </c>
      <c r="M2">
        <v>-622.49061300000005</v>
      </c>
      <c r="N2">
        <v>1.874099</v>
      </c>
      <c r="O2">
        <v>11.665208</v>
      </c>
      <c r="P2">
        <f t="shared" ref="P2:P65" si="0" xml:space="preserve"> N2*0.001/60</f>
        <v>3.1234983333333332E-5</v>
      </c>
      <c r="Q2" cm="1">
        <f t="array" ref="Q2">[1]!PropsSI("D","T",J2+273.15,"P",101325,"Water")</f>
        <v>985.08924169937325</v>
      </c>
      <c r="R2" cm="1">
        <f t="array" ref="R2">[1]!PropsSI("D","T",K2+273.15,"P",101325,"Water")</f>
        <v>987.30556966813276</v>
      </c>
      <c r="S2">
        <f t="shared" ref="S2:S65" si="1">(Q2+R2)/2</f>
        <v>986.197405683753</v>
      </c>
      <c r="T2" cm="1">
        <f t="array" ref="T2">[1]!PropsSI("H","T",J2+273.15,"P",101325,"Water")</f>
        <v>235505.10441336286</v>
      </c>
      <c r="U2" cm="1">
        <f t="array" ref="U2">[1]!PropsSI("H","T",K2+273.15,"P",101325,"Water")</f>
        <v>216086.01715255217</v>
      </c>
      <c r="V2">
        <f t="shared" ref="V2:V65" si="2">S2*P2*(T2-U2)</f>
        <v>598.18283618104988</v>
      </c>
      <c r="W2" s="2">
        <f>AVERAGE(V2:V38)</f>
        <v>598.78743272899408</v>
      </c>
    </row>
    <row r="3" spans="1:23" x14ac:dyDescent="0.2">
      <c r="A3">
        <v>44660.825711227</v>
      </c>
      <c r="B3">
        <v>20.361066000000001</v>
      </c>
      <c r="C3">
        <v>20.429538000000001</v>
      </c>
      <c r="D3">
        <v>20.286556000000001</v>
      </c>
      <c r="E3">
        <v>20.371860999999999</v>
      </c>
      <c r="F3">
        <v>30.149744999999999</v>
      </c>
      <c r="G3">
        <v>27.273250999999998</v>
      </c>
      <c r="H3">
        <v>26.271792000000001</v>
      </c>
      <c r="I3">
        <v>22.818895000000001</v>
      </c>
      <c r="J3">
        <v>56.234476999999998</v>
      </c>
      <c r="K3">
        <v>51.589891999999999</v>
      </c>
      <c r="L3">
        <v>163.89940000000001</v>
      </c>
      <c r="M3">
        <v>-622.50204099999996</v>
      </c>
      <c r="N3">
        <v>1.8712839999999999</v>
      </c>
      <c r="O3">
        <v>11.663442</v>
      </c>
      <c r="P3">
        <f t="shared" si="0"/>
        <v>3.1188066666666667E-5</v>
      </c>
      <c r="Q3" cm="1">
        <f t="array" ref="Q3">[1]!PropsSI("D","T",J3+273.15,"P",101325,"Water")</f>
        <v>985.09065075547539</v>
      </c>
      <c r="R3" cm="1">
        <f t="array" ref="R3">[1]!PropsSI("D","T",K3+273.15,"P",101325,"Water")</f>
        <v>987.307702007118</v>
      </c>
      <c r="S3">
        <f t="shared" si="1"/>
        <v>986.19917638129664</v>
      </c>
      <c r="T3" cm="1">
        <f t="array" ref="T3">[1]!PropsSI("H","T",J3+273.15,"P",101325,"Water")</f>
        <v>235493.11892887633</v>
      </c>
      <c r="U3" cm="1">
        <f t="array" ref="U3">[1]!PropsSI("H","T",K3+273.15,"P",101325,"Water")</f>
        <v>216066.74317457937</v>
      </c>
      <c r="V3">
        <f t="shared" si="2"/>
        <v>597.509581900748</v>
      </c>
      <c r="W3" s="2"/>
    </row>
    <row r="4" spans="1:23" x14ac:dyDescent="0.2">
      <c r="A4">
        <v>44660.825769676099</v>
      </c>
      <c r="B4">
        <v>20.271884</v>
      </c>
      <c r="C4">
        <v>20.422132000000001</v>
      </c>
      <c r="D4">
        <v>20.281472999999998</v>
      </c>
      <c r="E4">
        <v>20.396692000000002</v>
      </c>
      <c r="F4">
        <v>30.15954</v>
      </c>
      <c r="G4">
        <v>27.314361000000002</v>
      </c>
      <c r="H4">
        <v>26.305696999999999</v>
      </c>
      <c r="I4">
        <v>23.051134999999999</v>
      </c>
      <c r="J4">
        <v>56.236227999999997</v>
      </c>
      <c r="K4">
        <v>51.589733000000003</v>
      </c>
      <c r="L4">
        <v>142.96167299999999</v>
      </c>
      <c r="M4">
        <v>-622.46041000000002</v>
      </c>
      <c r="N4">
        <v>1.8608960000000001</v>
      </c>
      <c r="O4">
        <v>11.642334</v>
      </c>
      <c r="P4">
        <f t="shared" si="0"/>
        <v>3.1014933333333334E-5</v>
      </c>
      <c r="Q4" cm="1">
        <f t="array" ref="Q4">[1]!PropsSI("D","T",J4+273.15,"P",101325,"Water")</f>
        <v>985.0897895896278</v>
      </c>
      <c r="R4" cm="1">
        <f t="array" ref="R4">[1]!PropsSI("D","T",K4+273.15,"P",101325,"Water")</f>
        <v>987.30777556550493</v>
      </c>
      <c r="S4">
        <f t="shared" si="1"/>
        <v>986.19878257756636</v>
      </c>
      <c r="T4" cm="1">
        <f t="array" ref="T4">[1]!PropsSI("H","T",J4+273.15,"P",101325,"Water")</f>
        <v>235500.44408846463</v>
      </c>
      <c r="U4" cm="1">
        <f t="array" ref="U4">[1]!PropsSI("H","T",K4+273.15,"P",101325,"Water")</f>
        <v>216066.07826641476</v>
      </c>
      <c r="V4">
        <f t="shared" si="2"/>
        <v>594.43679980556612</v>
      </c>
      <c r="W4" s="2"/>
    </row>
    <row r="5" spans="1:23" x14ac:dyDescent="0.2">
      <c r="A5">
        <v>44660.825828125198</v>
      </c>
      <c r="B5">
        <v>20.297222000000001</v>
      </c>
      <c r="C5">
        <v>20.427057999999999</v>
      </c>
      <c r="D5">
        <v>20.266203999999998</v>
      </c>
      <c r="E5">
        <v>20.382269999999998</v>
      </c>
      <c r="F5">
        <v>30.175498000000001</v>
      </c>
      <c r="G5">
        <v>26.823996000000001</v>
      </c>
      <c r="H5">
        <v>26.189440000000001</v>
      </c>
      <c r="I5">
        <v>22.996523</v>
      </c>
      <c r="J5">
        <v>56.237023999999998</v>
      </c>
      <c r="K5">
        <v>51.577492999999997</v>
      </c>
      <c r="L5">
        <v>146.81290899999999</v>
      </c>
      <c r="M5">
        <v>-622.49265300000002</v>
      </c>
      <c r="N5">
        <v>1.8680589999999999</v>
      </c>
      <c r="O5">
        <v>11.702556</v>
      </c>
      <c r="P5">
        <f t="shared" si="0"/>
        <v>3.1134316666666668E-5</v>
      </c>
      <c r="Q5" cm="1">
        <f t="array" ref="Q5">[1]!PropsSI("D","T",J5+273.15,"P",101325,"Water")</f>
        <v>985.08939809970241</v>
      </c>
      <c r="R5" cm="1">
        <f t="array" ref="R5">[1]!PropsSI("D","T",K5+273.15,"P",101325,"Water")</f>
        <v>987.31343768520389</v>
      </c>
      <c r="S5">
        <f t="shared" si="1"/>
        <v>986.20141789245315</v>
      </c>
      <c r="T5" cm="1">
        <f t="array" ref="T5">[1]!PropsSI("H","T",J5+273.15,"P",101325,"Water")</f>
        <v>235503.77408717509</v>
      </c>
      <c r="U5" cm="1">
        <f t="array" ref="U5">[1]!PropsSI("H","T",K5+273.15,"P",101325,"Water")</f>
        <v>216014.89290285116</v>
      </c>
      <c r="V5">
        <f t="shared" si="2"/>
        <v>598.40039123448719</v>
      </c>
      <c r="W5" s="2"/>
    </row>
    <row r="6" spans="1:23" x14ac:dyDescent="0.2">
      <c r="A6">
        <v>46122.825885995371</v>
      </c>
      <c r="B6">
        <v>20.308335</v>
      </c>
      <c r="C6">
        <v>20.469183999999998</v>
      </c>
      <c r="D6">
        <v>20.252385</v>
      </c>
      <c r="E6">
        <v>20.350676</v>
      </c>
      <c r="F6">
        <v>30.128102999999999</v>
      </c>
      <c r="G6">
        <v>27.155179</v>
      </c>
      <c r="H6">
        <v>26.309974</v>
      </c>
      <c r="I6">
        <v>23.177011</v>
      </c>
      <c r="J6">
        <v>56.233044999999997</v>
      </c>
      <c r="K6">
        <v>51.579400999999997</v>
      </c>
      <c r="L6">
        <v>153.034638</v>
      </c>
      <c r="M6">
        <v>-622.50775499999997</v>
      </c>
      <c r="N6">
        <v>1.8738779999999999</v>
      </c>
      <c r="O6">
        <v>11.806773</v>
      </c>
      <c r="P6">
        <f t="shared" si="0"/>
        <v>3.12313E-5</v>
      </c>
      <c r="Q6" cm="1">
        <f t="array" ref="Q6">[1]!PropsSI("D","T",J6+273.15,"P",101325,"Water")</f>
        <v>985.09135501875824</v>
      </c>
      <c r="R6" cm="1">
        <f t="array" ref="R6">[1]!PropsSI("D","T",K6+273.15,"P",101325,"Water")</f>
        <v>987.31255512416476</v>
      </c>
      <c r="S6">
        <f t="shared" si="1"/>
        <v>986.2019550714615</v>
      </c>
      <c r="T6" cm="1">
        <f t="array" ref="T6">[1]!PropsSI("H","T",J6+273.15,"P",101325,"Water")</f>
        <v>235487.12827949398</v>
      </c>
      <c r="U6" cm="1">
        <f t="array" ref="U6">[1]!PropsSI("H","T",K6+273.15,"P",101325,"Water")</f>
        <v>216022.87179467478</v>
      </c>
      <c r="V6">
        <f t="shared" si="2"/>
        <v>599.50628436756062</v>
      </c>
      <c r="W6" s="2"/>
    </row>
    <row r="7" spans="1:23" x14ac:dyDescent="0.2">
      <c r="A7">
        <v>46122.825943865741</v>
      </c>
      <c r="B7">
        <v>20.302617999999999</v>
      </c>
      <c r="C7">
        <v>20.467694000000002</v>
      </c>
      <c r="D7">
        <v>20.279909</v>
      </c>
      <c r="E7">
        <v>20.386873999999999</v>
      </c>
      <c r="F7">
        <v>30.236414</v>
      </c>
      <c r="G7">
        <v>27.061707999999999</v>
      </c>
      <c r="H7">
        <v>26.004204000000001</v>
      </c>
      <c r="I7">
        <v>22.878881</v>
      </c>
      <c r="J7">
        <v>56.231453000000002</v>
      </c>
      <c r="K7">
        <v>51.577492999999997</v>
      </c>
      <c r="L7">
        <v>164.273259</v>
      </c>
      <c r="M7">
        <v>-622.47836800000005</v>
      </c>
      <c r="N7">
        <v>1.8728130000000001</v>
      </c>
      <c r="O7">
        <v>11.66977</v>
      </c>
      <c r="P7">
        <f t="shared" si="0"/>
        <v>3.1213549999999999E-5</v>
      </c>
      <c r="Q7" cm="1">
        <f t="array" ref="Q7">[1]!PropsSI("D","T",J7+273.15,"P",101325,"Water")</f>
        <v>985.09213795591563</v>
      </c>
      <c r="R7" cm="1">
        <f t="array" ref="R7">[1]!PropsSI("D","T",K7+273.15,"P",101325,"Water")</f>
        <v>987.31343768520389</v>
      </c>
      <c r="S7">
        <f t="shared" si="1"/>
        <v>986.20278782055971</v>
      </c>
      <c r="T7" cm="1">
        <f t="array" ref="T7">[1]!PropsSI("H","T",J7+273.15,"P",101325,"Water")</f>
        <v>235480.46828468429</v>
      </c>
      <c r="U7" cm="1">
        <f t="array" ref="U7">[1]!PropsSI("H","T",K7+273.15,"P",101325,"Water")</f>
        <v>216014.89290285116</v>
      </c>
      <c r="V7">
        <f t="shared" si="2"/>
        <v>599.2066663063614</v>
      </c>
      <c r="W7" s="2"/>
    </row>
    <row r="8" spans="1:23" x14ac:dyDescent="0.2">
      <c r="A8">
        <v>46122.826002314818</v>
      </c>
      <c r="B8">
        <v>20.239877</v>
      </c>
      <c r="C8">
        <v>20.50206</v>
      </c>
      <c r="D8">
        <v>20.303128000000001</v>
      </c>
      <c r="E8">
        <v>20.451429000000001</v>
      </c>
      <c r="F8">
        <v>30.171426</v>
      </c>
      <c r="G8">
        <v>27.262841999999999</v>
      </c>
      <c r="H8">
        <v>26.439228</v>
      </c>
      <c r="I8">
        <v>22.909314999999999</v>
      </c>
      <c r="J8">
        <v>56.233840999999998</v>
      </c>
      <c r="K8">
        <v>51.578924000000001</v>
      </c>
      <c r="L8">
        <v>159.55716899999999</v>
      </c>
      <c r="M8">
        <v>-622.49142900000004</v>
      </c>
      <c r="N8">
        <v>1.8773200000000001</v>
      </c>
      <c r="O8">
        <v>11.635713000000001</v>
      </c>
      <c r="P8">
        <f t="shared" si="0"/>
        <v>3.1288666666666671E-5</v>
      </c>
      <c r="Q8" cm="1">
        <f t="array" ref="Q8">[1]!PropsSI("D","T",J8+273.15,"P",101325,"Water")</f>
        <v>985.09096354433791</v>
      </c>
      <c r="R8" cm="1">
        <f t="array" ref="R8">[1]!PropsSI("D","T",K8+273.15,"P",101325,"Water")</f>
        <v>987.31277576662558</v>
      </c>
      <c r="S8">
        <f t="shared" si="1"/>
        <v>986.20186965548169</v>
      </c>
      <c r="T8" cm="1">
        <f t="array" ref="T8">[1]!PropsSI("H","T",J8+273.15,"P",101325,"Water")</f>
        <v>235490.45827721772</v>
      </c>
      <c r="U8" cm="1">
        <f t="array" ref="U8">[1]!PropsSI("H","T",K8+273.15,"P",101325,"Water")</f>
        <v>216020.87707165122</v>
      </c>
      <c r="V8">
        <f t="shared" si="2"/>
        <v>600.77172956869606</v>
      </c>
      <c r="W8" s="2"/>
    </row>
    <row r="9" spans="1:23" x14ac:dyDescent="0.2">
      <c r="A9">
        <v>46122.826060185187</v>
      </c>
      <c r="B9">
        <v>20.271350000000002</v>
      </c>
      <c r="C9">
        <v>20.474532</v>
      </c>
      <c r="D9">
        <v>20.335021999999999</v>
      </c>
      <c r="E9">
        <v>20.420746000000001</v>
      </c>
      <c r="F9">
        <v>30.163793999999999</v>
      </c>
      <c r="G9">
        <v>26.775468</v>
      </c>
      <c r="H9">
        <v>26.085144</v>
      </c>
      <c r="I9">
        <v>22.820039999999999</v>
      </c>
      <c r="J9">
        <v>56.236545999999997</v>
      </c>
      <c r="K9">
        <v>51.584009999999999</v>
      </c>
      <c r="L9">
        <v>139.925907</v>
      </c>
      <c r="M9">
        <v>-622.49061300000005</v>
      </c>
      <c r="N9">
        <v>1.8721779999999999</v>
      </c>
      <c r="O9">
        <v>11.450039</v>
      </c>
      <c r="P9">
        <f t="shared" si="0"/>
        <v>3.1202966666666666E-5</v>
      </c>
      <c r="Q9" cm="1">
        <f t="array" ref="Q9">[1]!PropsSI("D","T",J9+273.15,"P",101325,"Water")</f>
        <v>985.08963319085831</v>
      </c>
      <c r="R9" cm="1">
        <f t="array" ref="R9">[1]!PropsSI("D","T",K9+273.15,"P",101325,"Water")</f>
        <v>987.31042309667316</v>
      </c>
      <c r="S9">
        <f t="shared" si="1"/>
        <v>986.20002814376573</v>
      </c>
      <c r="T9" cm="1">
        <f t="array" ref="T9">[1]!PropsSI("H","T",J9+273.15,"P",101325,"Water")</f>
        <v>235501.77441456798</v>
      </c>
      <c r="U9" cm="1">
        <f t="array" ref="U9">[1]!PropsSI("H","T",K9+273.15,"P",101325,"Water")</f>
        <v>216042.14575770884</v>
      </c>
      <c r="V9">
        <f t="shared" si="2"/>
        <v>598.81882702283474</v>
      </c>
      <c r="W9" s="2"/>
    </row>
    <row r="10" spans="1:23" x14ac:dyDescent="0.2">
      <c r="A10">
        <v>44660.826118634403</v>
      </c>
      <c r="B10">
        <v>20.250212999999999</v>
      </c>
      <c r="C10">
        <v>20.454272</v>
      </c>
      <c r="D10">
        <v>20.309196</v>
      </c>
      <c r="E10">
        <v>20.380944</v>
      </c>
      <c r="F10">
        <v>30.175777</v>
      </c>
      <c r="G10">
        <v>27.151244999999999</v>
      </c>
      <c r="H10">
        <v>26.260469000000001</v>
      </c>
      <c r="I10">
        <v>23.002282000000001</v>
      </c>
      <c r="J10">
        <v>56.234000000000002</v>
      </c>
      <c r="K10">
        <v>51.584645999999999</v>
      </c>
      <c r="L10">
        <v>145.547258</v>
      </c>
      <c r="M10">
        <v>-622.49959200000001</v>
      </c>
      <c r="N10">
        <v>1.8703909999999999</v>
      </c>
      <c r="O10">
        <v>11.707601</v>
      </c>
      <c r="P10">
        <f t="shared" si="0"/>
        <v>3.1173183333333332E-5</v>
      </c>
      <c r="Q10" cm="1">
        <f t="array" ref="Q10">[1]!PropsSI("D","T",J10+273.15,"P",101325,"Water")</f>
        <v>985.09088534735304</v>
      </c>
      <c r="R10" cm="1">
        <f t="array" ref="R10">[1]!PropsSI("D","T",K10+273.15,"P",101325,"Water")</f>
        <v>987.31012888556336</v>
      </c>
      <c r="S10">
        <f t="shared" si="1"/>
        <v>986.2005071164582</v>
      </c>
      <c r="T10" cm="1">
        <f t="array" ref="T10">[1]!PropsSI("H","T",J10+273.15,"P",101325,"Water")</f>
        <v>235491.12344011693</v>
      </c>
      <c r="U10" cm="1">
        <f t="array" ref="U10">[1]!PropsSI("H","T",K10+273.15,"P",101325,"Water")</f>
        <v>216044.80538949766</v>
      </c>
      <c r="V10">
        <f t="shared" si="2"/>
        <v>597.83833496515194</v>
      </c>
    </row>
    <row r="11" spans="1:23" x14ac:dyDescent="0.2">
      <c r="A11">
        <v>44660.826177083502</v>
      </c>
      <c r="B11">
        <v>20.291620000000002</v>
      </c>
      <c r="C11">
        <v>20.463056999999999</v>
      </c>
      <c r="D11">
        <v>20.272718999999999</v>
      </c>
      <c r="E11">
        <v>20.345991999999999</v>
      </c>
      <c r="F11">
        <v>30.187785999999999</v>
      </c>
      <c r="G11">
        <v>27.056691000000001</v>
      </c>
      <c r="H11">
        <v>26.345369000000002</v>
      </c>
      <c r="I11">
        <v>22.78856</v>
      </c>
      <c r="J11">
        <v>56.234318000000002</v>
      </c>
      <c r="K11">
        <v>51.585759000000003</v>
      </c>
      <c r="L11">
        <v>155.816948</v>
      </c>
      <c r="M11">
        <v>-622.512652</v>
      </c>
      <c r="N11">
        <v>1.869661</v>
      </c>
      <c r="O11">
        <v>11.764875999999999</v>
      </c>
      <c r="P11">
        <f t="shared" si="0"/>
        <v>3.1161016666666665E-5</v>
      </c>
      <c r="Q11" cm="1">
        <f t="array" ref="Q11">[1]!PropsSI("D","T",J11+273.15,"P",101325,"Water")</f>
        <v>985.09072895292684</v>
      </c>
      <c r="R11" cm="1">
        <f t="array" ref="R11">[1]!PropsSI("D","T",K11+273.15,"P",101325,"Water")</f>
        <v>987.30961400983824</v>
      </c>
      <c r="S11">
        <f t="shared" si="1"/>
        <v>986.20017148138254</v>
      </c>
      <c r="T11" cm="1">
        <f t="array" ref="T11">[1]!PropsSI("H","T",J11+273.15,"P",101325,"Water")</f>
        <v>235492.45376594903</v>
      </c>
      <c r="U11" cm="1">
        <f t="array" ref="U11">[1]!PropsSI("H","T",K11+273.15,"P",101325,"Water")</f>
        <v>216049.45974536357</v>
      </c>
      <c r="V11">
        <f t="shared" si="2"/>
        <v>597.5026488616578</v>
      </c>
    </row>
    <row r="12" spans="1:23" x14ac:dyDescent="0.2">
      <c r="A12">
        <v>44660.826235532601</v>
      </c>
      <c r="B12">
        <v>20.359898999999999</v>
      </c>
      <c r="C12">
        <v>20.574394999999999</v>
      </c>
      <c r="D12">
        <v>20.251975000000002</v>
      </c>
      <c r="E12">
        <v>20.296517000000001</v>
      </c>
      <c r="F12">
        <v>30.27974</v>
      </c>
      <c r="G12">
        <v>27.224632</v>
      </c>
      <c r="H12">
        <v>26.375501</v>
      </c>
      <c r="I12">
        <v>23.135242999999999</v>
      </c>
      <c r="J12">
        <v>56.235272999999999</v>
      </c>
      <c r="K12">
        <v>51.562233999999997</v>
      </c>
      <c r="L12">
        <v>157.26422199999999</v>
      </c>
      <c r="M12">
        <v>-622.49183700000003</v>
      </c>
      <c r="N12">
        <v>1.874358</v>
      </c>
      <c r="O12">
        <v>11.694436</v>
      </c>
      <c r="P12">
        <f t="shared" si="0"/>
        <v>3.1239299999999998E-5</v>
      </c>
      <c r="Q12" cm="1">
        <f t="array" ref="Q12">[1]!PropsSI("D","T",J12+273.15,"P",101325,"Water")</f>
        <v>985.0902592740739</v>
      </c>
      <c r="R12" cm="1">
        <f t="array" ref="R12">[1]!PropsSI("D","T",K12+273.15,"P",101325,"Water")</f>
        <v>987.32049501688368</v>
      </c>
      <c r="S12">
        <f t="shared" si="1"/>
        <v>986.20537714547879</v>
      </c>
      <c r="T12" cm="1">
        <f t="array" ref="T12">[1]!PropsSI("H","T",J12+273.15,"P",101325,"Water")</f>
        <v>235496.44892702572</v>
      </c>
      <c r="U12" cm="1">
        <f t="array" ref="U12">[1]!PropsSI("H","T",K12+273.15,"P",101325,"Water")</f>
        <v>215951.08271732667</v>
      </c>
      <c r="V12">
        <f t="shared" si="2"/>
        <v>602.16078872211483</v>
      </c>
    </row>
    <row r="13" spans="1:23" x14ac:dyDescent="0.2">
      <c r="A13">
        <v>44660.8262939817</v>
      </c>
      <c r="B13">
        <v>20.311039000000001</v>
      </c>
      <c r="C13">
        <v>20.487651</v>
      </c>
      <c r="D13">
        <v>20.265509999999999</v>
      </c>
      <c r="E13">
        <v>20.363665999999998</v>
      </c>
      <c r="F13">
        <v>30.181864000000001</v>
      </c>
      <c r="G13">
        <v>27.001881000000001</v>
      </c>
      <c r="H13">
        <v>26.088923999999999</v>
      </c>
      <c r="I13">
        <v>22.62998</v>
      </c>
      <c r="J13">
        <v>56.238297000000003</v>
      </c>
      <c r="K13">
        <v>51.575586000000001</v>
      </c>
      <c r="L13">
        <v>150.34579299999999</v>
      </c>
      <c r="M13">
        <v>-622.50897899999995</v>
      </c>
      <c r="N13">
        <v>1.875902</v>
      </c>
      <c r="O13">
        <v>11.671117000000001</v>
      </c>
      <c r="P13">
        <f t="shared" si="0"/>
        <v>3.1265033333333333E-5</v>
      </c>
      <c r="Q13" cm="1">
        <f t="array" ref="Q13">[1]!PropsSI("D","T",J13+273.15,"P",101325,"Water")</f>
        <v>985.08877200282416</v>
      </c>
      <c r="R13" cm="1">
        <f t="array" ref="R13">[1]!PropsSI("D","T",K13+273.15,"P",101325,"Water")</f>
        <v>987.31431976025726</v>
      </c>
      <c r="S13">
        <f t="shared" si="1"/>
        <v>986.20154588154071</v>
      </c>
      <c r="T13" cm="1">
        <f t="array" ref="T13">[1]!PropsSI("H","T",J13+273.15,"P",101325,"Water")</f>
        <v>235509.09957555681</v>
      </c>
      <c r="U13" cm="1">
        <f t="array" ref="U13">[1]!PropsSI("H","T",K13+273.15,"P",101325,"Water")</f>
        <v>216006.91819388539</v>
      </c>
      <c r="V13">
        <f t="shared" si="2"/>
        <v>601.3229319074444</v>
      </c>
    </row>
    <row r="14" spans="1:23" x14ac:dyDescent="0.2">
      <c r="A14">
        <v>44660.826352430697</v>
      </c>
      <c r="B14">
        <v>20.238479999999999</v>
      </c>
      <c r="C14">
        <v>20.428246000000001</v>
      </c>
      <c r="D14">
        <v>20.236753</v>
      </c>
      <c r="E14">
        <v>20.316369000000002</v>
      </c>
      <c r="F14">
        <v>30.151433999999998</v>
      </c>
      <c r="G14">
        <v>27.150991000000001</v>
      </c>
      <c r="H14">
        <v>25.968495999999998</v>
      </c>
      <c r="I14">
        <v>22.903381</v>
      </c>
      <c r="J14">
        <v>56.240684999999999</v>
      </c>
      <c r="K14">
        <v>51.583216</v>
      </c>
      <c r="L14">
        <v>163.97286600000001</v>
      </c>
      <c r="M14">
        <v>-622.50530600000002</v>
      </c>
      <c r="N14">
        <v>1.859823</v>
      </c>
      <c r="O14">
        <v>11.595938</v>
      </c>
      <c r="P14">
        <f t="shared" si="0"/>
        <v>3.0997049999999998E-5</v>
      </c>
      <c r="Q14" cm="1">
        <f t="array" ref="Q14">[1]!PropsSI("D","T",J14+273.15,"P",101325,"Water")</f>
        <v>985.08759749106923</v>
      </c>
      <c r="R14" cm="1">
        <f t="array" ref="R14">[1]!PropsSI("D","T",K14+273.15,"P",101325,"Water")</f>
        <v>987.3107903942979</v>
      </c>
      <c r="S14">
        <f t="shared" si="1"/>
        <v>986.19919394268356</v>
      </c>
      <c r="T14" cm="1">
        <f t="array" ref="T14">[1]!PropsSI("H","T",J14+273.15,"P",101325,"Water")</f>
        <v>235519.08957430412</v>
      </c>
      <c r="U14" cm="1">
        <f t="array" ref="U14">[1]!PropsSI("H","T",K14+273.15,"P",101325,"Water")</f>
        <v>216038.82539998897</v>
      </c>
      <c r="V14">
        <f t="shared" si="2"/>
        <v>595.49737193006592</v>
      </c>
    </row>
    <row r="15" spans="1:23" x14ac:dyDescent="0.2">
      <c r="A15">
        <v>46122.826410300928</v>
      </c>
      <c r="B15">
        <v>20.272687999999999</v>
      </c>
      <c r="C15">
        <v>20.423625999999999</v>
      </c>
      <c r="D15">
        <v>20.234455000000001</v>
      </c>
      <c r="E15">
        <v>20.377495</v>
      </c>
      <c r="F15">
        <v>30.201000000000001</v>
      </c>
      <c r="G15">
        <v>27.613665000000001</v>
      </c>
      <c r="H15">
        <v>26.314267000000001</v>
      </c>
      <c r="I15">
        <v>22.786930000000002</v>
      </c>
      <c r="J15">
        <v>56.238616</v>
      </c>
      <c r="K15">
        <v>51.579878000000001</v>
      </c>
      <c r="L15">
        <v>137.19175799999999</v>
      </c>
      <c r="M15">
        <v>-622.49020499999995</v>
      </c>
      <c r="N15">
        <v>1.8664080000000001</v>
      </c>
      <c r="O15">
        <v>11.616574999999999</v>
      </c>
      <c r="P15">
        <f t="shared" si="0"/>
        <v>3.1106800000000005E-5</v>
      </c>
      <c r="Q15" cm="1">
        <f t="array" ref="Q15">[1]!PropsSI("D","T",J15+273.15,"P",101325,"Water")</f>
        <v>985.08861510817997</v>
      </c>
      <c r="R15" cm="1">
        <f t="array" ref="R15">[1]!PropsSI("D","T",K15+273.15,"P",101325,"Water")</f>
        <v>987.31233448023818</v>
      </c>
      <c r="S15">
        <f t="shared" si="1"/>
        <v>986.20047479420907</v>
      </c>
      <c r="T15" cm="1">
        <f t="array" ref="T15">[1]!PropsSI("H","T",J15+273.15,"P",101325,"Water")</f>
        <v>235510.43408531282</v>
      </c>
      <c r="U15" cm="1">
        <f t="array" ref="U15">[1]!PropsSI("H","T",K15+273.15,"P",101325,"Water")</f>
        <v>216024.86651783454</v>
      </c>
      <c r="V15">
        <f t="shared" si="2"/>
        <v>597.76929658251117</v>
      </c>
    </row>
    <row r="16" spans="1:23" x14ac:dyDescent="0.2">
      <c r="A16">
        <v>46122.826468171297</v>
      </c>
      <c r="B16">
        <v>20.273501</v>
      </c>
      <c r="C16">
        <v>20.399823000000001</v>
      </c>
      <c r="D16">
        <v>20.187908</v>
      </c>
      <c r="E16">
        <v>20.312135000000001</v>
      </c>
      <c r="F16">
        <v>30.204516000000002</v>
      </c>
      <c r="G16">
        <v>27.207736000000001</v>
      </c>
      <c r="H16">
        <v>26.317122000000001</v>
      </c>
      <c r="I16">
        <v>22.940594999999998</v>
      </c>
      <c r="J16">
        <v>56.237023999999998</v>
      </c>
      <c r="K16">
        <v>51.583374999999997</v>
      </c>
      <c r="L16">
        <v>155.74266600000001</v>
      </c>
      <c r="M16">
        <v>-622.46449199999995</v>
      </c>
      <c r="N16">
        <v>1.8713949999999999</v>
      </c>
      <c r="O16">
        <v>11.703599000000001</v>
      </c>
      <c r="P16">
        <f t="shared" si="0"/>
        <v>3.1189916666666668E-5</v>
      </c>
      <c r="Q16" cm="1">
        <f t="array" ref="Q16">[1]!PropsSI("D","T",J16+273.15,"P",101325,"Water")</f>
        <v>985.08939809970241</v>
      </c>
      <c r="R16" cm="1">
        <f t="array" ref="R16">[1]!PropsSI("D","T",K16+273.15,"P",101325,"Water")</f>
        <v>987.310716842592</v>
      </c>
      <c r="S16">
        <f t="shared" si="1"/>
        <v>986.20005747114715</v>
      </c>
      <c r="T16" cm="1">
        <f t="array" ref="T16">[1]!PropsSI("H","T",J16+273.15,"P",101325,"Water")</f>
        <v>235503.77408717509</v>
      </c>
      <c r="U16" cm="1">
        <f t="array" ref="U16">[1]!PropsSI("H","T",K16+273.15,"P",101325,"Water")</f>
        <v>216039.49030786412</v>
      </c>
      <c r="V16">
        <f t="shared" si="2"/>
        <v>598.71159037425207</v>
      </c>
    </row>
    <row r="17" spans="1:22" x14ac:dyDescent="0.2">
      <c r="A17">
        <v>46122.826526620367</v>
      </c>
      <c r="B17">
        <v>20.228912999999999</v>
      </c>
      <c r="C17">
        <v>20.370007999999999</v>
      </c>
      <c r="D17">
        <v>20.179917</v>
      </c>
      <c r="E17">
        <v>20.304915999999999</v>
      </c>
      <c r="F17">
        <v>30.021231</v>
      </c>
      <c r="G17">
        <v>27.177049</v>
      </c>
      <c r="H17">
        <v>26.121953999999999</v>
      </c>
      <c r="I17">
        <v>22.949287999999999</v>
      </c>
      <c r="J17">
        <v>56.237341999999998</v>
      </c>
      <c r="K17">
        <v>51.583374999999997</v>
      </c>
      <c r="L17">
        <v>163.766346</v>
      </c>
      <c r="M17">
        <v>-622.47020599999996</v>
      </c>
      <c r="N17">
        <v>1.869022</v>
      </c>
      <c r="O17">
        <v>11.625712</v>
      </c>
      <c r="P17">
        <f t="shared" si="0"/>
        <v>3.1150366666666666E-5</v>
      </c>
      <c r="Q17" cm="1">
        <f t="array" ref="Q17">[1]!PropsSI("D","T",J17+273.15,"P",101325,"Water")</f>
        <v>985.08924169937325</v>
      </c>
      <c r="R17" cm="1">
        <f t="array" ref="R17">[1]!PropsSI("D","T",K17+273.15,"P",101325,"Water")</f>
        <v>987.310716842592</v>
      </c>
      <c r="S17">
        <f t="shared" si="1"/>
        <v>986.19997927098257</v>
      </c>
      <c r="T17" cm="1">
        <f t="array" ref="T17">[1]!PropsSI("H","T",J17+273.15,"P",101325,"Water")</f>
        <v>235505.10441336286</v>
      </c>
      <c r="U17" cm="1">
        <f t="array" ref="U17">[1]!PropsSI("H","T",K17+273.15,"P",101325,"Water")</f>
        <v>216039.49030786412</v>
      </c>
      <c r="V17">
        <f t="shared" si="2"/>
        <v>597.99322217731822</v>
      </c>
    </row>
    <row r="18" spans="1:22" x14ac:dyDescent="0.2">
      <c r="A18">
        <v>46122.826584490744</v>
      </c>
      <c r="B18">
        <v>20.322818000000002</v>
      </c>
      <c r="C18">
        <v>20.448954000000001</v>
      </c>
      <c r="D18">
        <v>20.200589999999998</v>
      </c>
      <c r="E18">
        <v>20.319171999999998</v>
      </c>
      <c r="F18">
        <v>30.195796999999999</v>
      </c>
      <c r="G18">
        <v>27.072500999999999</v>
      </c>
      <c r="H18">
        <v>26.379992999999999</v>
      </c>
      <c r="I18">
        <v>22.969266999999999</v>
      </c>
      <c r="J18">
        <v>56.238616</v>
      </c>
      <c r="K18">
        <v>51.581944</v>
      </c>
      <c r="L18">
        <v>158.46252999999999</v>
      </c>
      <c r="M18">
        <v>-622.487348</v>
      </c>
      <c r="N18">
        <v>1.8734440000000001</v>
      </c>
      <c r="O18">
        <v>11.782730000000001</v>
      </c>
      <c r="P18">
        <f t="shared" si="0"/>
        <v>3.1224066666666671E-5</v>
      </c>
      <c r="Q18" cm="1">
        <f t="array" ref="Q18">[1]!PropsSI("D","T",J18+273.15,"P",101325,"Water")</f>
        <v>985.08861510817997</v>
      </c>
      <c r="R18" cm="1">
        <f t="array" ref="R18">[1]!PropsSI("D","T",K18+273.15,"P",101325,"Water")</f>
        <v>987.31137880220535</v>
      </c>
      <c r="S18">
        <f t="shared" si="1"/>
        <v>986.19999695519266</v>
      </c>
      <c r="T18" cm="1">
        <f t="array" ref="T18">[1]!PropsSI("H","T",J18+273.15,"P",101325,"Water")</f>
        <v>235510.43408531282</v>
      </c>
      <c r="U18" cm="1">
        <f t="array" ref="U18">[1]!PropsSI("H","T",K18+273.15,"P",101325,"Water")</f>
        <v>216033.50613712217</v>
      </c>
      <c r="V18">
        <f t="shared" si="2"/>
        <v>599.75644008978895</v>
      </c>
    </row>
    <row r="19" spans="1:22" x14ac:dyDescent="0.2">
      <c r="A19">
        <v>46122.826642939814</v>
      </c>
      <c r="B19">
        <v>20.233215000000001</v>
      </c>
      <c r="C19">
        <v>20.333876</v>
      </c>
      <c r="D19">
        <v>20.150756000000001</v>
      </c>
      <c r="E19">
        <v>20.348648000000001</v>
      </c>
      <c r="F19">
        <v>30.088367000000002</v>
      </c>
      <c r="G19">
        <v>27.056819000000001</v>
      </c>
      <c r="H19">
        <v>26.243390000000002</v>
      </c>
      <c r="I19">
        <v>23.195587</v>
      </c>
      <c r="J19">
        <v>56.239730000000002</v>
      </c>
      <c r="K19">
        <v>51.584009999999999</v>
      </c>
      <c r="L19">
        <v>147.765106</v>
      </c>
      <c r="M19">
        <v>-622.474695</v>
      </c>
      <c r="N19">
        <v>1.8748530000000001</v>
      </c>
      <c r="O19">
        <v>11.670253000000001</v>
      </c>
      <c r="P19">
        <f t="shared" si="0"/>
        <v>3.1247549999999999E-5</v>
      </c>
      <c r="Q19" cm="1">
        <f t="array" ref="Q19">[1]!PropsSI("D","T",J19+273.15,"P",101325,"Water")</f>
        <v>985.08806720160374</v>
      </c>
      <c r="R19" cm="1">
        <f t="array" ref="R19">[1]!PropsSI("D","T",K19+273.15,"P",101325,"Water")</f>
        <v>987.31042309667316</v>
      </c>
      <c r="S19">
        <f t="shared" si="1"/>
        <v>986.19924514913851</v>
      </c>
      <c r="T19" cm="1">
        <f t="array" ref="T19">[1]!PropsSI("H","T",J19+273.15,"P",101325,"Water")</f>
        <v>235515.09441120824</v>
      </c>
      <c r="U19" cm="1">
        <f t="array" ref="U19">[1]!PropsSI("H","T",K19+273.15,"P",101325,"Water")</f>
        <v>216042.14575770884</v>
      </c>
      <c r="V19">
        <f t="shared" si="2"/>
        <v>600.08442665811322</v>
      </c>
    </row>
    <row r="20" spans="1:22" x14ac:dyDescent="0.2">
      <c r="A20">
        <v>46122.826700810183</v>
      </c>
      <c r="B20">
        <v>20.239044</v>
      </c>
      <c r="C20">
        <v>20.360319</v>
      </c>
      <c r="D20">
        <v>20.178121999999998</v>
      </c>
      <c r="E20">
        <v>20.287517999999999</v>
      </c>
      <c r="F20">
        <v>30.198117</v>
      </c>
      <c r="G20">
        <v>27.438925000000001</v>
      </c>
      <c r="H20">
        <v>26.307013000000001</v>
      </c>
      <c r="I20">
        <v>22.850473000000001</v>
      </c>
      <c r="J20">
        <v>56.239410999999997</v>
      </c>
      <c r="K20">
        <v>51.573042999999998</v>
      </c>
      <c r="L20">
        <v>143.21717000000001</v>
      </c>
      <c r="M20">
        <v>-622.48122499999999</v>
      </c>
      <c r="N20">
        <v>1.8692930000000001</v>
      </c>
      <c r="O20">
        <v>11.7182</v>
      </c>
      <c r="P20">
        <f t="shared" si="0"/>
        <v>3.1154883333333339E-5</v>
      </c>
      <c r="Q20" cm="1">
        <f t="array" ref="Q20">[1]!PropsSI("D","T",J20+273.15,"P",101325,"Water")</f>
        <v>985.08822409842946</v>
      </c>
      <c r="R20" cm="1">
        <f t="array" ref="R20">[1]!PropsSI("D","T",K20+273.15,"P",101325,"Water")</f>
        <v>987.3154959780519</v>
      </c>
      <c r="S20">
        <f t="shared" si="1"/>
        <v>986.20186003824074</v>
      </c>
      <c r="T20" cm="1">
        <f t="array" ref="T20">[1]!PropsSI("H","T",J20+273.15,"P",101325,"Water")</f>
        <v>235513.75990132723</v>
      </c>
      <c r="U20" cm="1">
        <f t="array" ref="U20">[1]!PropsSI("H","T",K20+273.15,"P",101325,"Water")</f>
        <v>215996.28385647238</v>
      </c>
      <c r="V20">
        <f t="shared" si="2"/>
        <v>599.67452745204321</v>
      </c>
    </row>
    <row r="21" spans="1:22" x14ac:dyDescent="0.2">
      <c r="A21">
        <v>46122.82675925926</v>
      </c>
      <c r="B21">
        <v>20.317321</v>
      </c>
      <c r="C21">
        <v>20.377804000000001</v>
      </c>
      <c r="D21">
        <v>20.219977</v>
      </c>
      <c r="E21">
        <v>20.347087999999999</v>
      </c>
      <c r="F21">
        <v>30.247275999999999</v>
      </c>
      <c r="G21">
        <v>26.980834999999999</v>
      </c>
      <c r="H21">
        <v>26.419715</v>
      </c>
      <c r="I21">
        <v>23.005042</v>
      </c>
      <c r="J21">
        <v>56.243231999999999</v>
      </c>
      <c r="K21">
        <v>51.567478999999999</v>
      </c>
      <c r="L21">
        <v>138.77616800000001</v>
      </c>
      <c r="M21">
        <v>-622.49306200000001</v>
      </c>
      <c r="N21">
        <v>1.872428</v>
      </c>
      <c r="O21">
        <v>11.698846</v>
      </c>
      <c r="P21">
        <f t="shared" si="0"/>
        <v>3.1207133333333335E-5</v>
      </c>
      <c r="Q21" cm="1">
        <f t="array" ref="Q21">[1]!PropsSI("D","T",J21+273.15,"P",101325,"Water")</f>
        <v>985.08634473839129</v>
      </c>
      <c r="R21" cm="1">
        <f t="array" ref="R21">[1]!PropsSI("D","T",K21+273.15,"P",101325,"Water")</f>
        <v>987.31806935840802</v>
      </c>
      <c r="S21">
        <f t="shared" si="1"/>
        <v>986.20220704839971</v>
      </c>
      <c r="T21" cm="1">
        <f t="array" ref="T21">[1]!PropsSI("H","T",J21+273.15,"P",101325,"Water")</f>
        <v>235529.74473864396</v>
      </c>
      <c r="U21" cm="1">
        <f t="array" ref="U21">[1]!PropsSI("H","T",K21+273.15,"P",101325,"Water")</f>
        <v>215973.01628435359</v>
      </c>
      <c r="V21">
        <f t="shared" si="2"/>
        <v>601.88850925166128</v>
      </c>
    </row>
    <row r="22" spans="1:22" x14ac:dyDescent="0.2">
      <c r="A22">
        <v>46122.82681770833</v>
      </c>
      <c r="B22">
        <v>20.268248</v>
      </c>
      <c r="C22">
        <v>20.366987999999999</v>
      </c>
      <c r="D22">
        <v>20.202432000000002</v>
      </c>
      <c r="E22">
        <v>20.342129</v>
      </c>
      <c r="F22">
        <v>30.184191999999999</v>
      </c>
      <c r="G22">
        <v>27.373128999999999</v>
      </c>
      <c r="H22">
        <v>26.552112999999999</v>
      </c>
      <c r="I22">
        <v>23.035086</v>
      </c>
      <c r="J22">
        <v>56.244346</v>
      </c>
      <c r="K22">
        <v>51.576698999999998</v>
      </c>
      <c r="L22">
        <v>159.70410000000001</v>
      </c>
      <c r="M22">
        <v>-622.49061300000005</v>
      </c>
      <c r="N22">
        <v>1.86958</v>
      </c>
      <c r="O22">
        <v>11.683952</v>
      </c>
      <c r="P22">
        <f t="shared" si="0"/>
        <v>3.1159666666666666E-5</v>
      </c>
      <c r="Q22" cm="1">
        <f t="array" ref="Q22">[1]!PropsSI("D","T",J22+273.15,"P",101325,"Water")</f>
        <v>985.08579680030016</v>
      </c>
      <c r="R22" cm="1">
        <f t="array" ref="R22">[1]!PropsSI("D","T",K22+273.15,"P",101325,"Water")</f>
        <v>987.31380494950804</v>
      </c>
      <c r="S22">
        <f t="shared" si="1"/>
        <v>986.1998008749041</v>
      </c>
      <c r="T22" cm="1">
        <f t="array" ref="T22">[1]!PropsSI("H","T",J22+273.15,"P",101325,"Water")</f>
        <v>235534.40506650234</v>
      </c>
      <c r="U22" cm="1">
        <f t="array" ref="U22">[1]!PropsSI("H","T",K22+273.15,"P",101325,"Water")</f>
        <v>216011.57254667868</v>
      </c>
      <c r="V22">
        <f t="shared" si="2"/>
        <v>599.92994821294565</v>
      </c>
    </row>
    <row r="23" spans="1:22" x14ac:dyDescent="0.2">
      <c r="A23">
        <v>46122.826875578707</v>
      </c>
      <c r="B23">
        <v>20.447538000000002</v>
      </c>
      <c r="C23">
        <v>20.4663</v>
      </c>
      <c r="D23">
        <v>20.244395000000001</v>
      </c>
      <c r="E23">
        <v>20.352187000000001</v>
      </c>
      <c r="F23">
        <v>30.286861999999999</v>
      </c>
      <c r="G23">
        <v>27.434705000000001</v>
      </c>
      <c r="H23">
        <v>26.353373999999999</v>
      </c>
      <c r="I23">
        <v>23.219446000000001</v>
      </c>
      <c r="J23">
        <v>56.243709000000003</v>
      </c>
      <c r="K23">
        <v>51.580036999999997</v>
      </c>
      <c r="L23">
        <v>157.36462499999999</v>
      </c>
      <c r="M23">
        <v>-622.48449100000005</v>
      </c>
      <c r="N23">
        <v>1.8685020000000001</v>
      </c>
      <c r="O23">
        <v>11.707525</v>
      </c>
      <c r="P23">
        <f t="shared" si="0"/>
        <v>3.11417E-5</v>
      </c>
      <c r="Q23" cm="1">
        <f t="array" ref="Q23">[1]!PropsSI("D","T",J23+273.15,"P",101325,"Water")</f>
        <v>985.08611011952246</v>
      </c>
      <c r="R23" cm="1">
        <f t="array" ref="R23">[1]!PropsSI("D","T",K23+273.15,"P",101325,"Water")</f>
        <v>987.31226093192868</v>
      </c>
      <c r="S23">
        <f t="shared" si="1"/>
        <v>986.19918552572562</v>
      </c>
      <c r="T23" cm="1">
        <f t="array" ref="T23">[1]!PropsSI("H","T",J23+273.15,"P",101325,"Water")</f>
        <v>235531.74022905482</v>
      </c>
      <c r="U23" cm="1">
        <f t="array" ref="U23">[1]!PropsSI("H","T",K23+273.15,"P",101325,"Water")</f>
        <v>216025.53142555003</v>
      </c>
      <c r="V23">
        <f t="shared" si="2"/>
        <v>599.07310820120472</v>
      </c>
    </row>
    <row r="24" spans="1:22" x14ac:dyDescent="0.2">
      <c r="A24">
        <v>46122.826934027777</v>
      </c>
      <c r="B24">
        <v>20.451664999999998</v>
      </c>
      <c r="C24">
        <v>20.686264999999999</v>
      </c>
      <c r="D24">
        <v>20.296764</v>
      </c>
      <c r="E24">
        <v>20.453859999999999</v>
      </c>
      <c r="F24">
        <v>30.252917</v>
      </c>
      <c r="G24">
        <v>27.157737000000001</v>
      </c>
      <c r="H24">
        <v>26.516501000000002</v>
      </c>
      <c r="I24">
        <v>22.896856</v>
      </c>
      <c r="J24">
        <v>56.243391000000003</v>
      </c>
      <c r="K24">
        <v>51.584327999999999</v>
      </c>
      <c r="L24">
        <v>155.55941000000001</v>
      </c>
      <c r="M24">
        <v>-622.51428499999997</v>
      </c>
      <c r="N24">
        <v>1.8733040000000001</v>
      </c>
      <c r="O24">
        <v>11.672007000000001</v>
      </c>
      <c r="P24">
        <f t="shared" si="0"/>
        <v>3.1221733333333333E-5</v>
      </c>
      <c r="Q24" cm="1">
        <f t="array" ref="Q24">[1]!PropsSI("D","T",J24+273.15,"P",101325,"Water")</f>
        <v>985.08626653225122</v>
      </c>
      <c r="R24" cm="1">
        <f t="array" ref="R24">[1]!PropsSI("D","T",K24+273.15,"P",101325,"Water")</f>
        <v>987.31027599143545</v>
      </c>
      <c r="S24">
        <f t="shared" si="1"/>
        <v>986.19827126184327</v>
      </c>
      <c r="T24" cm="1">
        <f t="array" ref="T24">[1]!PropsSI("H","T",J24+273.15,"P",101325,"Water")</f>
        <v>235530.40990209614</v>
      </c>
      <c r="U24" cm="1">
        <f t="array" ref="U24">[1]!PropsSI("H","T",K24+273.15,"P",101325,"Water")</f>
        <v>216043.4755736189</v>
      </c>
      <c r="V24">
        <f t="shared" si="2"/>
        <v>600.01867633035818</v>
      </c>
    </row>
    <row r="25" spans="1:22" x14ac:dyDescent="0.2">
      <c r="A25">
        <v>46122.826992476854</v>
      </c>
      <c r="B25">
        <v>20.458959</v>
      </c>
      <c r="C25">
        <v>20.51407</v>
      </c>
      <c r="D25">
        <v>20.229489000000001</v>
      </c>
      <c r="E25">
        <v>20.401295000000001</v>
      </c>
      <c r="F25">
        <v>30.311582000000001</v>
      </c>
      <c r="G25">
        <v>26.938132</v>
      </c>
      <c r="H25">
        <v>26.166046000000001</v>
      </c>
      <c r="I25">
        <v>22.836043</v>
      </c>
      <c r="J25">
        <v>56.246732999999999</v>
      </c>
      <c r="K25">
        <v>51.593865000000001</v>
      </c>
      <c r="L25">
        <v>130.28924599999999</v>
      </c>
      <c r="M25">
        <v>-622.46775700000001</v>
      </c>
      <c r="N25">
        <v>1.8672439999999999</v>
      </c>
      <c r="O25">
        <v>11.705022</v>
      </c>
      <c r="P25">
        <f t="shared" si="0"/>
        <v>3.1120733333333328E-5</v>
      </c>
      <c r="Q25" cm="1">
        <f t="array" ref="Q25">[1]!PropsSI("D","T",J25+273.15,"P",101325,"Water")</f>
        <v>985.08462269191079</v>
      </c>
      <c r="R25" cm="1">
        <f t="array" ref="R25">[1]!PropsSI("D","T",K25+273.15,"P",101325,"Water")</f>
        <v>987.30586391959969</v>
      </c>
      <c r="S25">
        <f t="shared" si="1"/>
        <v>986.19524330575518</v>
      </c>
      <c r="T25" cm="1">
        <f t="array" ref="T25">[1]!PropsSI("H","T",J25+273.15,"P",101325,"Water")</f>
        <v>235544.39088727831</v>
      </c>
      <c r="U25" cm="1">
        <f t="array" ref="U25">[1]!PropsSI("H","T",K25+273.15,"P",101325,"Water")</f>
        <v>216083.35751882341</v>
      </c>
      <c r="V25">
        <f t="shared" si="2"/>
        <v>597.28089450679056</v>
      </c>
    </row>
    <row r="26" spans="1:22" x14ac:dyDescent="0.2">
      <c r="A26">
        <v>46122.827050925924</v>
      </c>
      <c r="B26">
        <v>20.462567</v>
      </c>
      <c r="C26">
        <v>20.602142000000001</v>
      </c>
      <c r="D26">
        <v>20.198481000000001</v>
      </c>
      <c r="E26">
        <v>20.381405000000001</v>
      </c>
      <c r="F26">
        <v>30.340761000000001</v>
      </c>
      <c r="G26">
        <v>27.473548999999998</v>
      </c>
      <c r="H26">
        <v>26.444299000000001</v>
      </c>
      <c r="I26">
        <v>22.851116000000001</v>
      </c>
      <c r="J26">
        <v>56.249121000000002</v>
      </c>
      <c r="K26">
        <v>51.596567999999998</v>
      </c>
      <c r="L26">
        <v>158.603747</v>
      </c>
      <c r="M26">
        <v>-622.48816399999998</v>
      </c>
      <c r="N26">
        <v>1.869629</v>
      </c>
      <c r="O26">
        <v>11.792299</v>
      </c>
      <c r="P26">
        <f t="shared" si="0"/>
        <v>3.1160483333333331E-5</v>
      </c>
      <c r="Q26" cm="1">
        <f t="array" ref="Q26">[1]!PropsSI("D","T",J26+273.15,"P",101325,"Water")</f>
        <v>985.0834480566823</v>
      </c>
      <c r="R26" cm="1">
        <f t="array" ref="R26">[1]!PropsSI("D","T",K26+273.15,"P",101325,"Water")</f>
        <v>987.30461333278492</v>
      </c>
      <c r="S26">
        <f t="shared" si="1"/>
        <v>986.19403069473356</v>
      </c>
      <c r="T26" cm="1">
        <f t="array" ref="T26">[1]!PropsSI("H","T",J26+273.15,"P",101325,"Water")</f>
        <v>235554.38089368597</v>
      </c>
      <c r="U26" cm="1">
        <f t="array" ref="U26">[1]!PropsSI("H","T",K26+273.15,"P",101325,"Water")</f>
        <v>216094.66096302477</v>
      </c>
      <c r="V26">
        <f t="shared" si="2"/>
        <v>598.00269389325263</v>
      </c>
    </row>
    <row r="27" spans="1:22" x14ac:dyDescent="0.2">
      <c r="A27">
        <v>46122.827108796293</v>
      </c>
      <c r="B27">
        <v>20.469726000000001</v>
      </c>
      <c r="C27">
        <v>20.51314</v>
      </c>
      <c r="D27">
        <v>20.198152</v>
      </c>
      <c r="E27">
        <v>20.359487000000001</v>
      </c>
      <c r="F27">
        <v>30.310670999999999</v>
      </c>
      <c r="G27">
        <v>27.181742</v>
      </c>
      <c r="H27">
        <v>26.312802000000001</v>
      </c>
      <c r="I27">
        <v>23.173531000000001</v>
      </c>
      <c r="J27">
        <v>56.248325000000001</v>
      </c>
      <c r="K27">
        <v>51.597839</v>
      </c>
      <c r="L27">
        <v>144.33017599999999</v>
      </c>
      <c r="M27">
        <v>-622.47224600000004</v>
      </c>
      <c r="N27">
        <v>1.872571</v>
      </c>
      <c r="O27">
        <v>11.716065</v>
      </c>
      <c r="P27">
        <f t="shared" si="0"/>
        <v>3.1209516666666663E-5</v>
      </c>
      <c r="Q27" cm="1">
        <f t="array" ref="Q27">[1]!PropsSI("D","T",J27+273.15,"P",101325,"Water")</f>
        <v>985.08383960565914</v>
      </c>
      <c r="R27" cm="1">
        <f t="array" ref="R27">[1]!PropsSI("D","T",K27+273.15,"P",101325,"Water")</f>
        <v>987.30402526776254</v>
      </c>
      <c r="S27">
        <f t="shared" si="1"/>
        <v>986.19393243671084</v>
      </c>
      <c r="T27" cm="1">
        <f t="array" ref="T27">[1]!PropsSI("H","T",J27+273.15,"P",101325,"Water")</f>
        <v>235551.0508912821</v>
      </c>
      <c r="U27" cm="1">
        <f t="array" ref="U27">[1]!PropsSI("H","T",K27+273.15,"P",101325,"Water")</f>
        <v>216099.97604978955</v>
      </c>
      <c r="V27">
        <f t="shared" si="2"/>
        <v>598.67755178998482</v>
      </c>
    </row>
    <row r="28" spans="1:22" x14ac:dyDescent="0.2">
      <c r="A28">
        <v>46122.82716666667</v>
      </c>
      <c r="B28">
        <v>20.358656</v>
      </c>
      <c r="C28">
        <v>20.431560000000001</v>
      </c>
      <c r="D28">
        <v>20.209427000000002</v>
      </c>
      <c r="E28">
        <v>20.398669000000002</v>
      </c>
      <c r="F28">
        <v>30.169678000000001</v>
      </c>
      <c r="G28">
        <v>27.211093000000002</v>
      </c>
      <c r="H28">
        <v>26.086721000000001</v>
      </c>
      <c r="I28">
        <v>22.739429000000001</v>
      </c>
      <c r="J28">
        <v>56.247687999999997</v>
      </c>
      <c r="K28">
        <v>51.599587999999997</v>
      </c>
      <c r="L28">
        <v>149.24176700000001</v>
      </c>
      <c r="M28">
        <v>-622.50571400000001</v>
      </c>
      <c r="N28">
        <v>1.87185</v>
      </c>
      <c r="O28">
        <v>11.615292</v>
      </c>
      <c r="P28">
        <f t="shared" si="0"/>
        <v>3.1197500000000001E-5</v>
      </c>
      <c r="Q28" cm="1">
        <f t="array" ref="Q28">[1]!PropsSI("D","T",J28+273.15,"P",101325,"Water")</f>
        <v>985.08415294038571</v>
      </c>
      <c r="R28" cm="1">
        <f t="array" ref="R28">[1]!PropsSI("D","T",K28+273.15,"P",101325,"Water")</f>
        <v>987.30321602511094</v>
      </c>
      <c r="S28">
        <f t="shared" si="1"/>
        <v>986.19368448274827</v>
      </c>
      <c r="T28" cm="1">
        <f t="array" ref="T28">[1]!PropsSI("H","T",J28+273.15,"P",101325,"Water")</f>
        <v>235548.38605292491</v>
      </c>
      <c r="U28" cm="1">
        <f t="array" ref="U28">[1]!PropsSI("H","T",K28+273.15,"P",101325,"Water")</f>
        <v>216107.29004491435</v>
      </c>
      <c r="V28">
        <f t="shared" si="2"/>
        <v>598.13987468345454</v>
      </c>
    </row>
    <row r="29" spans="1:22" x14ac:dyDescent="0.2">
      <c r="A29">
        <v>46122.82722511574</v>
      </c>
      <c r="B29">
        <v>20.360011</v>
      </c>
      <c r="C29">
        <v>20.591915</v>
      </c>
      <c r="D29">
        <v>20.204734999999999</v>
      </c>
      <c r="E29">
        <v>20.361637000000002</v>
      </c>
      <c r="F29">
        <v>30.254624</v>
      </c>
      <c r="G29">
        <v>27.190726999999999</v>
      </c>
      <c r="H29">
        <v>25.618984000000001</v>
      </c>
      <c r="I29">
        <v>22.547519000000001</v>
      </c>
      <c r="J29">
        <v>56.246732999999999</v>
      </c>
      <c r="K29">
        <v>51.600383000000001</v>
      </c>
      <c r="L29">
        <v>166.594775</v>
      </c>
      <c r="M29">
        <v>-622.50081599999999</v>
      </c>
      <c r="N29">
        <v>1.870825</v>
      </c>
      <c r="O29">
        <v>11.651166</v>
      </c>
      <c r="P29">
        <f t="shared" si="0"/>
        <v>3.1180416666666667E-5</v>
      </c>
      <c r="Q29" cm="1">
        <f t="array" ref="Q29">[1]!PropsSI("D","T",J29+273.15,"P",101325,"Water")</f>
        <v>985.08462269191079</v>
      </c>
      <c r="R29" cm="1">
        <f t="array" ref="R29">[1]!PropsSI("D","T",K29+273.15,"P",101325,"Water")</f>
        <v>987.30284818106293</v>
      </c>
      <c r="S29">
        <f t="shared" si="1"/>
        <v>986.1937354364868</v>
      </c>
      <c r="T29" cm="1">
        <f t="array" ref="T29">[1]!PropsSI("H","T",J29+273.15,"P",101325,"Water")</f>
        <v>235544.39088727831</v>
      </c>
      <c r="U29" cm="1">
        <f t="array" ref="U29">[1]!PropsSI("H","T",K29+273.15,"P",101325,"Water")</f>
        <v>216110.61458845722</v>
      </c>
      <c r="V29">
        <f t="shared" si="2"/>
        <v>597.58729162628401</v>
      </c>
    </row>
    <row r="30" spans="1:22" x14ac:dyDescent="0.2">
      <c r="A30">
        <v>46122.827282986109</v>
      </c>
      <c r="B30">
        <v>20.297622</v>
      </c>
      <c r="C30">
        <v>20.403310000000001</v>
      </c>
      <c r="D30">
        <v>20.170967999999998</v>
      </c>
      <c r="E30">
        <v>20.297436999999999</v>
      </c>
      <c r="F30">
        <v>30.167476000000001</v>
      </c>
      <c r="G30">
        <v>27.188108</v>
      </c>
      <c r="H30">
        <v>26.351465999999999</v>
      </c>
      <c r="I30">
        <v>23.045175</v>
      </c>
      <c r="J30">
        <v>56.247051999999996</v>
      </c>
      <c r="K30">
        <v>51.599111000000001</v>
      </c>
      <c r="L30">
        <v>152.93627599999999</v>
      </c>
      <c r="M30">
        <v>-622.50244899999996</v>
      </c>
      <c r="N30">
        <v>1.871923</v>
      </c>
      <c r="O30">
        <v>11.695466</v>
      </c>
      <c r="P30">
        <f t="shared" si="0"/>
        <v>3.1198716666666667E-5</v>
      </c>
      <c r="Q30" cm="1">
        <f t="array" ref="Q30">[1]!PropsSI("D","T",J30+273.15,"P",101325,"Water")</f>
        <v>985.08446578075916</v>
      </c>
      <c r="R30" cm="1">
        <f t="array" ref="R30">[1]!PropsSI("D","T",K30+273.15,"P",101325,"Water")</f>
        <v>987.30343672960817</v>
      </c>
      <c r="S30">
        <f t="shared" si="1"/>
        <v>986.19395125518372</v>
      </c>
      <c r="T30" cm="1">
        <f t="array" ref="T30">[1]!PropsSI("H","T",J30+273.15,"P",101325,"Water")</f>
        <v>235545.72539806477</v>
      </c>
      <c r="U30" cm="1">
        <f t="array" ref="U30">[1]!PropsSI("H","T",K30+273.15,"P",101325,"Water")</f>
        <v>216105.29531887628</v>
      </c>
      <c r="V30">
        <f t="shared" si="2"/>
        <v>598.14287397051373</v>
      </c>
    </row>
    <row r="31" spans="1:22" x14ac:dyDescent="0.2">
      <c r="A31">
        <v>46122.827341435186</v>
      </c>
      <c r="B31">
        <v>20.229326</v>
      </c>
      <c r="C31">
        <v>20.359970000000001</v>
      </c>
      <c r="D31">
        <v>20.136686999999998</v>
      </c>
      <c r="E31">
        <v>20.275915999999999</v>
      </c>
      <c r="F31">
        <v>30.113911999999999</v>
      </c>
      <c r="G31">
        <v>27.424202999999999</v>
      </c>
      <c r="H31">
        <v>26.546796000000001</v>
      </c>
      <c r="I31">
        <v>23.166689000000002</v>
      </c>
      <c r="J31">
        <v>56.245300999999998</v>
      </c>
      <c r="K31">
        <v>51.582420999999997</v>
      </c>
      <c r="L31">
        <v>161.95704799999999</v>
      </c>
      <c r="M31">
        <v>-622.50367300000005</v>
      </c>
      <c r="N31">
        <v>1.863945</v>
      </c>
      <c r="O31">
        <v>11.708987</v>
      </c>
      <c r="P31">
        <f t="shared" si="0"/>
        <v>3.106575E-5</v>
      </c>
      <c r="Q31" cm="1">
        <f t="array" ref="Q31">[1]!PropsSI("D","T",J31+273.15,"P",101325,"Water")</f>
        <v>985.08532706276469</v>
      </c>
      <c r="R31" cm="1">
        <f t="array" ref="R31">[1]!PropsSI("D","T",K31+273.15,"P",101325,"Water")</f>
        <v>987.31115815047167</v>
      </c>
      <c r="S31">
        <f t="shared" si="1"/>
        <v>986.19824260661812</v>
      </c>
      <c r="T31" cm="1">
        <f t="array" ref="T31">[1]!PropsSI("H","T",J31+273.15,"P",101325,"Water")</f>
        <v>235538.40023124666</v>
      </c>
      <c r="U31" cm="1">
        <f t="array" ref="U31">[1]!PropsSI("H","T",K31+273.15,"P",101325,"Water")</f>
        <v>216035.5008606583</v>
      </c>
      <c r="V31">
        <f t="shared" si="2"/>
        <v>597.51009505958609</v>
      </c>
    </row>
    <row r="32" spans="1:22" x14ac:dyDescent="0.2">
      <c r="A32">
        <v>46122.827399305555</v>
      </c>
      <c r="B32">
        <v>20.289638</v>
      </c>
      <c r="C32">
        <v>20.368926999999999</v>
      </c>
      <c r="D32">
        <v>20.134267999999999</v>
      </c>
      <c r="E32">
        <v>20.218387</v>
      </c>
      <c r="F32">
        <v>30.211542999999999</v>
      </c>
      <c r="G32">
        <v>26.98649</v>
      </c>
      <c r="H32">
        <v>26.217283999999999</v>
      </c>
      <c r="I32">
        <v>23.093633000000001</v>
      </c>
      <c r="J32">
        <v>56.243231999999999</v>
      </c>
      <c r="K32">
        <v>51.580672</v>
      </c>
      <c r="L32">
        <v>155.565124</v>
      </c>
      <c r="M32">
        <v>-622.49020499999995</v>
      </c>
      <c r="N32">
        <v>1.871305</v>
      </c>
      <c r="O32">
        <v>11.600144</v>
      </c>
      <c r="P32">
        <f t="shared" si="0"/>
        <v>3.1188416666666664E-5</v>
      </c>
      <c r="Q32" cm="1">
        <f t="array" ref="Q32">[1]!PropsSI("D","T",J32+273.15,"P",101325,"Water")</f>
        <v>985.08634473839129</v>
      </c>
      <c r="R32" cm="1">
        <f t="array" ref="R32">[1]!PropsSI("D","T",K32+273.15,"P",101325,"Water")</f>
        <v>987.31196719966954</v>
      </c>
      <c r="S32">
        <f t="shared" si="1"/>
        <v>986.19915596903047</v>
      </c>
      <c r="T32" cm="1">
        <f t="array" ref="T32">[1]!PropsSI("H","T",J32+273.15,"P",101325,"Water")</f>
        <v>235529.74473864396</v>
      </c>
      <c r="U32" cm="1">
        <f t="array" ref="U32">[1]!PropsSI("H","T",K32+273.15,"P",101325,"Water")</f>
        <v>216028.18687478371</v>
      </c>
      <c r="V32">
        <f t="shared" si="2"/>
        <v>599.82872551853848</v>
      </c>
    </row>
    <row r="33" spans="1:22" x14ac:dyDescent="0.2">
      <c r="A33">
        <v>46122.827457754633</v>
      </c>
      <c r="B33">
        <v>20.268011000000001</v>
      </c>
      <c r="C33">
        <v>20.275509</v>
      </c>
      <c r="D33">
        <v>20.140682999999999</v>
      </c>
      <c r="E33">
        <v>20.287451999999998</v>
      </c>
      <c r="F33">
        <v>30.207370000000001</v>
      </c>
      <c r="G33">
        <v>27.011751</v>
      </c>
      <c r="H33">
        <v>26.172322999999999</v>
      </c>
      <c r="I33">
        <v>23.301708999999999</v>
      </c>
      <c r="J33">
        <v>56.242277000000001</v>
      </c>
      <c r="K33">
        <v>51.579400999999997</v>
      </c>
      <c r="L33">
        <v>156.014081</v>
      </c>
      <c r="M33">
        <v>-622.48285799999996</v>
      </c>
      <c r="N33">
        <v>1.8706199999999999</v>
      </c>
      <c r="O33">
        <v>11.460053</v>
      </c>
      <c r="P33">
        <f t="shared" si="0"/>
        <v>3.1176999999999996E-5</v>
      </c>
      <c r="Q33" cm="1">
        <f t="array" ref="Q33">[1]!PropsSI("D","T",J33+273.15,"P",101325,"Water")</f>
        <v>985.08681446381729</v>
      </c>
      <c r="R33" cm="1">
        <f t="array" ref="R33">[1]!PropsSI("D","T",K33+273.15,"P",101325,"Water")</f>
        <v>987.31255512416476</v>
      </c>
      <c r="S33">
        <f t="shared" si="1"/>
        <v>986.19968479399108</v>
      </c>
      <c r="T33" cm="1">
        <f t="array" ref="T33">[1]!PropsSI("H","T",J33+273.15,"P",101325,"Water")</f>
        <v>235525.74957461641</v>
      </c>
      <c r="U33" cm="1">
        <f t="array" ref="U33">[1]!PropsSI("H","T",K33+273.15,"P",101325,"Water")</f>
        <v>216022.87179467478</v>
      </c>
      <c r="V33">
        <f t="shared" si="2"/>
        <v>599.65006004346935</v>
      </c>
    </row>
    <row r="34" spans="1:22" x14ac:dyDescent="0.2">
      <c r="A34">
        <v>46122.827516203703</v>
      </c>
      <c r="B34">
        <v>20.350625999999998</v>
      </c>
      <c r="C34">
        <v>20.493472000000001</v>
      </c>
      <c r="D34">
        <v>20.208893</v>
      </c>
      <c r="E34">
        <v>20.328078999999999</v>
      </c>
      <c r="F34">
        <v>30.216653000000001</v>
      </c>
      <c r="G34">
        <v>27.590817000000001</v>
      </c>
      <c r="H34">
        <v>26.617533999999999</v>
      </c>
      <c r="I34">
        <v>22.862490999999999</v>
      </c>
      <c r="J34">
        <v>56.242913000000001</v>
      </c>
      <c r="K34">
        <v>51.58099</v>
      </c>
      <c r="L34">
        <v>159.27799899999999</v>
      </c>
      <c r="M34">
        <v>-622.46612400000004</v>
      </c>
      <c r="N34">
        <v>1.8682890000000001</v>
      </c>
      <c r="O34">
        <v>11.731327</v>
      </c>
      <c r="P34">
        <f t="shared" si="0"/>
        <v>3.1138150000000003E-5</v>
      </c>
      <c r="Q34" cm="1">
        <f t="array" ref="Q34">[1]!PropsSI("D","T",J34+273.15,"P",101325,"Water")</f>
        <v>985.08650164207131</v>
      </c>
      <c r="R34" cm="1">
        <f t="array" ref="R34">[1]!PropsSI("D","T",K34+273.15,"P",101325,"Water")</f>
        <v>987.31182010130067</v>
      </c>
      <c r="S34">
        <f t="shared" si="1"/>
        <v>986.19916087168599</v>
      </c>
      <c r="T34" cm="1">
        <f t="array" ref="T34">[1]!PropsSI("H","T",J34+273.15,"P",101325,"Water")</f>
        <v>235528.41022828693</v>
      </c>
      <c r="U34" cm="1">
        <f t="array" ref="U34">[1]!PropsSI("H","T",K34+273.15,"P",101325,"Water")</f>
        <v>216029.5166902804</v>
      </c>
      <c r="V34">
        <f t="shared" si="2"/>
        <v>598.78016162465133</v>
      </c>
    </row>
    <row r="35" spans="1:22" x14ac:dyDescent="0.2">
      <c r="A35">
        <v>46122.827574074072</v>
      </c>
      <c r="B35">
        <v>20.368185</v>
      </c>
      <c r="C35">
        <v>20.402239000000002</v>
      </c>
      <c r="D35">
        <v>20.177325</v>
      </c>
      <c r="E35">
        <v>20.344847999999999</v>
      </c>
      <c r="F35">
        <v>30.211881000000002</v>
      </c>
      <c r="G35">
        <v>27.255766999999999</v>
      </c>
      <c r="H35">
        <v>26.173204999999999</v>
      </c>
      <c r="I35">
        <v>22.850605999999999</v>
      </c>
      <c r="J35">
        <v>56.242435999999998</v>
      </c>
      <c r="K35">
        <v>51.587507000000002</v>
      </c>
      <c r="L35">
        <v>158.29682399999999</v>
      </c>
      <c r="M35">
        <v>-622.49347</v>
      </c>
      <c r="N35">
        <v>1.8736809999999999</v>
      </c>
      <c r="O35">
        <v>11.756805999999999</v>
      </c>
      <c r="P35">
        <f t="shared" si="0"/>
        <v>3.1228016666666663E-5</v>
      </c>
      <c r="Q35" cm="1">
        <f t="array" ref="Q35">[1]!PropsSI("D","T",J35+273.15,"P",101325,"Water")</f>
        <v>985.08673625861991</v>
      </c>
      <c r="R35" cm="1">
        <f t="array" ref="R35">[1]!PropsSI("D","T",K35+273.15,"P",101325,"Water")</f>
        <v>987.30880536593543</v>
      </c>
      <c r="S35">
        <f t="shared" si="1"/>
        <v>986.19777081227767</v>
      </c>
      <c r="T35" cm="1">
        <f t="array" ref="T35">[1]!PropsSI("H","T",J35+273.15,"P",101325,"Water")</f>
        <v>235526.41473804016</v>
      </c>
      <c r="U35" cm="1">
        <f t="array" ref="U35">[1]!PropsSI("H","T",K35+273.15,"P",101325,"Water")</f>
        <v>216056.7695522141</v>
      </c>
      <c r="V35">
        <f t="shared" si="2"/>
        <v>599.60667103435674</v>
      </c>
    </row>
    <row r="36" spans="1:22" x14ac:dyDescent="0.2">
      <c r="A36">
        <v>46122.827632523149</v>
      </c>
      <c r="B36">
        <v>20.335014000000001</v>
      </c>
      <c r="C36">
        <v>20.593594</v>
      </c>
      <c r="D36">
        <v>20.206413999999999</v>
      </c>
      <c r="E36">
        <v>20.429912999999999</v>
      </c>
      <c r="F36">
        <v>30.288309999999999</v>
      </c>
      <c r="G36">
        <v>27.320211</v>
      </c>
      <c r="H36">
        <v>26.605249000000001</v>
      </c>
      <c r="I36">
        <v>22.916523999999999</v>
      </c>
      <c r="J36">
        <v>56.243391000000003</v>
      </c>
      <c r="K36">
        <v>51.590527000000002</v>
      </c>
      <c r="L36">
        <v>157.370339</v>
      </c>
      <c r="M36">
        <v>-622.49714300000005</v>
      </c>
      <c r="N36">
        <v>1.8738859999999999</v>
      </c>
      <c r="O36">
        <v>11.705454</v>
      </c>
      <c r="P36">
        <f t="shared" si="0"/>
        <v>3.1231433333333334E-5</v>
      </c>
      <c r="Q36" cm="1">
        <f t="array" ref="Q36">[1]!PropsSI("D","T",J36+273.15,"P",101325,"Water")</f>
        <v>985.08626653225122</v>
      </c>
      <c r="R36" cm="1">
        <f t="array" ref="R36">[1]!PropsSI("D","T",K36+273.15,"P",101325,"Water")</f>
        <v>987.3074082345338</v>
      </c>
      <c r="S36">
        <f t="shared" si="1"/>
        <v>986.19683738339245</v>
      </c>
      <c r="T36" cm="1">
        <f t="array" ref="T36">[1]!PropsSI("H","T",J36+273.15,"P",101325,"Water")</f>
        <v>235530.40990209614</v>
      </c>
      <c r="U36" cm="1">
        <f t="array" ref="U36">[1]!PropsSI("H","T",K36+273.15,"P",101325,"Water")</f>
        <v>216069.39862573214</v>
      </c>
      <c r="V36">
        <f t="shared" si="2"/>
        <v>599.40577924095328</v>
      </c>
    </row>
    <row r="37" spans="1:22" x14ac:dyDescent="0.2">
      <c r="A37">
        <v>46122.827690393518</v>
      </c>
      <c r="B37">
        <v>20.358577</v>
      </c>
      <c r="C37">
        <v>20.569834</v>
      </c>
      <c r="D37">
        <v>20.272946999999998</v>
      </c>
      <c r="E37">
        <v>20.368499</v>
      </c>
      <c r="F37">
        <v>30.266867000000001</v>
      </c>
      <c r="G37">
        <v>27.204623999999999</v>
      </c>
      <c r="H37">
        <v>26.456845999999999</v>
      </c>
      <c r="I37">
        <v>22.993683999999998</v>
      </c>
      <c r="J37">
        <v>56.243867999999999</v>
      </c>
      <c r="K37">
        <v>51.594023999999997</v>
      </c>
      <c r="L37">
        <v>138.56597500000001</v>
      </c>
      <c r="M37">
        <v>-622.49510199999997</v>
      </c>
      <c r="N37">
        <v>1.873702</v>
      </c>
      <c r="O37">
        <v>11.65691</v>
      </c>
      <c r="P37">
        <f t="shared" si="0"/>
        <v>3.1228366666666667E-5</v>
      </c>
      <c r="Q37" cm="1">
        <f t="array" ref="Q37">[1]!PropsSI("D","T",J37+273.15,"P",101325,"Water")</f>
        <v>985.08603191291149</v>
      </c>
      <c r="R37" cm="1">
        <f t="array" ref="R37">[1]!PropsSI("D","T",K37+273.15,"P",101325,"Water")</f>
        <v>987.3057903569744</v>
      </c>
      <c r="S37">
        <f t="shared" si="1"/>
        <v>986.19591113494289</v>
      </c>
      <c r="T37" cm="1">
        <f t="array" ref="T37">[1]!PropsSI("H","T",J37+273.15,"P",101325,"Water")</f>
        <v>235532.40539255715</v>
      </c>
      <c r="U37" cm="1">
        <f t="array" ref="U37">[1]!PropsSI("H","T",K37+273.15,"P",101325,"Water")</f>
        <v>216084.02242724941</v>
      </c>
      <c r="V37">
        <f t="shared" si="2"/>
        <v>598.95744194449492</v>
      </c>
    </row>
    <row r="38" spans="1:22" x14ac:dyDescent="0.2">
      <c r="A38">
        <v>44660.827748842799</v>
      </c>
      <c r="B38">
        <v>20.435876</v>
      </c>
      <c r="C38">
        <v>20.640436999999999</v>
      </c>
      <c r="D38">
        <v>20.292947000000002</v>
      </c>
      <c r="E38">
        <v>20.374739999999999</v>
      </c>
      <c r="F38">
        <v>30.315989999999999</v>
      </c>
      <c r="G38">
        <v>27.059237</v>
      </c>
      <c r="H38">
        <v>26.184453999999999</v>
      </c>
      <c r="I38">
        <v>23.473006999999999</v>
      </c>
      <c r="J38">
        <v>56.242435999999998</v>
      </c>
      <c r="K38">
        <v>51.596727000000001</v>
      </c>
      <c r="L38">
        <v>133.55847</v>
      </c>
      <c r="M38">
        <v>-622.47143000000005</v>
      </c>
      <c r="N38">
        <v>1.870838</v>
      </c>
      <c r="O38">
        <v>11.621582</v>
      </c>
      <c r="P38">
        <f t="shared" si="0"/>
        <v>3.1180633333333338E-5</v>
      </c>
      <c r="Q38" cm="1">
        <f t="array" ref="Q38">[1]!PropsSI("D","T",J38+273.15,"P",101325,"Water")</f>
        <v>985.08673625861991</v>
      </c>
      <c r="R38" cm="1">
        <f t="array" ref="R38">[1]!PropsSI("D","T",K38+273.15,"P",101325,"Water")</f>
        <v>987.3045397674066</v>
      </c>
      <c r="S38">
        <f t="shared" si="1"/>
        <v>986.19563801301319</v>
      </c>
      <c r="T38" cm="1">
        <f t="array" ref="T38">[1]!PropsSI("H","T",J38+273.15,"P",101325,"Water")</f>
        <v>235526.41473804016</v>
      </c>
      <c r="U38" cm="1">
        <f t="array" ref="U38">[1]!PropsSI("H","T",K38+273.15,"P",101325,"Water")</f>
        <v>216095.32587149731</v>
      </c>
      <c r="V38">
        <f t="shared" si="2"/>
        <v>597.50995793251172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84A7-6F5E-FB47-A668-976A07AB75AB}">
  <dimension ref="A1:W80"/>
  <sheetViews>
    <sheetView topLeftCell="I1" workbookViewId="0">
      <selection activeCell="W12" sqref="W1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>
        <v>44660.818338541801</v>
      </c>
      <c r="B2">
        <v>20.526260000000001</v>
      </c>
      <c r="C2">
        <v>20.606104999999999</v>
      </c>
      <c r="D2">
        <v>20.284379999999999</v>
      </c>
      <c r="E2">
        <v>20.414729999999999</v>
      </c>
      <c r="F2">
        <v>29.328316999999998</v>
      </c>
      <c r="G2">
        <v>26.423439999999999</v>
      </c>
      <c r="H2">
        <v>25.593357999999998</v>
      </c>
      <c r="I2">
        <v>23.038664000000001</v>
      </c>
      <c r="J2">
        <v>56.203439000000003</v>
      </c>
      <c r="K2">
        <v>51.330809000000002</v>
      </c>
      <c r="L2">
        <v>217.59263000000001</v>
      </c>
      <c r="M2">
        <v>-622.50081599999999</v>
      </c>
      <c r="N2">
        <v>1.8732679999999999</v>
      </c>
      <c r="O2">
        <v>11.736041999999999</v>
      </c>
      <c r="P2">
        <f t="shared" ref="P2:P65" si="0" xml:space="preserve"> N2*0.001/60</f>
        <v>3.1221133333333332E-5</v>
      </c>
      <c r="Q2" cm="1">
        <f t="array" ref="Q2">[1]!PropsSI("D","T",J2+273.15,"P",101325,"Water")</f>
        <v>985.10591255071358</v>
      </c>
      <c r="R2" cm="1">
        <f t="array" ref="R2">[1]!PropsSI("D","T",K2+273.15,"P",101325,"Water")</f>
        <v>987.42734566645845</v>
      </c>
      <c r="S2">
        <f t="shared" ref="S2:S65" si="1">(Q2+R2)/2</f>
        <v>986.26662910858602</v>
      </c>
      <c r="T2" cm="1">
        <f t="array" ref="T2">[1]!PropsSI("H","T",J2+273.15,"P",101325,"Water")</f>
        <v>235363.27428834658</v>
      </c>
      <c r="U2" cm="1">
        <f t="array" ref="U2">[1]!PropsSI("H","T",K2+273.15,"P",101325,"Water")</f>
        <v>214983.3169120262</v>
      </c>
      <c r="V2">
        <f t="shared" ref="V2:V65" si="2">S2*P2*(T2-U2)</f>
        <v>627.54702364181219</v>
      </c>
      <c r="W2" s="2">
        <f>AVERAGE(V2:V80)</f>
        <v>629.93922352365985</v>
      </c>
    </row>
    <row r="3" spans="1:23" x14ac:dyDescent="0.2">
      <c r="A3">
        <v>44660.8183964122</v>
      </c>
      <c r="B3">
        <v>20.620262</v>
      </c>
      <c r="C3">
        <v>20.847847000000002</v>
      </c>
      <c r="D3">
        <v>20.344163000000002</v>
      </c>
      <c r="E3">
        <v>20.489972000000002</v>
      </c>
      <c r="F3">
        <v>29.356826000000002</v>
      </c>
      <c r="G3">
        <v>26.721430000000002</v>
      </c>
      <c r="H3">
        <v>25.862407000000001</v>
      </c>
      <c r="I3">
        <v>22.928283</v>
      </c>
      <c r="J3">
        <v>56.202643000000002</v>
      </c>
      <c r="K3">
        <v>51.325087000000003</v>
      </c>
      <c r="L3">
        <v>190.73275000000001</v>
      </c>
      <c r="M3">
        <v>-622.51714200000004</v>
      </c>
      <c r="N3">
        <v>1.873251</v>
      </c>
      <c r="O3">
        <v>11.706204</v>
      </c>
      <c r="P3">
        <f t="shared" si="0"/>
        <v>3.1220850000000001E-5</v>
      </c>
      <c r="Q3" cm="1">
        <f t="array" ref="Q3">[1]!PropsSI("D","T",J3+273.15,"P",101325,"Water")</f>
        <v>985.10630387676201</v>
      </c>
      <c r="R3" cm="1">
        <f t="array" ref="R3">[1]!PropsSI("D","T",K3+273.15,"P",101325,"Water")</f>
        <v>987.42998317692434</v>
      </c>
      <c r="S3">
        <f t="shared" si="1"/>
        <v>986.26814352684323</v>
      </c>
      <c r="T3" cm="1">
        <f t="array" ref="T3">[1]!PropsSI("H","T",J3+273.15,"P",101325,"Water")</f>
        <v>235359.94429982285</v>
      </c>
      <c r="U3" cm="1">
        <f t="array" ref="U3">[1]!PropsSI("H","T",K3+273.15,"P",101325,"Water")</f>
        <v>214959.38903937853</v>
      </c>
      <c r="V3">
        <f t="shared" si="2"/>
        <v>628.17654493579005</v>
      </c>
      <c r="W3" s="2"/>
    </row>
    <row r="4" spans="1:23" x14ac:dyDescent="0.2">
      <c r="A4">
        <v>44660.818454282598</v>
      </c>
      <c r="B4">
        <v>20.622954</v>
      </c>
      <c r="C4">
        <v>20.774626999999999</v>
      </c>
      <c r="D4">
        <v>20.309929</v>
      </c>
      <c r="E4">
        <v>20.496058999999999</v>
      </c>
      <c r="F4">
        <v>29.319179999999999</v>
      </c>
      <c r="G4">
        <v>26.382563999999999</v>
      </c>
      <c r="H4">
        <v>25.489363999999998</v>
      </c>
      <c r="I4">
        <v>22.38897</v>
      </c>
      <c r="J4">
        <v>56.204394000000001</v>
      </c>
      <c r="K4">
        <v>51.323815000000003</v>
      </c>
      <c r="L4">
        <v>197.76750000000001</v>
      </c>
      <c r="M4">
        <v>-622.49183700000003</v>
      </c>
      <c r="N4">
        <v>1.8708130000000001</v>
      </c>
      <c r="O4">
        <v>11.576074999999999</v>
      </c>
      <c r="P4">
        <f t="shared" si="0"/>
        <v>3.1180216666666667E-5</v>
      </c>
      <c r="Q4" cm="1">
        <f t="array" ref="Q4">[1]!PropsSI("D","T",J4+273.15,"P",101325,"Water")</f>
        <v>985.10544305263306</v>
      </c>
      <c r="R4" cm="1">
        <f t="array" ref="R4">[1]!PropsSI("D","T",K4+273.15,"P",101325,"Water")</f>
        <v>987.43056946648221</v>
      </c>
      <c r="S4">
        <f t="shared" si="1"/>
        <v>986.26800625955764</v>
      </c>
      <c r="T4" cm="1">
        <f t="array" ref="T4">[1]!PropsSI("H","T",J4+273.15,"P",101325,"Water")</f>
        <v>235367.26943825246</v>
      </c>
      <c r="U4" cm="1">
        <f t="array" ref="U4">[1]!PropsSI("H","T",K4+273.15,"P",101325,"Water")</f>
        <v>214954.06987710297</v>
      </c>
      <c r="V4">
        <f t="shared" si="2"/>
        <v>627.74773614823505</v>
      </c>
      <c r="W4" s="2"/>
    </row>
    <row r="5" spans="1:23" x14ac:dyDescent="0.2">
      <c r="A5">
        <v>44660.818512152997</v>
      </c>
      <c r="B5">
        <v>20.603104999999999</v>
      </c>
      <c r="C5">
        <v>20.757964000000001</v>
      </c>
      <c r="D5">
        <v>20.342701999999999</v>
      </c>
      <c r="E5">
        <v>20.524585999999999</v>
      </c>
      <c r="F5">
        <v>29.435478</v>
      </c>
      <c r="G5">
        <v>26.594370999999999</v>
      </c>
      <c r="H5">
        <v>25.854552000000002</v>
      </c>
      <c r="I5">
        <v>22.636537000000001</v>
      </c>
      <c r="J5">
        <v>56.203758000000001</v>
      </c>
      <c r="K5">
        <v>51.321908000000001</v>
      </c>
      <c r="L5">
        <v>210.20075499999999</v>
      </c>
      <c r="M5">
        <v>-622.50244899999996</v>
      </c>
      <c r="N5">
        <v>1.872309</v>
      </c>
      <c r="O5">
        <v>11.652233000000001</v>
      </c>
      <c r="P5">
        <f t="shared" si="0"/>
        <v>3.1205150000000001E-5</v>
      </c>
      <c r="Q5" cm="1">
        <f t="array" ref="Q5">[1]!PropsSI("D","T",J5+273.15,"P",101325,"Water")</f>
        <v>985.10575572422806</v>
      </c>
      <c r="R5" cm="1">
        <f t="array" ref="R5">[1]!PropsSI("D","T",K5+273.15,"P",101325,"Water")</f>
        <v>987.43144842034246</v>
      </c>
      <c r="S5">
        <f t="shared" si="1"/>
        <v>986.26860207228526</v>
      </c>
      <c r="T5" cm="1">
        <f t="array" ref="T5">[1]!PropsSI("H","T",J5+273.15,"P",101325,"Water")</f>
        <v>235364.60879389526</v>
      </c>
      <c r="U5" cm="1">
        <f t="array" ref="U5">[1]!PropsSI("H","T",K5+273.15,"P",101325,"Water")</f>
        <v>214946.09531639729</v>
      </c>
      <c r="V5">
        <f t="shared" si="2"/>
        <v>628.41364022252719</v>
      </c>
      <c r="W5" s="2"/>
    </row>
    <row r="6" spans="1:23" x14ac:dyDescent="0.2">
      <c r="A6">
        <v>46122.818570601848</v>
      </c>
      <c r="B6">
        <v>20.454737999999999</v>
      </c>
      <c r="C6">
        <v>20.576041</v>
      </c>
      <c r="D6">
        <v>20.278457</v>
      </c>
      <c r="E6">
        <v>20.441026000000001</v>
      </c>
      <c r="F6">
        <v>29.219259000000001</v>
      </c>
      <c r="G6">
        <v>26.598300999999999</v>
      </c>
      <c r="H6">
        <v>25.614086</v>
      </c>
      <c r="I6">
        <v>22.692215999999998</v>
      </c>
      <c r="J6">
        <v>56.207737000000002</v>
      </c>
      <c r="K6">
        <v>51.316186000000002</v>
      </c>
      <c r="L6">
        <v>212.883478</v>
      </c>
      <c r="M6">
        <v>-622.51591800000006</v>
      </c>
      <c r="N6">
        <v>1.872403</v>
      </c>
      <c r="O6">
        <v>11.700561</v>
      </c>
      <c r="P6">
        <f t="shared" si="0"/>
        <v>3.1206716666666671E-5</v>
      </c>
      <c r="Q6" cm="1">
        <f t="array" ref="Q6">[1]!PropsSI("D","T",J6+273.15,"P",101325,"Water")</f>
        <v>985.10379951951518</v>
      </c>
      <c r="R6" cm="1">
        <f t="array" ref="R6">[1]!PropsSI("D","T",K6+273.15,"P",101325,"Water")</f>
        <v>987.43408560172543</v>
      </c>
      <c r="S6">
        <f t="shared" si="1"/>
        <v>986.2689425606203</v>
      </c>
      <c r="T6" cm="1">
        <f t="array" ref="T6">[1]!PropsSI("H","T",J6+273.15,"P",101325,"Water")</f>
        <v>235381.25455729134</v>
      </c>
      <c r="U6" cm="1">
        <f t="array" ref="U6">[1]!PropsSI("H","T",K6+273.15,"P",101325,"Water")</f>
        <v>214922.16745925436</v>
      </c>
      <c r="V6">
        <f t="shared" si="2"/>
        <v>629.69419056505023</v>
      </c>
      <c r="W6" s="2"/>
    </row>
    <row r="7" spans="1:23" x14ac:dyDescent="0.2">
      <c r="A7">
        <v>46122.818628472225</v>
      </c>
      <c r="B7">
        <v>20.496492</v>
      </c>
      <c r="C7">
        <v>20.551055000000002</v>
      </c>
      <c r="D7">
        <v>20.312660000000001</v>
      </c>
      <c r="E7">
        <v>20.410329000000001</v>
      </c>
      <c r="F7">
        <v>29.214763999999999</v>
      </c>
      <c r="G7">
        <v>26.364919</v>
      </c>
      <c r="H7">
        <v>25.669834000000002</v>
      </c>
      <c r="I7">
        <v>22.740085000000001</v>
      </c>
      <c r="J7">
        <v>56.213149000000001</v>
      </c>
      <c r="K7">
        <v>51.319842000000001</v>
      </c>
      <c r="L7">
        <v>197.68423899999999</v>
      </c>
      <c r="M7">
        <v>-622.51836600000001</v>
      </c>
      <c r="N7">
        <v>1.872509</v>
      </c>
      <c r="O7">
        <v>11.803419</v>
      </c>
      <c r="P7">
        <f t="shared" si="0"/>
        <v>3.1208483333333334E-5</v>
      </c>
      <c r="Q7" cm="1">
        <f t="array" ref="Q7">[1]!PropsSI("D","T",J7+273.15,"P",101325,"Water")</f>
        <v>985.1011386500154</v>
      </c>
      <c r="R7" cm="1">
        <f t="array" ref="R7">[1]!PropsSI("D","T",K7+273.15,"P",101325,"Water")</f>
        <v>987.43240063221788</v>
      </c>
      <c r="S7">
        <f t="shared" si="1"/>
        <v>986.26676964111664</v>
      </c>
      <c r="T7" cm="1">
        <f t="array" ref="T7">[1]!PropsSI("H","T",J7+273.15,"P",101325,"Water")</f>
        <v>235403.89514789492</v>
      </c>
      <c r="U7" cm="1">
        <f t="array" ref="U7">[1]!PropsSI("H","T",K7+273.15,"P",101325,"Water")</f>
        <v>214937.45586175608</v>
      </c>
      <c r="V7">
        <f t="shared" si="2"/>
        <v>629.95475079019184</v>
      </c>
      <c r="W7" s="2"/>
    </row>
    <row r="8" spans="1:23" x14ac:dyDescent="0.2">
      <c r="A8">
        <v>46122.818686921295</v>
      </c>
      <c r="B8">
        <v>20.428698000000001</v>
      </c>
      <c r="C8">
        <v>20.493117999999999</v>
      </c>
      <c r="D8">
        <v>20.254729000000001</v>
      </c>
      <c r="E8">
        <v>20.336915999999999</v>
      </c>
      <c r="F8">
        <v>29.188078999999998</v>
      </c>
      <c r="G8">
        <v>26.313835000000001</v>
      </c>
      <c r="H8">
        <v>25.548971000000002</v>
      </c>
      <c r="I8">
        <v>22.748265</v>
      </c>
      <c r="J8">
        <v>56.214421999999999</v>
      </c>
      <c r="K8">
        <v>51.323338999999997</v>
      </c>
      <c r="L8">
        <v>199.74454399999999</v>
      </c>
      <c r="M8">
        <v>-622.49183700000003</v>
      </c>
      <c r="N8">
        <v>1.8713660000000001</v>
      </c>
      <c r="O8">
        <v>11.671346</v>
      </c>
      <c r="P8">
        <f t="shared" si="0"/>
        <v>3.1189433333333337E-5</v>
      </c>
      <c r="Q8" cm="1">
        <f t="array" ref="Q8">[1]!PropsSI("D","T",J8+273.15,"P",101325,"Water")</f>
        <v>985.10051273943475</v>
      </c>
      <c r="R8" cm="1">
        <f t="array" ref="R8">[1]!PropsSI("D","T",K8+273.15,"P",101325,"Water")</f>
        <v>987.43078886147543</v>
      </c>
      <c r="S8">
        <f t="shared" si="1"/>
        <v>986.26565080045509</v>
      </c>
      <c r="T8" cm="1">
        <f t="array" ref="T8">[1]!PropsSI("H","T",J8+273.15,"P",101325,"Water")</f>
        <v>235409.22062471858</v>
      </c>
      <c r="U8" cm="1">
        <f t="array" ref="U8">[1]!PropsSI("H","T",K8+273.15,"P",101325,"Water")</f>
        <v>214952.07937313101</v>
      </c>
      <c r="V8">
        <f t="shared" si="2"/>
        <v>629.28348785288506</v>
      </c>
      <c r="W8" s="2"/>
    </row>
    <row r="9" spans="1:23" x14ac:dyDescent="0.2">
      <c r="A9">
        <v>46122.818744791664</v>
      </c>
      <c r="B9">
        <v>20.547694</v>
      </c>
      <c r="C9">
        <v>20.651266</v>
      </c>
      <c r="D9">
        <v>20.269424999999998</v>
      </c>
      <c r="E9">
        <v>20.365013000000001</v>
      </c>
      <c r="F9">
        <v>29.351559999999999</v>
      </c>
      <c r="G9">
        <v>26.619333999999998</v>
      </c>
      <c r="H9">
        <v>25.609293999999998</v>
      </c>
      <c r="I9">
        <v>22.420712999999999</v>
      </c>
      <c r="J9">
        <v>56.216332000000001</v>
      </c>
      <c r="K9">
        <v>51.321748999999997</v>
      </c>
      <c r="L9">
        <v>198.58460199999999</v>
      </c>
      <c r="M9">
        <v>-622.50204099999996</v>
      </c>
      <c r="N9">
        <v>1.872563</v>
      </c>
      <c r="O9">
        <v>11.554815</v>
      </c>
      <c r="P9">
        <f t="shared" si="0"/>
        <v>3.1209383333333336E-5</v>
      </c>
      <c r="Q9" cm="1">
        <f t="array" ref="Q9">[1]!PropsSI("D","T",J9+273.15,"P",101325,"Water")</f>
        <v>985.09957360908084</v>
      </c>
      <c r="R9" cm="1">
        <f t="array" ref="R9">[1]!PropsSI("D","T",K9+273.15,"P",101325,"Water")</f>
        <v>987.43152170382848</v>
      </c>
      <c r="S9">
        <f t="shared" si="1"/>
        <v>986.2655476564546</v>
      </c>
      <c r="T9" cm="1">
        <f t="array" ref="T9">[1]!PropsSI("H","T",J9+273.15,"P",101325,"Water")</f>
        <v>235417.2109327759</v>
      </c>
      <c r="U9" cm="1">
        <f t="array" ref="U9">[1]!PropsSI("H","T",K9+273.15,"P",101325,"Water")</f>
        <v>214945.43042122803</v>
      </c>
      <c r="V9">
        <f t="shared" si="2"/>
        <v>630.13654395389392</v>
      </c>
      <c r="W9" s="2"/>
    </row>
    <row r="10" spans="1:23" x14ac:dyDescent="0.2">
      <c r="A10">
        <v>44660.818802662201</v>
      </c>
      <c r="B10">
        <v>20.440835</v>
      </c>
      <c r="C10">
        <v>20.925476</v>
      </c>
      <c r="D10">
        <v>20.331983000000001</v>
      </c>
      <c r="E10">
        <v>20.464365999999998</v>
      </c>
      <c r="F10">
        <v>29.282339</v>
      </c>
      <c r="G10">
        <v>26.601866999999999</v>
      </c>
      <c r="H10">
        <v>25.579863</v>
      </c>
      <c r="I10">
        <v>22.884671999999998</v>
      </c>
      <c r="J10">
        <v>56.217128000000002</v>
      </c>
      <c r="K10">
        <v>51.324133000000003</v>
      </c>
      <c r="L10">
        <v>205.19937300000001</v>
      </c>
      <c r="M10">
        <v>-622.47918500000003</v>
      </c>
      <c r="N10">
        <v>1.873399</v>
      </c>
      <c r="O10">
        <v>11.610272</v>
      </c>
      <c r="P10">
        <f t="shared" si="0"/>
        <v>3.1223316666666666E-5</v>
      </c>
      <c r="Q10" cm="1">
        <f t="array" ref="Q10">[1]!PropsSI("D","T",J10+273.15,"P",101325,"Water")</f>
        <v>985.09918221622263</v>
      </c>
      <c r="R10" cm="1">
        <f t="array" ref="R10">[1]!PropsSI("D","T",K10+273.15,"P",101325,"Water")</f>
        <v>987.43042289509106</v>
      </c>
      <c r="S10">
        <f t="shared" si="1"/>
        <v>986.26480255565684</v>
      </c>
      <c r="T10" cm="1">
        <f t="array" ref="T10">[1]!PropsSI("H","T",J10+273.15,"P",101325,"Water")</f>
        <v>235420.54092549163</v>
      </c>
      <c r="U10" cm="1">
        <f t="array" ref="U10">[1]!PropsSI("H","T",K10+273.15,"P",101325,"Water")</f>
        <v>214955.39966755843</v>
      </c>
      <c r="V10">
        <f t="shared" si="2"/>
        <v>630.21293799421392</v>
      </c>
    </row>
    <row r="11" spans="1:23" x14ac:dyDescent="0.2">
      <c r="A11">
        <v>44660.8188611113</v>
      </c>
      <c r="B11">
        <v>20.375454999999999</v>
      </c>
      <c r="C11">
        <v>20.589354</v>
      </c>
      <c r="D11">
        <v>20.272969</v>
      </c>
      <c r="E11">
        <v>20.385289</v>
      </c>
      <c r="F11">
        <v>29.183406000000002</v>
      </c>
      <c r="G11">
        <v>26.339556999999999</v>
      </c>
      <c r="H11">
        <v>25.454024</v>
      </c>
      <c r="I11">
        <v>22.417922999999998</v>
      </c>
      <c r="J11">
        <v>56.214739999999999</v>
      </c>
      <c r="K11">
        <v>51.323020999999997</v>
      </c>
      <c r="L11">
        <v>218.77950899999999</v>
      </c>
      <c r="M11">
        <v>-622.49102100000005</v>
      </c>
      <c r="N11">
        <v>1.8702559999999999</v>
      </c>
      <c r="O11">
        <v>11.703166</v>
      </c>
      <c r="P11">
        <f t="shared" si="0"/>
        <v>3.1170933333333337E-5</v>
      </c>
      <c r="Q11" cm="1">
        <f t="array" ref="Q11">[1]!PropsSI("D","T",J11+273.15,"P",101325,"Water")</f>
        <v>985.10035638315514</v>
      </c>
      <c r="R11" cm="1">
        <f t="array" ref="R11">[1]!PropsSI("D","T",K11+273.15,"P",101325,"Water")</f>
        <v>987.43093543125531</v>
      </c>
      <c r="S11">
        <f t="shared" si="1"/>
        <v>986.26564590720523</v>
      </c>
      <c r="T11" cm="1">
        <f t="array" ref="T11">[1]!PropsSI("H","T",J11+273.15,"P",101325,"Water")</f>
        <v>235410.5509481419</v>
      </c>
      <c r="U11" cm="1">
        <f t="array" ref="U11">[1]!PropsSI("H","T",K11+273.15,"P",101325,"Water")</f>
        <v>214950.74958269187</v>
      </c>
      <c r="V11">
        <f t="shared" si="2"/>
        <v>628.99200488511849</v>
      </c>
    </row>
    <row r="12" spans="1:23" x14ac:dyDescent="0.2">
      <c r="A12">
        <v>44660.818919560399</v>
      </c>
      <c r="B12">
        <v>20.472830999999999</v>
      </c>
      <c r="C12">
        <v>20.595838000000001</v>
      </c>
      <c r="D12">
        <v>20.213068</v>
      </c>
      <c r="E12">
        <v>20.331292000000001</v>
      </c>
      <c r="F12">
        <v>29.268989999999999</v>
      </c>
      <c r="G12">
        <v>26.549484</v>
      </c>
      <c r="H12">
        <v>25.450343</v>
      </c>
      <c r="I12">
        <v>22.719861000000002</v>
      </c>
      <c r="J12">
        <v>56.215854</v>
      </c>
      <c r="K12">
        <v>51.319682999999998</v>
      </c>
      <c r="L12">
        <v>190.510313</v>
      </c>
      <c r="M12">
        <v>-622.51183600000002</v>
      </c>
      <c r="N12">
        <v>1.8714150000000001</v>
      </c>
      <c r="O12">
        <v>11.691259000000001</v>
      </c>
      <c r="P12">
        <f t="shared" si="0"/>
        <v>3.1190250000000002E-5</v>
      </c>
      <c r="Q12" cm="1">
        <f t="array" ref="Q12">[1]!PropsSI("D","T",J12+273.15,"P",101325,"Water")</f>
        <v>985.09980863962505</v>
      </c>
      <c r="R12" cm="1">
        <f t="array" ref="R12">[1]!PropsSI("D","T",K12+273.15,"P",101325,"Water")</f>
        <v>987.43247391359489</v>
      </c>
      <c r="S12">
        <f t="shared" si="1"/>
        <v>986.26614127660991</v>
      </c>
      <c r="T12" cm="1">
        <f t="array" ref="T12">[1]!PropsSI("H","T",J12+273.15,"P",101325,"Water")</f>
        <v>235415.21126394323</v>
      </c>
      <c r="U12" cm="1">
        <f t="array" ref="U12">[1]!PropsSI("H","T",K12+273.15,"P",101325,"Water")</f>
        <v>214936.79096671322</v>
      </c>
      <c r="V12">
        <f t="shared" si="2"/>
        <v>629.95486162635871</v>
      </c>
    </row>
    <row r="13" spans="1:23" x14ac:dyDescent="0.2">
      <c r="A13">
        <v>44660.818978009404</v>
      </c>
      <c r="B13">
        <v>20.407710000000002</v>
      </c>
      <c r="C13">
        <v>20.640366</v>
      </c>
      <c r="D13">
        <v>20.335118000000001</v>
      </c>
      <c r="E13">
        <v>20.439446</v>
      </c>
      <c r="F13">
        <v>29.184956</v>
      </c>
      <c r="G13">
        <v>26.384055</v>
      </c>
      <c r="H13">
        <v>25.49315</v>
      </c>
      <c r="I13">
        <v>22.792801999999998</v>
      </c>
      <c r="J13">
        <v>56.216650000000001</v>
      </c>
      <c r="K13">
        <v>51.319524000000001</v>
      </c>
      <c r="L13">
        <v>205.49037899999999</v>
      </c>
      <c r="M13">
        <v>-622.49183700000003</v>
      </c>
      <c r="N13">
        <v>1.871604</v>
      </c>
      <c r="O13">
        <v>11.451475</v>
      </c>
      <c r="P13">
        <f t="shared" si="0"/>
        <v>3.1193399999999999E-5</v>
      </c>
      <c r="Q13" cm="1">
        <f t="array" ref="Q13">[1]!PropsSI("D","T",J13+273.15,"P",101325,"Water")</f>
        <v>985.09941724908788</v>
      </c>
      <c r="R13" cm="1">
        <f t="array" ref="R13">[1]!PropsSI("D","T",K13+273.15,"P",101325,"Water")</f>
        <v>987.43254719482297</v>
      </c>
      <c r="S13">
        <f t="shared" si="1"/>
        <v>986.26598222195548</v>
      </c>
      <c r="T13" cm="1">
        <f t="array" ref="T13">[1]!PropsSI("H","T",J13+273.15,"P",101325,"Water")</f>
        <v>235418.54125643949</v>
      </c>
      <c r="U13" cm="1">
        <f t="array" ref="U13">[1]!PropsSI("H","T",K13+273.15,"P",101325,"Water")</f>
        <v>214936.12607167329</v>
      </c>
      <c r="V13">
        <f t="shared" si="2"/>
        <v>630.14128378943633</v>
      </c>
    </row>
    <row r="14" spans="1:23" x14ac:dyDescent="0.2">
      <c r="A14">
        <v>44660.819036458503</v>
      </c>
      <c r="B14">
        <v>20.351396999999999</v>
      </c>
      <c r="C14">
        <v>20.537877999999999</v>
      </c>
      <c r="D14">
        <v>20.243547</v>
      </c>
      <c r="E14">
        <v>20.307931</v>
      </c>
      <c r="F14">
        <v>29.172704</v>
      </c>
      <c r="G14">
        <v>26.434194000000002</v>
      </c>
      <c r="H14">
        <v>25.753267000000001</v>
      </c>
      <c r="I14">
        <v>22.633635000000002</v>
      </c>
      <c r="J14">
        <v>56.219037999999998</v>
      </c>
      <c r="K14">
        <v>51.322544000000001</v>
      </c>
      <c r="L14">
        <v>205.920153</v>
      </c>
      <c r="M14">
        <v>-622.48285799999996</v>
      </c>
      <c r="N14">
        <v>1.8743369999999999</v>
      </c>
      <c r="O14">
        <v>11.608162999999999</v>
      </c>
      <c r="P14">
        <f t="shared" si="0"/>
        <v>3.123895E-5</v>
      </c>
      <c r="Q14" cm="1">
        <f t="array" ref="Q14">[1]!PropsSI("D","T",J14+273.15,"P",101325,"Water")</f>
        <v>985.09824305419943</v>
      </c>
      <c r="R14" cm="1">
        <f t="array" ref="R14">[1]!PropsSI("D","T",K14+273.15,"P",101325,"Water")</f>
        <v>987.43115528469457</v>
      </c>
      <c r="S14">
        <f t="shared" si="1"/>
        <v>986.264699169447</v>
      </c>
      <c r="T14" cm="1">
        <f t="array" ref="T14">[1]!PropsSI("H","T",J14+273.15,"P",101325,"Water")</f>
        <v>235428.53123550623</v>
      </c>
      <c r="U14" cm="1">
        <f t="array" ref="U14">[1]!PropsSI("H","T",K14+273.15,"P",101325,"Water")</f>
        <v>214948.75489710597</v>
      </c>
      <c r="V14">
        <f t="shared" si="2"/>
        <v>630.97932083634271</v>
      </c>
    </row>
    <row r="15" spans="1:23" x14ac:dyDescent="0.2">
      <c r="A15">
        <v>46122.819094907405</v>
      </c>
      <c r="B15">
        <v>20.340959000000002</v>
      </c>
      <c r="C15">
        <v>20.481798999999999</v>
      </c>
      <c r="D15">
        <v>20.262445</v>
      </c>
      <c r="E15">
        <v>20.352132999999998</v>
      </c>
      <c r="F15">
        <v>29.133430000000001</v>
      </c>
      <c r="G15">
        <v>26.517441999999999</v>
      </c>
      <c r="H15">
        <v>25.818183999999999</v>
      </c>
      <c r="I15">
        <v>22.643007000000001</v>
      </c>
      <c r="J15">
        <v>56.217764000000003</v>
      </c>
      <c r="K15">
        <v>51.322384999999997</v>
      </c>
      <c r="L15">
        <v>227.42601500000001</v>
      </c>
      <c r="M15">
        <v>-622.48244999999997</v>
      </c>
      <c r="N15">
        <v>1.8706609999999999</v>
      </c>
      <c r="O15">
        <v>11.597106999999999</v>
      </c>
      <c r="P15">
        <f t="shared" si="0"/>
        <v>3.1177683333333335E-5</v>
      </c>
      <c r="Q15" cm="1">
        <f t="array" ref="Q15">[1]!PropsSI("D","T",J15+273.15,"P",101325,"Water")</f>
        <v>985.0988694925087</v>
      </c>
      <c r="R15" cm="1">
        <f t="array" ref="R15">[1]!PropsSI("D","T",K15+273.15,"P",101325,"Water")</f>
        <v>987.43122856884884</v>
      </c>
      <c r="S15">
        <f t="shared" si="1"/>
        <v>986.26504903067871</v>
      </c>
      <c r="T15" cm="1">
        <f t="array" ref="T15">[1]!PropsSI("H","T",J15+273.15,"P",101325,"Water")</f>
        <v>235423.20157303699</v>
      </c>
      <c r="U15" cm="1">
        <f t="array" ref="U15">[1]!PropsSI("H","T",K15+273.15,"P",101325,"Water")</f>
        <v>214948.090001901</v>
      </c>
      <c r="V15">
        <f t="shared" si="2"/>
        <v>629.59861158654496</v>
      </c>
    </row>
    <row r="16" spans="1:23" x14ac:dyDescent="0.2">
      <c r="A16">
        <v>46122.819153356482</v>
      </c>
      <c r="B16">
        <v>20.351862000000001</v>
      </c>
      <c r="C16">
        <v>20.614708</v>
      </c>
      <c r="D16">
        <v>20.272324999999999</v>
      </c>
      <c r="E16">
        <v>20.432659999999998</v>
      </c>
      <c r="F16">
        <v>29.220994000000001</v>
      </c>
      <c r="G16">
        <v>26.451096</v>
      </c>
      <c r="H16">
        <v>25.190328000000001</v>
      </c>
      <c r="I16">
        <v>22.653601999999999</v>
      </c>
      <c r="J16">
        <v>56.219515000000001</v>
      </c>
      <c r="K16">
        <v>51.302835000000002</v>
      </c>
      <c r="L16">
        <v>207.11601200000001</v>
      </c>
      <c r="M16">
        <v>-622.49428599999999</v>
      </c>
      <c r="N16">
        <v>1.873518</v>
      </c>
      <c r="O16">
        <v>11.511990000000001</v>
      </c>
      <c r="P16">
        <f t="shared" si="0"/>
        <v>3.1225300000000001E-5</v>
      </c>
      <c r="Q16" cm="1">
        <f t="array" ref="Q16">[1]!PropsSI("D","T",J16+273.15,"P",101325,"Water")</f>
        <v>985.09800850606712</v>
      </c>
      <c r="R16" cm="1">
        <f t="array" ref="R16">[1]!PropsSI("D","T",K16+273.15,"P",101325,"Water")</f>
        <v>987.44023804862354</v>
      </c>
      <c r="S16">
        <f t="shared" si="1"/>
        <v>986.26912327734533</v>
      </c>
      <c r="T16" cm="1">
        <f t="array" ref="T16">[1]!PropsSI("H","T",J16+273.15,"P",101325,"Water")</f>
        <v>235430.52672155673</v>
      </c>
      <c r="U16" cm="1">
        <f t="array" ref="U16">[1]!PropsSI("H","T",K16+273.15,"P",101325,"Water")</f>
        <v>214866.33722515899</v>
      </c>
      <c r="V16">
        <f t="shared" si="2"/>
        <v>633.30607471644907</v>
      </c>
    </row>
    <row r="17" spans="1:22" x14ac:dyDescent="0.2">
      <c r="A17">
        <v>46122.819211805552</v>
      </c>
      <c r="B17">
        <v>20.394926999999999</v>
      </c>
      <c r="C17">
        <v>20.409486999999999</v>
      </c>
      <c r="D17">
        <v>20.290648000000001</v>
      </c>
      <c r="E17">
        <v>20.306766</v>
      </c>
      <c r="F17">
        <v>29.207706000000002</v>
      </c>
      <c r="G17">
        <v>26.557075999999999</v>
      </c>
      <c r="H17">
        <v>25.571594000000001</v>
      </c>
      <c r="I17">
        <v>22.956192999999999</v>
      </c>
      <c r="J17">
        <v>56.222698999999999</v>
      </c>
      <c r="K17">
        <v>51.315074000000003</v>
      </c>
      <c r="L17">
        <v>210.113821</v>
      </c>
      <c r="M17">
        <v>-622.49469399999998</v>
      </c>
      <c r="N17">
        <v>1.8730180000000001</v>
      </c>
      <c r="O17">
        <v>11.707995</v>
      </c>
      <c r="P17">
        <f t="shared" si="0"/>
        <v>3.1216966666666669E-5</v>
      </c>
      <c r="Q17" cm="1">
        <f t="array" ref="Q17">[1]!PropsSI("D","T",J17+273.15,"P",101325,"Water")</f>
        <v>985.09644284917442</v>
      </c>
      <c r="R17" cm="1">
        <f t="array" ref="R17">[1]!PropsSI("D","T",K17+273.15,"P",101325,"Water")</f>
        <v>987.43459808081866</v>
      </c>
      <c r="S17">
        <f t="shared" si="1"/>
        <v>986.2655204649966</v>
      </c>
      <c r="T17" cm="1">
        <f t="array" ref="T17">[1]!PropsSI("H","T",J17+273.15,"P",101325,"Water")</f>
        <v>235443.84669759066</v>
      </c>
      <c r="U17" cm="1">
        <f t="array" ref="U17">[1]!PropsSI("H","T",K17+273.15,"P",101325,"Water")</f>
        <v>214917.5173770015</v>
      </c>
      <c r="V17">
        <f t="shared" si="2"/>
        <v>631.96909933403674</v>
      </c>
    </row>
    <row r="18" spans="1:22" x14ac:dyDescent="0.2">
      <c r="A18">
        <v>46122.819270254629</v>
      </c>
      <c r="B18">
        <v>20.360312</v>
      </c>
      <c r="C18">
        <v>20.430415</v>
      </c>
      <c r="D18">
        <v>20.209212000000001</v>
      </c>
      <c r="E18">
        <v>20.283828</v>
      </c>
      <c r="F18">
        <v>29.204077999999999</v>
      </c>
      <c r="G18">
        <v>26.372757</v>
      </c>
      <c r="H18">
        <v>25.636230999999999</v>
      </c>
      <c r="I18">
        <v>22.701170999999999</v>
      </c>
      <c r="J18">
        <v>56.224927000000001</v>
      </c>
      <c r="K18">
        <v>51.320160000000001</v>
      </c>
      <c r="L18">
        <v>196.67286100000001</v>
      </c>
      <c r="M18">
        <v>-622.51061200000004</v>
      </c>
      <c r="N18">
        <v>1.873124</v>
      </c>
      <c r="O18">
        <v>11.230943</v>
      </c>
      <c r="P18">
        <f t="shared" si="0"/>
        <v>3.1218733333333333E-5</v>
      </c>
      <c r="Q18" cm="1">
        <f t="array" ref="Q18">[1]!PropsSI("D","T",J18+273.15,"P",101325,"Water")</f>
        <v>985.09534724578839</v>
      </c>
      <c r="R18" cm="1">
        <f t="array" ref="R18">[1]!PropsSI("D","T",K18+273.15,"P",101325,"Water")</f>
        <v>987.43225406896181</v>
      </c>
      <c r="S18">
        <f t="shared" si="1"/>
        <v>986.2638006573751</v>
      </c>
      <c r="T18" cm="1">
        <f t="array" ref="T18">[1]!PropsSI("H","T",J18+273.15,"P",101325,"Water")</f>
        <v>235453.16733635284</v>
      </c>
      <c r="U18" cm="1">
        <f t="array" ref="U18">[1]!PropsSI("H","T",K18+273.15,"P",101325,"Water")</f>
        <v>214938.7856518534</v>
      </c>
      <c r="V18">
        <f t="shared" si="2"/>
        <v>631.63589579770053</v>
      </c>
    </row>
    <row r="19" spans="1:22" x14ac:dyDescent="0.2">
      <c r="A19">
        <v>46122.819328124999</v>
      </c>
      <c r="B19">
        <v>20.421416000000001</v>
      </c>
      <c r="C19">
        <v>20.495182</v>
      </c>
      <c r="D19">
        <v>20.300892999999999</v>
      </c>
      <c r="E19">
        <v>20.383523</v>
      </c>
      <c r="F19">
        <v>29.206136999999998</v>
      </c>
      <c r="G19">
        <v>26.423245000000001</v>
      </c>
      <c r="H19">
        <v>25.367256000000001</v>
      </c>
      <c r="I19">
        <v>22.665272000000002</v>
      </c>
      <c r="J19">
        <v>56.225405000000002</v>
      </c>
      <c r="K19">
        <v>51.327471000000003</v>
      </c>
      <c r="L19">
        <v>203.71577400000001</v>
      </c>
      <c r="M19">
        <v>-622.51061200000004</v>
      </c>
      <c r="N19">
        <v>1.871694</v>
      </c>
      <c r="O19">
        <v>11.275205</v>
      </c>
      <c r="P19">
        <f t="shared" si="0"/>
        <v>3.1194900000000002E-5</v>
      </c>
      <c r="Q19" cm="1">
        <f t="array" ref="Q19">[1]!PropsSI("D","T",J19+273.15,"P",101325,"Water")</f>
        <v>985.09511218867578</v>
      </c>
      <c r="R19" cm="1">
        <f t="array" ref="R19">[1]!PropsSI("D","T",K19+273.15,"P",101325,"Water")</f>
        <v>987.42888431678261</v>
      </c>
      <c r="S19">
        <f t="shared" si="1"/>
        <v>986.2619982527292</v>
      </c>
      <c r="T19" cm="1">
        <f t="array" ref="T19">[1]!PropsSI("H","T",J19+273.15,"P",101325,"Water")</f>
        <v>235455.16700687908</v>
      </c>
      <c r="U19" cm="1">
        <f t="array" ref="U19">[1]!PropsSI("H","T",K19+273.15,"P",101325,"Water")</f>
        <v>214969.35828807412</v>
      </c>
      <c r="V19">
        <f t="shared" si="2"/>
        <v>630.27344654567287</v>
      </c>
    </row>
    <row r="20" spans="1:22" x14ac:dyDescent="0.2">
      <c r="A20">
        <v>46122.819386574076</v>
      </c>
      <c r="B20">
        <v>20.408452</v>
      </c>
      <c r="C20">
        <v>20.739046999999999</v>
      </c>
      <c r="D20">
        <v>20.187767999999998</v>
      </c>
      <c r="E20">
        <v>20.288335</v>
      </c>
      <c r="F20">
        <v>29.284096000000002</v>
      </c>
      <c r="G20">
        <v>26.462223999999999</v>
      </c>
      <c r="H20">
        <v>25.505790000000001</v>
      </c>
      <c r="I20">
        <v>22.798309</v>
      </c>
      <c r="J20">
        <v>56.225723000000002</v>
      </c>
      <c r="K20">
        <v>51.330967999999999</v>
      </c>
      <c r="L20">
        <v>217.78568200000001</v>
      </c>
      <c r="M20">
        <v>-622.47020599999996</v>
      </c>
      <c r="N20">
        <v>1.872973</v>
      </c>
      <c r="O20">
        <v>11.667165000000001</v>
      </c>
      <c r="P20">
        <f t="shared" si="0"/>
        <v>3.1216216666666664E-5</v>
      </c>
      <c r="Q20" cm="1">
        <f t="array" ref="Q20">[1]!PropsSI("D","T",J20+273.15,"P",101325,"Water")</f>
        <v>985.09495581098952</v>
      </c>
      <c r="R20" cm="1">
        <f t="array" ref="R20">[1]!PropsSI("D","T",K20+273.15,"P",101325,"Water")</f>
        <v>987.4272723736691</v>
      </c>
      <c r="S20">
        <f t="shared" si="1"/>
        <v>986.26111409232931</v>
      </c>
      <c r="T20" cm="1">
        <f t="array" ref="T20">[1]!PropsSI("H","T",J20+273.15,"P",101325,"Water")</f>
        <v>235456.49733162933</v>
      </c>
      <c r="U20" cm="1">
        <f t="array" ref="U20">[1]!PropsSI("H","T",K20+273.15,"P",101325,"Water")</f>
        <v>214983.98180761232</v>
      </c>
      <c r="V20">
        <f t="shared" si="2"/>
        <v>630.29430893793699</v>
      </c>
    </row>
    <row r="21" spans="1:22" x14ac:dyDescent="0.2">
      <c r="A21">
        <v>46122.819444444445</v>
      </c>
      <c r="B21">
        <v>20.339680999999999</v>
      </c>
      <c r="C21">
        <v>20.424816</v>
      </c>
      <c r="D21">
        <v>20.177616</v>
      </c>
      <c r="E21">
        <v>20.293907999999998</v>
      </c>
      <c r="F21">
        <v>29.184825</v>
      </c>
      <c r="G21">
        <v>26.616243000000001</v>
      </c>
      <c r="H21">
        <v>25.551898999999999</v>
      </c>
      <c r="I21">
        <v>22.625067000000001</v>
      </c>
      <c r="J21">
        <v>56.228588000000002</v>
      </c>
      <c r="K21">
        <v>51.329855000000002</v>
      </c>
      <c r="L21">
        <v>204.901837</v>
      </c>
      <c r="M21">
        <v>-622.52612099999999</v>
      </c>
      <c r="N21">
        <v>1.872833</v>
      </c>
      <c r="O21">
        <v>11.701565</v>
      </c>
      <c r="P21">
        <f t="shared" si="0"/>
        <v>3.1213883333333333E-5</v>
      </c>
      <c r="Q21" cm="1">
        <f t="array" ref="Q21">[1]!PropsSI("D","T",J21+273.15,"P",101325,"Water")</f>
        <v>985.09354690860471</v>
      </c>
      <c r="R21" cm="1">
        <f t="array" ref="R21">[1]!PropsSI("D","T",K21+273.15,"P",101325,"Water")</f>
        <v>987.42778541990015</v>
      </c>
      <c r="S21">
        <f t="shared" si="1"/>
        <v>986.26066616425237</v>
      </c>
      <c r="T21" cm="1">
        <f t="array" ref="T21">[1]!PropsSI("H","T",J21+273.15,"P",101325,"Water")</f>
        <v>235468.4828066247</v>
      </c>
      <c r="U21" cm="1">
        <f t="array" ref="U21">[1]!PropsSI("H","T",K21+273.15,"P",101325,"Water")</f>
        <v>214979.32753860942</v>
      </c>
      <c r="V21">
        <f t="shared" si="2"/>
        <v>630.75916473380573</v>
      </c>
    </row>
    <row r="22" spans="1:22" x14ac:dyDescent="0.2">
      <c r="A22">
        <v>46122.819502893515</v>
      </c>
      <c r="B22">
        <v>20.390595999999999</v>
      </c>
      <c r="C22">
        <v>20.392887999999999</v>
      </c>
      <c r="D22">
        <v>20.236682999999999</v>
      </c>
      <c r="E22">
        <v>20.329853</v>
      </c>
      <c r="F22">
        <v>29.208279000000001</v>
      </c>
      <c r="G22">
        <v>26.419443000000001</v>
      </c>
      <c r="H22">
        <v>25.217472000000001</v>
      </c>
      <c r="I22">
        <v>22.436392000000001</v>
      </c>
      <c r="J22">
        <v>56.229543</v>
      </c>
      <c r="K22">
        <v>51.331921000000001</v>
      </c>
      <c r="L22">
        <v>221.60304199999999</v>
      </c>
      <c r="M22">
        <v>-622.49428599999999</v>
      </c>
      <c r="N22">
        <v>1.874579</v>
      </c>
      <c r="O22">
        <v>11.713994</v>
      </c>
      <c r="P22">
        <f t="shared" si="0"/>
        <v>3.1242983333333336E-5</v>
      </c>
      <c r="Q22" cm="1">
        <f t="array" ref="Q22">[1]!PropsSI("D","T",J22+273.15,"P",101325,"Water")</f>
        <v>985.09307726330701</v>
      </c>
      <c r="R22" cm="1">
        <f t="array" ref="R22">[1]!PropsSI("D","T",K22+273.15,"P",101325,"Water")</f>
        <v>987.42683307435686</v>
      </c>
      <c r="S22">
        <f t="shared" si="1"/>
        <v>986.25995516883199</v>
      </c>
      <c r="T22" cm="1">
        <f t="array" ref="T22">[1]!PropsSI("H","T",J22+273.15,"P",101325,"Water")</f>
        <v>235472.47796563161</v>
      </c>
      <c r="U22" cm="1">
        <f t="array" ref="U22">[1]!PropsSI("H","T",K22+273.15,"P",101325,"Water")</f>
        <v>214987.96699954022</v>
      </c>
      <c r="V22">
        <f t="shared" si="2"/>
        <v>631.20364400840594</v>
      </c>
    </row>
    <row r="23" spans="1:22" x14ac:dyDescent="0.2">
      <c r="A23">
        <v>46122.819561342592</v>
      </c>
      <c r="B23">
        <v>20.478227</v>
      </c>
      <c r="C23">
        <v>20.440785000000002</v>
      </c>
      <c r="D23">
        <v>20.203330999999999</v>
      </c>
      <c r="E23">
        <v>20.337275999999999</v>
      </c>
      <c r="F23">
        <v>29.241994999999999</v>
      </c>
      <c r="G23">
        <v>26.553836</v>
      </c>
      <c r="H23">
        <v>25.286521</v>
      </c>
      <c r="I23">
        <v>22.652118000000002</v>
      </c>
      <c r="J23">
        <v>56.229543</v>
      </c>
      <c r="K23">
        <v>51.330013999999998</v>
      </c>
      <c r="L23">
        <v>215.62823900000001</v>
      </c>
      <c r="M23">
        <v>-622.48449100000005</v>
      </c>
      <c r="N23">
        <v>1.858897</v>
      </c>
      <c r="O23">
        <v>11.715657999999999</v>
      </c>
      <c r="P23">
        <f t="shared" si="0"/>
        <v>3.0981616666666665E-5</v>
      </c>
      <c r="Q23" cm="1">
        <f t="array" ref="Q23">[1]!PropsSI("D","T",J23+273.15,"P",101325,"Water")</f>
        <v>985.09307726330701</v>
      </c>
      <c r="R23" cm="1">
        <f t="array" ref="R23">[1]!PropsSI("D","T",K23+273.15,"P",101325,"Water")</f>
        <v>987.42771212805746</v>
      </c>
      <c r="S23">
        <f t="shared" si="1"/>
        <v>986.26039469568218</v>
      </c>
      <c r="T23" cm="1">
        <f t="array" ref="T23">[1]!PropsSI("H","T",J23+273.15,"P",101325,"Water")</f>
        <v>235472.47796563161</v>
      </c>
      <c r="U23" cm="1">
        <f t="array" ref="U23">[1]!PropsSI("H","T",K23+273.15,"P",101325,"Water")</f>
        <v>214979.99243415965</v>
      </c>
      <c r="V23">
        <f t="shared" si="2"/>
        <v>626.16718871991736</v>
      </c>
    </row>
    <row r="24" spans="1:22" x14ac:dyDescent="0.2">
      <c r="A24">
        <v>46122.819619212962</v>
      </c>
      <c r="B24">
        <v>20.423727</v>
      </c>
      <c r="C24">
        <v>20.470313999999998</v>
      </c>
      <c r="D24">
        <v>20.157184999999998</v>
      </c>
      <c r="E24">
        <v>20.350415999999999</v>
      </c>
      <c r="F24">
        <v>29.192146000000001</v>
      </c>
      <c r="G24">
        <v>26.465022000000001</v>
      </c>
      <c r="H24">
        <v>25.519593</v>
      </c>
      <c r="I24">
        <v>22.713263999999999</v>
      </c>
      <c r="J24">
        <v>56.228110000000001</v>
      </c>
      <c r="K24">
        <v>51.329537000000002</v>
      </c>
      <c r="L24">
        <v>214.263409</v>
      </c>
      <c r="M24">
        <v>-622.48530700000003</v>
      </c>
      <c r="N24">
        <v>1.869313</v>
      </c>
      <c r="O24">
        <v>11.746259</v>
      </c>
      <c r="P24">
        <f t="shared" si="0"/>
        <v>3.1155216666666666E-5</v>
      </c>
      <c r="Q24" cm="1">
        <f t="array" ref="Q24">[1]!PropsSI("D","T",J24+273.15,"P",101325,"Water")</f>
        <v>985.0937819750477</v>
      </c>
      <c r="R24" cm="1">
        <f t="array" ref="R24">[1]!PropsSI("D","T",K24+273.15,"P",101325,"Water")</f>
        <v>987.42793200304391</v>
      </c>
      <c r="S24">
        <f t="shared" si="1"/>
        <v>986.26085698904581</v>
      </c>
      <c r="T24" cm="1">
        <f t="array" ref="T24">[1]!PropsSI("H","T",J24+273.15,"P",101325,"Water")</f>
        <v>235466.48313554711</v>
      </c>
      <c r="U24" cm="1">
        <f t="array" ref="U24">[1]!PropsSI("H","T",K24+273.15,"P",101325,"Water")</f>
        <v>214977.99774756204</v>
      </c>
      <c r="V24">
        <f t="shared" si="2"/>
        <v>629.55318768279005</v>
      </c>
    </row>
    <row r="25" spans="1:22" x14ac:dyDescent="0.2">
      <c r="A25">
        <v>46122.819677662039</v>
      </c>
      <c r="B25">
        <v>20.539463999999999</v>
      </c>
      <c r="C25">
        <v>20.463439000000001</v>
      </c>
      <c r="D25">
        <v>20.179095</v>
      </c>
      <c r="E25">
        <v>20.357626</v>
      </c>
      <c r="F25">
        <v>29.301634</v>
      </c>
      <c r="G25">
        <v>26.526330999999999</v>
      </c>
      <c r="H25">
        <v>25.583371</v>
      </c>
      <c r="I25">
        <v>22.603995999999999</v>
      </c>
      <c r="J25">
        <v>56.226199999999999</v>
      </c>
      <c r="K25">
        <v>51.329695999999998</v>
      </c>
      <c r="L25">
        <v>199.417214</v>
      </c>
      <c r="M25">
        <v>-622.48693900000001</v>
      </c>
      <c r="N25">
        <v>1.871551</v>
      </c>
      <c r="O25">
        <v>11.738609</v>
      </c>
      <c r="P25">
        <f t="shared" si="0"/>
        <v>3.1192516666666667E-5</v>
      </c>
      <c r="Q25" cm="1">
        <f t="array" ref="Q25">[1]!PropsSI("D","T",J25+273.15,"P",101325,"Water")</f>
        <v>985.09472124329659</v>
      </c>
      <c r="R25" cm="1">
        <f t="array" ref="R25">[1]!PropsSI("D","T",K25+273.15,"P",101325,"Water")</f>
        <v>987.42785871155866</v>
      </c>
      <c r="S25">
        <f t="shared" si="1"/>
        <v>986.26128997742762</v>
      </c>
      <c r="T25" cm="1">
        <f t="array" ref="T25">[1]!PropsSI("H","T",J25+273.15,"P",101325,"Water")</f>
        <v>235458.49281889337</v>
      </c>
      <c r="U25" cm="1">
        <f t="array" ref="U25">[1]!PropsSI("H","T",K25+273.15,"P",101325,"Water")</f>
        <v>214978.66264307429</v>
      </c>
      <c r="V25">
        <f t="shared" si="2"/>
        <v>630.04091646802976</v>
      </c>
    </row>
    <row r="26" spans="1:22" x14ac:dyDescent="0.2">
      <c r="A26">
        <v>46122.819736111109</v>
      </c>
      <c r="B26">
        <v>20.444074000000001</v>
      </c>
      <c r="C26">
        <v>20.610267</v>
      </c>
      <c r="D26">
        <v>20.265331</v>
      </c>
      <c r="E26">
        <v>20.438143</v>
      </c>
      <c r="F26">
        <v>29.196932</v>
      </c>
      <c r="G26">
        <v>26.442157000000002</v>
      </c>
      <c r="H26">
        <v>25.306253999999999</v>
      </c>
      <c r="I26">
        <v>22.616720999999998</v>
      </c>
      <c r="J26">
        <v>56.226041000000002</v>
      </c>
      <c r="K26">
        <v>51.331127000000002</v>
      </c>
      <c r="L26">
        <v>215.469471</v>
      </c>
      <c r="M26">
        <v>-622.51387699999998</v>
      </c>
      <c r="N26">
        <v>1.874841</v>
      </c>
      <c r="O26">
        <v>11.519284000000001</v>
      </c>
      <c r="P26">
        <f t="shared" si="0"/>
        <v>3.1247349999999998E-5</v>
      </c>
      <c r="Q26" cm="1">
        <f t="array" ref="Q26">[1]!PropsSI("D","T",J26+273.15,"P",101325,"Water")</f>
        <v>985.09479943268207</v>
      </c>
      <c r="R26" cm="1">
        <f t="array" ref="R26">[1]!PropsSI("D","T",K26+273.15,"P",101325,"Water")</f>
        <v>987.42719908068671</v>
      </c>
      <c r="S26">
        <f t="shared" si="1"/>
        <v>986.26099925668439</v>
      </c>
      <c r="T26" cm="1">
        <f t="array" ref="T26">[1]!PropsSI("H","T",J26+273.15,"P",101325,"Water")</f>
        <v>235457.82765647254</v>
      </c>
      <c r="U26" cm="1">
        <f t="array" ref="U26">[1]!PropsSI("H","T",K26+273.15,"P",101325,"Water")</f>
        <v>214984.64670320315</v>
      </c>
      <c r="V26">
        <f t="shared" si="2"/>
        <v>630.94336349445143</v>
      </c>
    </row>
    <row r="27" spans="1:22" x14ac:dyDescent="0.2">
      <c r="A27">
        <v>46122.819793981478</v>
      </c>
      <c r="B27">
        <v>20.409092999999999</v>
      </c>
      <c r="C27">
        <v>20.494105999999999</v>
      </c>
      <c r="D27">
        <v>20.35877</v>
      </c>
      <c r="E27">
        <v>20.529233000000001</v>
      </c>
      <c r="F27">
        <v>29.218122000000001</v>
      </c>
      <c r="G27">
        <v>26.472216</v>
      </c>
      <c r="H27">
        <v>25.494962000000001</v>
      </c>
      <c r="I27">
        <v>22.691033999999998</v>
      </c>
      <c r="J27">
        <v>56.225085999999997</v>
      </c>
      <c r="K27">
        <v>51.334623000000001</v>
      </c>
      <c r="L27">
        <v>209.74322699999999</v>
      </c>
      <c r="M27">
        <v>-622.48693900000001</v>
      </c>
      <c r="N27">
        <v>1.8728</v>
      </c>
      <c r="O27">
        <v>11.706636</v>
      </c>
      <c r="P27">
        <f t="shared" si="0"/>
        <v>3.1213333333333335E-5</v>
      </c>
      <c r="Q27" cm="1">
        <f t="array" ref="Q27">[1]!PropsSI("D","T",J27+273.15,"P",101325,"Water")</f>
        <v>985.09526905748339</v>
      </c>
      <c r="R27" cm="1">
        <f t="array" ref="R27">[1]!PropsSI("D","T",K27+273.15,"P",101325,"Water")</f>
        <v>987.42558751596096</v>
      </c>
      <c r="S27">
        <f t="shared" si="1"/>
        <v>986.26042828672212</v>
      </c>
      <c r="T27" cm="1">
        <f t="array" ref="T27">[1]!PropsSI("H","T",J27+273.15,"P",101325,"Water")</f>
        <v>235453.8324987416</v>
      </c>
      <c r="U27" cm="1">
        <f t="array" ref="U27">[1]!PropsSI("H","T",K27+273.15,"P",101325,"Water")</f>
        <v>214999.26604485133</v>
      </c>
      <c r="V27">
        <f t="shared" si="2"/>
        <v>629.68309989542036</v>
      </c>
    </row>
    <row r="28" spans="1:22" x14ac:dyDescent="0.2">
      <c r="A28">
        <v>46122.819852430555</v>
      </c>
      <c r="B28">
        <v>20.461555000000001</v>
      </c>
      <c r="C28">
        <v>20.614833000000001</v>
      </c>
      <c r="D28">
        <v>20.362969</v>
      </c>
      <c r="E28">
        <v>20.544183</v>
      </c>
      <c r="F28">
        <v>29.205325999999999</v>
      </c>
      <c r="G28">
        <v>26.403701999999999</v>
      </c>
      <c r="H28">
        <v>25.840883999999999</v>
      </c>
      <c r="I28">
        <v>22.867440999999999</v>
      </c>
      <c r="J28">
        <v>56.220948</v>
      </c>
      <c r="K28">
        <v>51.336689</v>
      </c>
      <c r="L28">
        <v>210.84358</v>
      </c>
      <c r="M28">
        <v>-622.512652</v>
      </c>
      <c r="N28">
        <v>1.875448</v>
      </c>
      <c r="O28">
        <v>11.727743</v>
      </c>
      <c r="P28">
        <f t="shared" si="0"/>
        <v>3.125746666666667E-5</v>
      </c>
      <c r="Q28" cm="1">
        <f t="array" ref="Q28">[1]!PropsSI("D","T",J28+273.15,"P",101325,"Water")</f>
        <v>985.09730386980959</v>
      </c>
      <c r="R28" cm="1">
        <f t="array" ref="R28">[1]!PropsSI("D","T",K28+273.15,"P",101325,"Water")</f>
        <v>987.42463510679829</v>
      </c>
      <c r="S28">
        <f t="shared" si="1"/>
        <v>986.260969488304</v>
      </c>
      <c r="T28" cm="1">
        <f t="array" ref="T28">[1]!PropsSI("H","T",J28+273.15,"P",101325,"Water")</f>
        <v>235436.52154697961</v>
      </c>
      <c r="U28" cm="1">
        <f t="array" ref="U28">[1]!PropsSI("H","T",K28+273.15,"P",101325,"Water")</f>
        <v>215007.90550876883</v>
      </c>
      <c r="V28">
        <f t="shared" si="2"/>
        <v>629.77377110016164</v>
      </c>
    </row>
    <row r="29" spans="1:22" x14ac:dyDescent="0.2">
      <c r="A29">
        <v>46122.819910879633</v>
      </c>
      <c r="B29">
        <v>20.362549000000001</v>
      </c>
      <c r="C29">
        <v>20.495080000000002</v>
      </c>
      <c r="D29">
        <v>20.280598999999999</v>
      </c>
      <c r="E29">
        <v>20.441078000000001</v>
      </c>
      <c r="F29">
        <v>29.189328</v>
      </c>
      <c r="G29">
        <v>26.448730999999999</v>
      </c>
      <c r="H29">
        <v>25.778836999999999</v>
      </c>
      <c r="I29">
        <v>22.765964</v>
      </c>
      <c r="J29">
        <v>56.221107000000003</v>
      </c>
      <c r="K29">
        <v>51.325564</v>
      </c>
      <c r="L29">
        <v>219.776194</v>
      </c>
      <c r="M29">
        <v>-622.50367300000005</v>
      </c>
      <c r="N29">
        <v>1.8717269999999999</v>
      </c>
      <c r="O29">
        <v>11.668296</v>
      </c>
      <c r="P29">
        <f t="shared" si="0"/>
        <v>3.119545E-5</v>
      </c>
      <c r="Q29" cm="1">
        <f t="array" ref="Q29">[1]!PropsSI("D","T",J29+273.15,"P",101325,"Water")</f>
        <v>985.09722568538837</v>
      </c>
      <c r="R29" cm="1">
        <f t="array" ref="R29">[1]!PropsSI("D","T",K29+273.15,"P",101325,"Water")</f>
        <v>987.42976331566331</v>
      </c>
      <c r="S29">
        <f t="shared" si="1"/>
        <v>986.26349450052589</v>
      </c>
      <c r="T29" cm="1">
        <f t="array" ref="T29">[1]!PropsSI("H","T",J29+273.15,"P",101325,"Water")</f>
        <v>235437.18670908222</v>
      </c>
      <c r="U29" cm="1">
        <f t="array" ref="U29">[1]!PropsSI("H","T",K29+273.15,"P",101325,"Water")</f>
        <v>214961.38372525445</v>
      </c>
      <c r="V29">
        <f t="shared" si="2"/>
        <v>629.97766936690323</v>
      </c>
    </row>
    <row r="30" spans="1:22" x14ac:dyDescent="0.2">
      <c r="A30">
        <v>46122.819969328702</v>
      </c>
      <c r="B30">
        <v>20.414535999999998</v>
      </c>
      <c r="C30">
        <v>20.503216999999999</v>
      </c>
      <c r="D30">
        <v>20.285948999999999</v>
      </c>
      <c r="E30">
        <v>20.495066999999999</v>
      </c>
      <c r="F30">
        <v>29.191400000000002</v>
      </c>
      <c r="G30">
        <v>26.413561999999999</v>
      </c>
      <c r="H30">
        <v>25.685162999999999</v>
      </c>
      <c r="I30">
        <v>22.610261000000001</v>
      </c>
      <c r="J30">
        <v>56.223016999999999</v>
      </c>
      <c r="K30">
        <v>51.328741999999998</v>
      </c>
      <c r="L30">
        <v>222.252397</v>
      </c>
      <c r="M30">
        <v>-622.49224500000003</v>
      </c>
      <c r="N30">
        <v>1.8695059999999999</v>
      </c>
      <c r="O30">
        <v>11.650874</v>
      </c>
      <c r="P30">
        <f t="shared" si="0"/>
        <v>3.115843333333333E-5</v>
      </c>
      <c r="Q30" cm="1">
        <f t="array" ref="Q30">[1]!PropsSI("D","T",J30+273.15,"P",101325,"Water")</f>
        <v>985.09628647675243</v>
      </c>
      <c r="R30" cm="1">
        <f t="array" ref="R30">[1]!PropsSI("D","T",K30+273.15,"P",101325,"Water")</f>
        <v>987.42829845810911</v>
      </c>
      <c r="S30">
        <f t="shared" si="1"/>
        <v>986.26229246743083</v>
      </c>
      <c r="T30" cm="1">
        <f t="array" ref="T30">[1]!PropsSI("H","T",J30+273.15,"P",101325,"Water")</f>
        <v>235445.17702203884</v>
      </c>
      <c r="U30" cm="1">
        <f t="array" ref="U30">[1]!PropsSI("H","T",K30+273.15,"P",101325,"Water")</f>
        <v>214974.67327002293</v>
      </c>
      <c r="V30">
        <f t="shared" si="2"/>
        <v>629.06652058323027</v>
      </c>
    </row>
    <row r="31" spans="1:22" x14ac:dyDescent="0.2">
      <c r="A31">
        <v>46122.82002777778</v>
      </c>
      <c r="B31">
        <v>20.402314000000001</v>
      </c>
      <c r="C31">
        <v>20.740853999999999</v>
      </c>
      <c r="D31">
        <v>20.330465</v>
      </c>
      <c r="E31">
        <v>20.457811</v>
      </c>
      <c r="F31">
        <v>29.301897</v>
      </c>
      <c r="G31">
        <v>26.537101</v>
      </c>
      <c r="H31">
        <v>25.370557999999999</v>
      </c>
      <c r="I31">
        <v>22.745009</v>
      </c>
      <c r="J31">
        <v>56.228110000000001</v>
      </c>
      <c r="K31">
        <v>51.331761999999998</v>
      </c>
      <c r="L31">
        <v>202.844797</v>
      </c>
      <c r="M31">
        <v>-622.48612300000002</v>
      </c>
      <c r="N31">
        <v>1.872403</v>
      </c>
      <c r="O31">
        <v>11.712265</v>
      </c>
      <c r="P31">
        <f t="shared" si="0"/>
        <v>3.1206716666666671E-5</v>
      </c>
      <c r="Q31" cm="1">
        <f t="array" ref="Q31">[1]!PropsSI("D","T",J31+273.15,"P",101325,"Water")</f>
        <v>985.0937819750477</v>
      </c>
      <c r="R31" cm="1">
        <f t="array" ref="R31">[1]!PropsSI("D","T",K31+273.15,"P",101325,"Water")</f>
        <v>987.42690636814575</v>
      </c>
      <c r="S31">
        <f t="shared" si="1"/>
        <v>986.26034417159667</v>
      </c>
      <c r="T31" cm="1">
        <f t="array" ref="T31">[1]!PropsSI("H","T",J31+273.15,"P",101325,"Water")</f>
        <v>235466.48313554711</v>
      </c>
      <c r="U31" cm="1">
        <f t="array" ref="U31">[1]!PropsSI("H","T",K31+273.15,"P",101325,"Water")</f>
        <v>214987.30210393679</v>
      </c>
      <c r="V31">
        <f t="shared" si="2"/>
        <v>630.30715085451629</v>
      </c>
    </row>
    <row r="32" spans="1:22" x14ac:dyDescent="0.2">
      <c r="A32">
        <v>46122.820085648149</v>
      </c>
      <c r="B32">
        <v>20.431996000000002</v>
      </c>
      <c r="C32">
        <v>20.977278999999999</v>
      </c>
      <c r="D32">
        <v>20.394704000000001</v>
      </c>
      <c r="E32">
        <v>20.655051</v>
      </c>
      <c r="F32">
        <v>29.294753</v>
      </c>
      <c r="G32">
        <v>26.717493999999999</v>
      </c>
      <c r="H32">
        <v>25.804176999999999</v>
      </c>
      <c r="I32">
        <v>22.944389999999999</v>
      </c>
      <c r="J32">
        <v>56.227632999999997</v>
      </c>
      <c r="K32">
        <v>51.339390999999999</v>
      </c>
      <c r="L32">
        <v>214.306264</v>
      </c>
      <c r="M32">
        <v>-622.493878</v>
      </c>
      <c r="N32">
        <v>1.874026</v>
      </c>
      <c r="O32">
        <v>11.659744</v>
      </c>
      <c r="P32">
        <f t="shared" si="0"/>
        <v>3.1233766666666666E-5</v>
      </c>
      <c r="Q32" cm="1">
        <f t="array" ref="Q32">[1]!PropsSI("D","T",J32+273.15,"P",101325,"Water")</f>
        <v>985.09401654833493</v>
      </c>
      <c r="R32" cm="1">
        <f t="array" ref="R32">[1]!PropsSI("D","T",K32+273.15,"P",101325,"Water")</f>
        <v>987.42338946519146</v>
      </c>
      <c r="S32">
        <f t="shared" si="1"/>
        <v>986.2587030067632</v>
      </c>
      <c r="T32" cm="1">
        <f t="array" ref="T32">[1]!PropsSI("H","T",J32+273.15,"P",101325,"Water")</f>
        <v>235464.4876479049</v>
      </c>
      <c r="U32" cm="1">
        <f t="array" ref="U32">[1]!PropsSI("H","T",K32+273.15,"P",101325,"Water")</f>
        <v>215019.20455796283</v>
      </c>
      <c r="V32">
        <f t="shared" si="2"/>
        <v>629.80824003897089</v>
      </c>
    </row>
    <row r="33" spans="1:22" x14ac:dyDescent="0.2">
      <c r="A33">
        <v>46122.820144097219</v>
      </c>
      <c r="B33">
        <v>20.442345</v>
      </c>
      <c r="C33">
        <v>20.730639</v>
      </c>
      <c r="D33">
        <v>20.287756000000002</v>
      </c>
      <c r="E33">
        <v>20.398775000000001</v>
      </c>
      <c r="F33">
        <v>29.192952999999999</v>
      </c>
      <c r="G33">
        <v>26.627094</v>
      </c>
      <c r="H33">
        <v>25.699545000000001</v>
      </c>
      <c r="I33">
        <v>22.798017000000002</v>
      </c>
      <c r="J33">
        <v>56.228588000000002</v>
      </c>
      <c r="K33">
        <v>51.343206000000002</v>
      </c>
      <c r="L33">
        <v>210.85909000000001</v>
      </c>
      <c r="M33">
        <v>-622.50897899999995</v>
      </c>
      <c r="N33">
        <v>1.871702</v>
      </c>
      <c r="O33">
        <v>11.600284</v>
      </c>
      <c r="P33">
        <f t="shared" si="0"/>
        <v>3.1195033333333335E-5</v>
      </c>
      <c r="Q33" cm="1">
        <f t="array" ref="Q33">[1]!PropsSI("D","T",J33+273.15,"P",101325,"Water")</f>
        <v>985.09354690860471</v>
      </c>
      <c r="R33" cm="1">
        <f t="array" ref="R33">[1]!PropsSI("D","T",K33+273.15,"P",101325,"Water")</f>
        <v>987.42163064218289</v>
      </c>
      <c r="S33">
        <f t="shared" si="1"/>
        <v>986.25758877539374</v>
      </c>
      <c r="T33" cm="1">
        <f t="array" ref="T33">[1]!PropsSI("H","T",J33+273.15,"P",101325,"Water")</f>
        <v>235468.4828066247</v>
      </c>
      <c r="U33" cm="1">
        <f t="array" ref="U33">[1]!PropsSI("H","T",K33+273.15,"P",101325,"Water")</f>
        <v>215035.15788250306</v>
      </c>
      <c r="V33">
        <f t="shared" si="2"/>
        <v>628.65858837611904</v>
      </c>
    </row>
    <row r="34" spans="1:22" x14ac:dyDescent="0.2">
      <c r="A34">
        <v>46122.820201967595</v>
      </c>
      <c r="B34">
        <v>20.348474</v>
      </c>
      <c r="C34">
        <v>20.595099999999999</v>
      </c>
      <c r="D34">
        <v>20.254807</v>
      </c>
      <c r="E34">
        <v>20.352385000000002</v>
      </c>
      <c r="F34">
        <v>29.200516</v>
      </c>
      <c r="G34">
        <v>26.671643</v>
      </c>
      <c r="H34">
        <v>25.250261999999999</v>
      </c>
      <c r="I34">
        <v>22.705791999999999</v>
      </c>
      <c r="J34">
        <v>56.227155000000003</v>
      </c>
      <c r="K34">
        <v>51.343364999999999</v>
      </c>
      <c r="L34">
        <v>209.78608199999999</v>
      </c>
      <c r="M34">
        <v>-622.50408100000004</v>
      </c>
      <c r="N34">
        <v>1.8725419999999999</v>
      </c>
      <c r="O34">
        <v>11.739473</v>
      </c>
      <c r="P34">
        <f t="shared" si="0"/>
        <v>3.1209033333333332E-5</v>
      </c>
      <c r="Q34" cm="1">
        <f t="array" ref="Q34">[1]!PropsSI("D","T",J34+273.15,"P",101325,"Water")</f>
        <v>985.09425161197487</v>
      </c>
      <c r="R34" cm="1">
        <f t="array" ref="R34">[1]!PropsSI("D","T",K34+273.15,"P",101325,"Water")</f>
        <v>987.42155733663071</v>
      </c>
      <c r="S34">
        <f t="shared" si="1"/>
        <v>986.25790447430279</v>
      </c>
      <c r="T34" cm="1">
        <f t="array" ref="T34">[1]!PropsSI("H","T",J34+273.15,"P",101325,"Water")</f>
        <v>235462.48797701887</v>
      </c>
      <c r="U34" cm="1">
        <f t="array" ref="U34">[1]!PropsSI("H","T",K34+273.15,"P",101325,"Water")</f>
        <v>215035.82277869646</v>
      </c>
      <c r="V34">
        <f t="shared" si="2"/>
        <v>628.73593760566928</v>
      </c>
    </row>
    <row r="35" spans="1:22" x14ac:dyDescent="0.2">
      <c r="A35">
        <v>46122.820260416665</v>
      </c>
      <c r="B35">
        <v>20.360301</v>
      </c>
      <c r="C35">
        <v>20.631430000000002</v>
      </c>
      <c r="D35">
        <v>20.242393</v>
      </c>
      <c r="E35">
        <v>20.375703999999999</v>
      </c>
      <c r="F35">
        <v>29.150279999999999</v>
      </c>
      <c r="G35">
        <v>26.251882999999999</v>
      </c>
      <c r="H35">
        <v>25.072306000000001</v>
      </c>
      <c r="I35">
        <v>22.659081</v>
      </c>
      <c r="J35">
        <v>56.228270000000002</v>
      </c>
      <c r="K35">
        <v>51.343364999999999</v>
      </c>
      <c r="L35">
        <v>207.22906699999999</v>
      </c>
      <c r="M35">
        <v>-622.48408199999994</v>
      </c>
      <c r="N35">
        <v>1.874468</v>
      </c>
      <c r="O35">
        <v>11.493461999999999</v>
      </c>
      <c r="P35">
        <f t="shared" si="0"/>
        <v>3.1241133333333335E-5</v>
      </c>
      <c r="Q35" cm="1">
        <f t="array" ref="Q35">[1]!PropsSI("D","T",J35+273.15,"P",101325,"Water")</f>
        <v>985.09370329188232</v>
      </c>
      <c r="R35" cm="1">
        <f t="array" ref="R35">[1]!PropsSI("D","T",K35+273.15,"P",101325,"Water")</f>
        <v>987.42155733663071</v>
      </c>
      <c r="S35">
        <f t="shared" si="1"/>
        <v>986.25763031425652</v>
      </c>
      <c r="T35" cm="1">
        <f t="array" ref="T35">[1]!PropsSI("H","T",J35+273.15,"P",101325,"Water")</f>
        <v>235467.15248151106</v>
      </c>
      <c r="U35" cm="1">
        <f t="array" ref="U35">[1]!PropsSI("H","T",K35+273.15,"P",101325,"Water")</f>
        <v>215035.82277869646</v>
      </c>
      <c r="V35">
        <f t="shared" si="2"/>
        <v>629.52616977439095</v>
      </c>
    </row>
    <row r="36" spans="1:22" x14ac:dyDescent="0.2">
      <c r="A36">
        <v>46122.820318287035</v>
      </c>
      <c r="B36">
        <v>20.281113000000001</v>
      </c>
      <c r="C36">
        <v>20.439408</v>
      </c>
      <c r="D36">
        <v>20.202883</v>
      </c>
      <c r="E36">
        <v>20.330171</v>
      </c>
      <c r="F36">
        <v>29.091633000000002</v>
      </c>
      <c r="G36">
        <v>26.306898</v>
      </c>
      <c r="H36">
        <v>25.412106999999999</v>
      </c>
      <c r="I36">
        <v>22.556559</v>
      </c>
      <c r="J36">
        <v>56.226837000000003</v>
      </c>
      <c r="K36">
        <v>51.330649999999999</v>
      </c>
      <c r="L36">
        <v>221.40549999999999</v>
      </c>
      <c r="M36">
        <v>-622.50653</v>
      </c>
      <c r="N36">
        <v>1.8726609999999999</v>
      </c>
      <c r="O36">
        <v>11.556620000000001</v>
      </c>
      <c r="P36">
        <f t="shared" si="0"/>
        <v>3.1211016666666667E-5</v>
      </c>
      <c r="Q36" cm="1">
        <f t="array" ref="Q36">[1]!PropsSI("D","T",J36+273.15,"P",101325,"Water")</f>
        <v>985.09440799244169</v>
      </c>
      <c r="R36" cm="1">
        <f t="array" ref="R36">[1]!PropsSI("D","T",K36+273.15,"P",101325,"Water")</f>
        <v>987.4274189591265</v>
      </c>
      <c r="S36">
        <f t="shared" si="1"/>
        <v>986.26091347578404</v>
      </c>
      <c r="T36" cm="1">
        <f t="array" ref="T36">[1]!PropsSI("H","T",J36+273.15,"P",101325,"Water")</f>
        <v>235461.15765208052</v>
      </c>
      <c r="U36" cm="1">
        <f t="array" ref="U36">[1]!PropsSI("H","T",K36+273.15,"P",101325,"Water")</f>
        <v>214982.65201640027</v>
      </c>
      <c r="V36">
        <f t="shared" si="2"/>
        <v>630.37357512137271</v>
      </c>
    </row>
    <row r="37" spans="1:22" x14ac:dyDescent="0.2">
      <c r="A37">
        <v>46122.820376736112</v>
      </c>
      <c r="B37">
        <v>20.255405</v>
      </c>
      <c r="C37">
        <v>20.401613999999999</v>
      </c>
      <c r="D37">
        <v>20.176468</v>
      </c>
      <c r="E37">
        <v>20.283353999999999</v>
      </c>
      <c r="F37">
        <v>29.058488000000001</v>
      </c>
      <c r="G37">
        <v>26.651886999999999</v>
      </c>
      <c r="H37">
        <v>25.722348</v>
      </c>
      <c r="I37">
        <v>22.766293000000001</v>
      </c>
      <c r="J37">
        <v>56.227155000000003</v>
      </c>
      <c r="K37">
        <v>51.331761999999998</v>
      </c>
      <c r="L37">
        <v>211.691293</v>
      </c>
      <c r="M37">
        <v>-622.48000100000002</v>
      </c>
      <c r="N37">
        <v>1.8782049999999999</v>
      </c>
      <c r="O37">
        <v>11.641088999999999</v>
      </c>
      <c r="P37">
        <f t="shared" si="0"/>
        <v>3.1303416666666666E-5</v>
      </c>
      <c r="Q37" cm="1">
        <f t="array" ref="Q37">[1]!PropsSI("D","T",J37+273.15,"P",101325,"Water")</f>
        <v>985.09425161197487</v>
      </c>
      <c r="R37" cm="1">
        <f t="array" ref="R37">[1]!PropsSI("D","T",K37+273.15,"P",101325,"Water")</f>
        <v>987.42690636814575</v>
      </c>
      <c r="S37">
        <f t="shared" si="1"/>
        <v>986.26057899006037</v>
      </c>
      <c r="T37" cm="1">
        <f t="array" ref="T37">[1]!PropsSI("H","T",J37+273.15,"P",101325,"Water")</f>
        <v>235462.48797701887</v>
      </c>
      <c r="U37" cm="1">
        <f t="array" ref="U37">[1]!PropsSI("H","T",K37+273.15,"P",101325,"Water")</f>
        <v>214987.30210393679</v>
      </c>
      <c r="V37">
        <f t="shared" si="2"/>
        <v>632.13708521777062</v>
      </c>
    </row>
    <row r="38" spans="1:22" x14ac:dyDescent="0.2">
      <c r="A38">
        <v>44660.8204351854</v>
      </c>
      <c r="B38">
        <v>20.223856000000001</v>
      </c>
      <c r="C38">
        <v>20.396103</v>
      </c>
      <c r="D38">
        <v>20.176065000000001</v>
      </c>
      <c r="E38">
        <v>20.302941000000001</v>
      </c>
      <c r="F38">
        <v>29.039318999999999</v>
      </c>
      <c r="G38">
        <v>26.532029000000001</v>
      </c>
      <c r="H38">
        <v>25.260062000000001</v>
      </c>
      <c r="I38">
        <v>22.715720999999998</v>
      </c>
      <c r="J38">
        <v>56.228428999999998</v>
      </c>
      <c r="K38">
        <v>51.329695999999998</v>
      </c>
      <c r="L38">
        <v>200.594706</v>
      </c>
      <c r="M38">
        <v>-622.50816299999997</v>
      </c>
      <c r="N38">
        <v>1.8729640000000001</v>
      </c>
      <c r="O38">
        <v>11.525460000000001</v>
      </c>
      <c r="P38">
        <f t="shared" si="0"/>
        <v>3.1216066666666667E-5</v>
      </c>
      <c r="Q38" cm="1">
        <f t="array" ref="Q38">[1]!PropsSI("D","T",J38+273.15,"P",101325,"Water")</f>
        <v>985.09362510031622</v>
      </c>
      <c r="R38" cm="1">
        <f t="array" ref="R38">[1]!PropsSI("D","T",K38+273.15,"P",101325,"Water")</f>
        <v>987.42785871155866</v>
      </c>
      <c r="S38">
        <f t="shared" si="1"/>
        <v>986.26074190593749</v>
      </c>
      <c r="T38" cm="1">
        <f t="array" ref="T38">[1]!PropsSI("H","T",J38+273.15,"P",101325,"Water")</f>
        <v>235467.81764404869</v>
      </c>
      <c r="U38" cm="1">
        <f t="array" ref="U38">[1]!PropsSI("H","T",K38+273.15,"P",101325,"Water")</f>
        <v>214978.66264307429</v>
      </c>
      <c r="V38">
        <f t="shared" si="2"/>
        <v>630.80332498735754</v>
      </c>
    </row>
    <row r="39" spans="1:22" x14ac:dyDescent="0.2">
      <c r="A39">
        <v>44660.820493055697</v>
      </c>
      <c r="B39">
        <v>20.285215000000001</v>
      </c>
      <c r="C39">
        <v>20.53633</v>
      </c>
      <c r="D39">
        <v>20.175148</v>
      </c>
      <c r="E39">
        <v>20.259305000000001</v>
      </c>
      <c r="F39">
        <v>29.132037</v>
      </c>
      <c r="G39">
        <v>26.338545</v>
      </c>
      <c r="H39">
        <v>25.501352000000001</v>
      </c>
      <c r="I39">
        <v>22.555969000000001</v>
      </c>
      <c r="J39">
        <v>56.227474000000001</v>
      </c>
      <c r="K39">
        <v>51.327471000000003</v>
      </c>
      <c r="L39">
        <v>208.61308</v>
      </c>
      <c r="M39">
        <v>-622.5</v>
      </c>
      <c r="N39">
        <v>1.872587</v>
      </c>
      <c r="O39">
        <v>11.683368</v>
      </c>
      <c r="P39">
        <f t="shared" si="0"/>
        <v>3.1209783333333331E-5</v>
      </c>
      <c r="Q39" cm="1">
        <f t="array" ref="Q39">[1]!PropsSI("D","T",J39+273.15,"P",101325,"Water")</f>
        <v>985.09409473910614</v>
      </c>
      <c r="R39" cm="1">
        <f t="array" ref="R39">[1]!PropsSI("D","T",K39+273.15,"P",101325,"Water")</f>
        <v>987.42888431678261</v>
      </c>
      <c r="S39">
        <f t="shared" si="1"/>
        <v>986.26148952794438</v>
      </c>
      <c r="T39" cm="1">
        <f t="array" ref="T39">[1]!PropsSI("H","T",J39+273.15,"P",101325,"Water")</f>
        <v>235463.82248546384</v>
      </c>
      <c r="U39" cm="1">
        <f t="array" ref="U39">[1]!PropsSI("H","T",K39+273.15,"P",101325,"Water")</f>
        <v>214969.35828807412</v>
      </c>
      <c r="V39">
        <f t="shared" si="2"/>
        <v>630.84025408154196</v>
      </c>
    </row>
    <row r="40" spans="1:22" x14ac:dyDescent="0.2">
      <c r="A40">
        <v>44660.820551504803</v>
      </c>
      <c r="B40">
        <v>20.225680000000001</v>
      </c>
      <c r="C40">
        <v>20.364944999999999</v>
      </c>
      <c r="D40">
        <v>20.124714999999998</v>
      </c>
      <c r="E40">
        <v>20.306108999999999</v>
      </c>
      <c r="F40">
        <v>29.076582999999999</v>
      </c>
      <c r="G40">
        <v>26.123932</v>
      </c>
      <c r="H40">
        <v>25.447908999999999</v>
      </c>
      <c r="I40">
        <v>22.816939000000001</v>
      </c>
      <c r="J40">
        <v>56.224609000000001</v>
      </c>
      <c r="K40">
        <v>51.326517000000003</v>
      </c>
      <c r="L40">
        <v>223.323364</v>
      </c>
      <c r="M40">
        <v>-622.51632600000005</v>
      </c>
      <c r="N40">
        <v>1.8698049999999999</v>
      </c>
      <c r="O40">
        <v>11.744733999999999</v>
      </c>
      <c r="P40">
        <f t="shared" si="0"/>
        <v>3.1163416666666664E-5</v>
      </c>
      <c r="Q40" cm="1">
        <f t="array" ref="Q40">[1]!PropsSI("D","T",J40+273.15,"P",101325,"Water")</f>
        <v>985.09550362193443</v>
      </c>
      <c r="R40" cm="1">
        <f t="array" ref="R40">[1]!PropsSI("D","T",K40+273.15,"P",101325,"Water")</f>
        <v>987.42932404961721</v>
      </c>
      <c r="S40">
        <f t="shared" si="1"/>
        <v>986.26241383577576</v>
      </c>
      <c r="T40" cm="1">
        <f t="array" ref="T40">[1]!PropsSI("H","T",J40+273.15,"P",101325,"Water")</f>
        <v>235451.83701168621</v>
      </c>
      <c r="U40" cm="1">
        <f t="array" ref="U40">[1]!PropsSI("H","T",K40+273.15,"P",101325,"Water")</f>
        <v>214965.3689156711</v>
      </c>
      <c r="V40">
        <f t="shared" si="2"/>
        <v>629.65787695613869</v>
      </c>
    </row>
    <row r="41" spans="1:22" x14ac:dyDescent="0.2">
      <c r="A41">
        <v>44660.820609375201</v>
      </c>
      <c r="B41">
        <v>20.341531</v>
      </c>
      <c r="C41">
        <v>20.407613999999999</v>
      </c>
      <c r="D41">
        <v>20.172021000000001</v>
      </c>
      <c r="E41">
        <v>20.318466000000001</v>
      </c>
      <c r="F41">
        <v>29.145434000000002</v>
      </c>
      <c r="G41">
        <v>26.322901999999999</v>
      </c>
      <c r="H41">
        <v>25.247820000000001</v>
      </c>
      <c r="I41">
        <v>22.689708</v>
      </c>
      <c r="J41">
        <v>56.224609000000001</v>
      </c>
      <c r="K41">
        <v>51.322384999999997</v>
      </c>
      <c r="L41">
        <v>210.743585</v>
      </c>
      <c r="M41">
        <v>-622.50816299999997</v>
      </c>
      <c r="N41">
        <v>1.8686700000000001</v>
      </c>
      <c r="O41">
        <v>11.576774</v>
      </c>
      <c r="P41">
        <f t="shared" si="0"/>
        <v>3.11445E-5</v>
      </c>
      <c r="Q41" cm="1">
        <f t="array" ref="Q41">[1]!PropsSI("D","T",J41+273.15,"P",101325,"Water")</f>
        <v>985.09550362193443</v>
      </c>
      <c r="R41" cm="1">
        <f t="array" ref="R41">[1]!PropsSI("D","T",K41+273.15,"P",101325,"Water")</f>
        <v>987.43122856884884</v>
      </c>
      <c r="S41">
        <f t="shared" si="1"/>
        <v>986.26336609539158</v>
      </c>
      <c r="T41" cm="1">
        <f t="array" ref="T41">[1]!PropsSI("H","T",J41+273.15,"P",101325,"Water")</f>
        <v>235451.83701168621</v>
      </c>
      <c r="U41" cm="1">
        <f t="array" ref="U41">[1]!PropsSI("H","T",K41+273.15,"P",101325,"Water")</f>
        <v>214948.090001901</v>
      </c>
      <c r="V41">
        <f t="shared" si="2"/>
        <v>629.80702350813829</v>
      </c>
    </row>
    <row r="42" spans="1:22" x14ac:dyDescent="0.2">
      <c r="A42">
        <v>46122.820667824075</v>
      </c>
      <c r="B42">
        <v>20.366776999999999</v>
      </c>
      <c r="C42">
        <v>20.419879000000002</v>
      </c>
      <c r="D42">
        <v>20.203783000000001</v>
      </c>
      <c r="E42">
        <v>20.360465000000001</v>
      </c>
      <c r="F42">
        <v>29.065967000000001</v>
      </c>
      <c r="G42">
        <v>26.422701</v>
      </c>
      <c r="H42">
        <v>25.490207999999999</v>
      </c>
      <c r="I42">
        <v>22.587437999999999</v>
      </c>
      <c r="J42">
        <v>56.224290000000003</v>
      </c>
      <c r="K42">
        <v>51.310782000000003</v>
      </c>
      <c r="L42">
        <v>217.315909</v>
      </c>
      <c r="M42">
        <v>-622.51836600000001</v>
      </c>
      <c r="N42">
        <v>1.86799</v>
      </c>
      <c r="O42">
        <v>11.477107</v>
      </c>
      <c r="P42">
        <f t="shared" si="0"/>
        <v>3.1133166666666669E-5</v>
      </c>
      <c r="Q42" cm="1">
        <f t="array" ref="Q42">[1]!PropsSI("D","T",J42+273.15,"P",101325,"Water")</f>
        <v>985.09566048918282</v>
      </c>
      <c r="R42" cm="1">
        <f t="array" ref="R42">[1]!PropsSI("D","T",K42+273.15,"P",101325,"Water")</f>
        <v>987.43657602758105</v>
      </c>
      <c r="S42">
        <f t="shared" si="1"/>
        <v>986.26611825838199</v>
      </c>
      <c r="T42" cm="1">
        <f t="array" ref="T42">[1]!PropsSI("H","T",J42+273.15,"P",101325,"Water")</f>
        <v>235450.50250364613</v>
      </c>
      <c r="U42" cm="1">
        <f t="array" ref="U42">[1]!PropsSI("H","T",K42+273.15,"P",101325,"Water")</f>
        <v>214899.56940124786</v>
      </c>
      <c r="V42">
        <f t="shared" si="2"/>
        <v>631.02847329635324</v>
      </c>
    </row>
    <row r="43" spans="1:22" x14ac:dyDescent="0.2">
      <c r="A43">
        <v>46122.820725694444</v>
      </c>
      <c r="B43">
        <v>20.329032999999999</v>
      </c>
      <c r="C43">
        <v>20.587664</v>
      </c>
      <c r="D43">
        <v>20.185164</v>
      </c>
      <c r="E43">
        <v>20.313555000000001</v>
      </c>
      <c r="F43">
        <v>29.132071</v>
      </c>
      <c r="G43">
        <v>26.612707</v>
      </c>
      <c r="H43">
        <v>25.261025</v>
      </c>
      <c r="I43">
        <v>22.710301000000001</v>
      </c>
      <c r="J43">
        <v>56.223176000000002</v>
      </c>
      <c r="K43">
        <v>51.314596999999999</v>
      </c>
      <c r="L43">
        <v>196.51654300000001</v>
      </c>
      <c r="M43">
        <v>-622.49632699999995</v>
      </c>
      <c r="N43">
        <v>1.8739399999999999</v>
      </c>
      <c r="O43">
        <v>11.700739</v>
      </c>
      <c r="P43">
        <f t="shared" si="0"/>
        <v>3.1232333333333329E-5</v>
      </c>
      <c r="Q43" cm="1">
        <f t="array" ref="Q43">[1]!PropsSI("D","T",J43+273.15,"P",101325,"Water")</f>
        <v>985.09620829032917</v>
      </c>
      <c r="R43" cm="1">
        <f t="array" ref="R43">[1]!PropsSI("D","T",K43+273.15,"P",101325,"Water")</f>
        <v>987.4348179097409</v>
      </c>
      <c r="S43">
        <f t="shared" si="1"/>
        <v>986.26551310003504</v>
      </c>
      <c r="T43" cm="1">
        <f t="array" ref="T43">[1]!PropsSI("H","T",J43+273.15,"P",101325,"Water")</f>
        <v>235445.84218428069</v>
      </c>
      <c r="U43" cm="1">
        <f t="array" ref="U43">[1]!PropsSI("H","T",K43+273.15,"P",101325,"Water")</f>
        <v>214915.52269257704</v>
      </c>
      <c r="V43">
        <f t="shared" si="2"/>
        <v>632.40309445639241</v>
      </c>
    </row>
    <row r="44" spans="1:22" x14ac:dyDescent="0.2">
      <c r="A44">
        <v>46122.820784143521</v>
      </c>
      <c r="B44">
        <v>20.484165000000001</v>
      </c>
      <c r="C44">
        <v>20.653497999999999</v>
      </c>
      <c r="D44">
        <v>20.220824</v>
      </c>
      <c r="E44">
        <v>20.339196999999999</v>
      </c>
      <c r="F44">
        <v>29.272289000000001</v>
      </c>
      <c r="G44">
        <v>26.604171000000001</v>
      </c>
      <c r="H44">
        <v>25.363140000000001</v>
      </c>
      <c r="I44">
        <v>22.399933999999998</v>
      </c>
      <c r="J44">
        <v>56.224609000000001</v>
      </c>
      <c r="K44">
        <v>51.317776000000002</v>
      </c>
      <c r="L44">
        <v>200.993461</v>
      </c>
      <c r="M44">
        <v>-622.50530600000002</v>
      </c>
      <c r="N44">
        <v>1.8701449999999999</v>
      </c>
      <c r="O44">
        <v>11.550533</v>
      </c>
      <c r="P44">
        <f t="shared" si="0"/>
        <v>3.1169083333333329E-5</v>
      </c>
      <c r="Q44" cm="1">
        <f t="array" ref="Q44">[1]!PropsSI("D","T",J44+273.15,"P",101325,"Water")</f>
        <v>985.09550362193443</v>
      </c>
      <c r="R44" cm="1">
        <f t="array" ref="R44">[1]!PropsSI("D","T",K44+273.15,"P",101325,"Water")</f>
        <v>987.43335281651957</v>
      </c>
      <c r="S44">
        <f t="shared" si="1"/>
        <v>986.26442821922706</v>
      </c>
      <c r="T44" cm="1">
        <f t="array" ref="T44">[1]!PropsSI("H","T",J44+273.15,"P",101325,"Water")</f>
        <v>235451.83701168621</v>
      </c>
      <c r="U44" cm="1">
        <f t="array" ref="U44">[1]!PropsSI("H","T",K44+273.15,"P",101325,"Water")</f>
        <v>214928.8164084256</v>
      </c>
      <c r="V44">
        <f t="shared" si="2"/>
        <v>630.89731751474744</v>
      </c>
    </row>
    <row r="45" spans="1:22" x14ac:dyDescent="0.2">
      <c r="A45">
        <v>46122.820842592591</v>
      </c>
      <c r="B45">
        <v>20.550636000000001</v>
      </c>
      <c r="C45">
        <v>20.925948000000002</v>
      </c>
      <c r="D45">
        <v>20.292069999999999</v>
      </c>
      <c r="E45">
        <v>20.436350999999998</v>
      </c>
      <c r="F45">
        <v>29.3018</v>
      </c>
      <c r="G45">
        <v>26.881643</v>
      </c>
      <c r="H45">
        <v>25.888871999999999</v>
      </c>
      <c r="I45">
        <v>22.922473</v>
      </c>
      <c r="J45">
        <v>56.227792000000001</v>
      </c>
      <c r="K45">
        <v>51.325246</v>
      </c>
      <c r="L45">
        <v>199.65393599999999</v>
      </c>
      <c r="M45">
        <v>-622.474287</v>
      </c>
      <c r="N45">
        <v>1.8702270000000001</v>
      </c>
      <c r="O45">
        <v>11.669414</v>
      </c>
      <c r="P45">
        <f t="shared" si="0"/>
        <v>3.1170449999999999E-5</v>
      </c>
      <c r="Q45" cm="1">
        <f t="array" ref="Q45">[1]!PropsSI("D","T",J45+273.15,"P",101325,"Water")</f>
        <v>985.09393835739638</v>
      </c>
      <c r="R45" cm="1">
        <f t="array" ref="R45">[1]!PropsSI("D","T",K45+273.15,"P",101325,"Water")</f>
        <v>987.42990988999657</v>
      </c>
      <c r="S45">
        <f t="shared" si="1"/>
        <v>986.26192412369642</v>
      </c>
      <c r="T45" cm="1">
        <f t="array" ref="T45">[1]!PropsSI("H","T",J45+273.15,"P",101325,"Water")</f>
        <v>235465.15281045396</v>
      </c>
      <c r="U45" cm="1">
        <f t="array" ref="U45">[1]!PropsSI("H","T",K45+273.15,"P",101325,"Water")</f>
        <v>214960.0539346649</v>
      </c>
      <c r="V45">
        <f t="shared" si="2"/>
        <v>630.37242465444444</v>
      </c>
    </row>
    <row r="46" spans="1:22" x14ac:dyDescent="0.2">
      <c r="A46">
        <v>46122.820900462961</v>
      </c>
      <c r="B46">
        <v>20.427845000000001</v>
      </c>
      <c r="C46">
        <v>20.727637000000001</v>
      </c>
      <c r="D46">
        <v>20.211406</v>
      </c>
      <c r="E46">
        <v>20.402925</v>
      </c>
      <c r="F46">
        <v>29.228672</v>
      </c>
      <c r="G46">
        <v>26.762316999999999</v>
      </c>
      <c r="H46">
        <v>25.753847</v>
      </c>
      <c r="I46">
        <v>22.988423000000001</v>
      </c>
      <c r="J46">
        <v>56.227632999999997</v>
      </c>
      <c r="K46">
        <v>51.331285999999999</v>
      </c>
      <c r="L46">
        <v>215.274787</v>
      </c>
      <c r="M46">
        <v>-622.52081499999997</v>
      </c>
      <c r="N46">
        <v>1.8724970000000001</v>
      </c>
      <c r="O46">
        <v>11.191079</v>
      </c>
      <c r="P46">
        <f t="shared" si="0"/>
        <v>3.1208283333333334E-5</v>
      </c>
      <c r="Q46" cm="1">
        <f t="array" ref="Q46">[1]!PropsSI("D","T",J46+273.15,"P",101325,"Water")</f>
        <v>985.09401654833493</v>
      </c>
      <c r="R46" cm="1">
        <f t="array" ref="R46">[1]!PropsSI("D","T",K46+273.15,"P",101325,"Water")</f>
        <v>987.42712578755504</v>
      </c>
      <c r="S46">
        <f t="shared" si="1"/>
        <v>986.26057116794505</v>
      </c>
      <c r="T46" cm="1">
        <f t="array" ref="T46">[1]!PropsSI("H","T",J46+273.15,"P",101325,"Water")</f>
        <v>235464.4876479049</v>
      </c>
      <c r="U46" cm="1">
        <f t="array" ref="U46">[1]!PropsSI("H","T",K46+273.15,"P",101325,"Water")</f>
        <v>214985.31159879276</v>
      </c>
      <c r="V46">
        <f t="shared" si="2"/>
        <v>630.33878580011628</v>
      </c>
    </row>
    <row r="47" spans="1:22" x14ac:dyDescent="0.2">
      <c r="A47">
        <v>46122.820958912038</v>
      </c>
      <c r="B47">
        <v>20.387049000000001</v>
      </c>
      <c r="C47">
        <v>20.561851999999998</v>
      </c>
      <c r="D47">
        <v>20.198115999999999</v>
      </c>
      <c r="E47">
        <v>20.265035999999998</v>
      </c>
      <c r="F47">
        <v>29.209159</v>
      </c>
      <c r="G47">
        <v>26.357268000000001</v>
      </c>
      <c r="H47">
        <v>25.180997999999999</v>
      </c>
      <c r="I47">
        <v>22.550249999999998</v>
      </c>
      <c r="J47">
        <v>56.226996</v>
      </c>
      <c r="K47">
        <v>51.331127000000002</v>
      </c>
      <c r="L47">
        <v>200.80122600000001</v>
      </c>
      <c r="M47">
        <v>-622.45592099999999</v>
      </c>
      <c r="N47">
        <v>1.875386</v>
      </c>
      <c r="O47">
        <v>11.670723000000001</v>
      </c>
      <c r="P47">
        <f t="shared" si="0"/>
        <v>3.1256433333333335E-5</v>
      </c>
      <c r="Q47" cm="1">
        <f t="array" ref="Q47">[1]!PropsSI("D","T",J47+273.15,"P",101325,"Water")</f>
        <v>985.09432980229144</v>
      </c>
      <c r="R47" cm="1">
        <f t="array" ref="R47">[1]!PropsSI("D","T",K47+273.15,"P",101325,"Water")</f>
        <v>987.42719908068671</v>
      </c>
      <c r="S47">
        <f t="shared" si="1"/>
        <v>986.26076444148907</v>
      </c>
      <c r="T47" cm="1">
        <f t="array" ref="T47">[1]!PropsSI("H","T",J47+273.15,"P",101325,"Water")</f>
        <v>235461.82281455089</v>
      </c>
      <c r="U47" cm="1">
        <f t="array" ref="U47">[1]!PropsSI("H","T",K47+273.15,"P",101325,"Water")</f>
        <v>214984.64670320315</v>
      </c>
      <c r="V47">
        <f t="shared" si="2"/>
        <v>631.24978170274994</v>
      </c>
    </row>
    <row r="48" spans="1:22" x14ac:dyDescent="0.2">
      <c r="A48">
        <v>46122.821017361108</v>
      </c>
      <c r="B48">
        <v>20.358201000000001</v>
      </c>
      <c r="C48">
        <v>20.556695000000001</v>
      </c>
      <c r="D48">
        <v>20.180657</v>
      </c>
      <c r="E48">
        <v>20.240404999999999</v>
      </c>
      <c r="F48">
        <v>29.147082999999999</v>
      </c>
      <c r="G48">
        <v>26.446315999999999</v>
      </c>
      <c r="H48">
        <v>25.422015999999999</v>
      </c>
      <c r="I48">
        <v>22.685476999999999</v>
      </c>
      <c r="J48">
        <v>56.229064999999999</v>
      </c>
      <c r="K48">
        <v>51.333351999999998</v>
      </c>
      <c r="L48">
        <v>238.079768</v>
      </c>
      <c r="M48">
        <v>-622.50857099999996</v>
      </c>
      <c r="N48">
        <v>1.874169</v>
      </c>
      <c r="O48">
        <v>11.696012</v>
      </c>
      <c r="P48">
        <f t="shared" si="0"/>
        <v>3.1236150000000001E-5</v>
      </c>
      <c r="Q48" cm="1">
        <f t="array" ref="Q48">[1]!PropsSI("D","T",J48+273.15,"P",101325,"Water")</f>
        <v>985.09331233255398</v>
      </c>
      <c r="R48" cm="1">
        <f t="array" ref="R48">[1]!PropsSI("D","T",K48+273.15,"P",101325,"Water")</f>
        <v>987.42617342291157</v>
      </c>
      <c r="S48">
        <f t="shared" si="1"/>
        <v>986.25974287773283</v>
      </c>
      <c r="T48" cm="1">
        <f t="array" ref="T48">[1]!PropsSI("H","T",J48+273.15,"P",101325,"Water")</f>
        <v>235470.47829436031</v>
      </c>
      <c r="U48" cm="1">
        <f t="array" ref="U48">[1]!PropsSI("H","T",K48+273.15,"P",101325,"Water")</f>
        <v>214993.95106063466</v>
      </c>
      <c r="V48">
        <f t="shared" si="2"/>
        <v>630.8194994759873</v>
      </c>
    </row>
    <row r="49" spans="1:22" x14ac:dyDescent="0.2">
      <c r="A49">
        <v>44660.821075810403</v>
      </c>
      <c r="B49">
        <v>20.534348999999999</v>
      </c>
      <c r="C49">
        <v>20.505956000000001</v>
      </c>
      <c r="D49">
        <v>20.289151</v>
      </c>
      <c r="E49">
        <v>20.263933999999999</v>
      </c>
      <c r="F49">
        <v>29.370094000000002</v>
      </c>
      <c r="G49">
        <v>26.360056</v>
      </c>
      <c r="H49">
        <v>24.918375999999999</v>
      </c>
      <c r="I49">
        <v>22.475638</v>
      </c>
      <c r="J49">
        <v>56.229543</v>
      </c>
      <c r="K49">
        <v>51.327629999999999</v>
      </c>
      <c r="L49">
        <v>219.965981</v>
      </c>
      <c r="M49">
        <v>-622.506122</v>
      </c>
      <c r="N49">
        <v>1.866932</v>
      </c>
      <c r="O49">
        <v>11.556582000000001</v>
      </c>
      <c r="P49">
        <f t="shared" si="0"/>
        <v>3.1115533333333331E-5</v>
      </c>
      <c r="Q49" cm="1">
        <f t="array" ref="Q49">[1]!PropsSI("D","T",J49+273.15,"P",101325,"Water")</f>
        <v>985.09307726330701</v>
      </c>
      <c r="R49" cm="1">
        <f t="array" ref="R49">[1]!PropsSI("D","T",K49+273.15,"P",101325,"Water")</f>
        <v>987.42881102738954</v>
      </c>
      <c r="S49">
        <f t="shared" si="1"/>
        <v>986.26094414534828</v>
      </c>
      <c r="T49" cm="1">
        <f t="array" ref="T49">[1]!PropsSI("H","T",J49+273.15,"P",101325,"Water")</f>
        <v>235472.47796563161</v>
      </c>
      <c r="U49" cm="1">
        <f t="array" ref="U49">[1]!PropsSI("H","T",K49+273.15,"P",101325,"Water")</f>
        <v>214970.02318353171</v>
      </c>
      <c r="V49">
        <f t="shared" si="2"/>
        <v>629.18005573954099</v>
      </c>
    </row>
    <row r="50" spans="1:22" x14ac:dyDescent="0.2">
      <c r="A50" t="s">
        <v>20</v>
      </c>
      <c r="B50">
        <v>20.657672000000002</v>
      </c>
      <c r="C50">
        <v>20.675366</v>
      </c>
      <c r="D50">
        <v>20.221803000000001</v>
      </c>
      <c r="E50">
        <v>20.245289</v>
      </c>
      <c r="F50">
        <v>29.346716000000001</v>
      </c>
      <c r="G50">
        <v>26.578866000000001</v>
      </c>
      <c r="H50">
        <v>25.312778000000002</v>
      </c>
      <c r="I50">
        <v>22.715494</v>
      </c>
      <c r="J50">
        <v>56.227950999999997</v>
      </c>
      <c r="K50">
        <v>51.330809000000002</v>
      </c>
      <c r="L50">
        <v>196.22268</v>
      </c>
      <c r="M50">
        <v>-622.49102100000005</v>
      </c>
      <c r="N50">
        <v>1.8706119999999999</v>
      </c>
      <c r="O50">
        <v>11.703078</v>
      </c>
      <c r="P50">
        <f t="shared" si="0"/>
        <v>3.117686666666667E-5</v>
      </c>
      <c r="Q50" cm="1">
        <f t="array" ref="Q50">[1]!PropsSI("D","T",J50+273.15,"P",101325,"Water")</f>
        <v>985.09386016629117</v>
      </c>
      <c r="R50" cm="1">
        <f t="array" ref="R50">[1]!PropsSI("D","T",K50+273.15,"P",101325,"Water")</f>
        <v>987.42734566645845</v>
      </c>
      <c r="S50">
        <f t="shared" si="1"/>
        <v>986.26060291637486</v>
      </c>
      <c r="T50" cm="1">
        <f t="array" ref="T50">[1]!PropsSI("H","T",J50+273.15,"P",101325,"Water")</f>
        <v>235465.81797297372</v>
      </c>
      <c r="U50" cm="1">
        <f t="array" ref="U50">[1]!PropsSI("H","T",K50+273.15,"P",101325,"Water")</f>
        <v>214983.3169120262</v>
      </c>
      <c r="V50">
        <f t="shared" si="2"/>
        <v>629.80649757659307</v>
      </c>
    </row>
    <row r="51" spans="1:22" x14ac:dyDescent="0.2">
      <c r="A51">
        <v>46122.821192708332</v>
      </c>
      <c r="B51">
        <v>20.373445</v>
      </c>
      <c r="C51">
        <v>20.529098000000001</v>
      </c>
      <c r="D51">
        <v>20.172791</v>
      </c>
      <c r="E51">
        <v>20.220673000000001</v>
      </c>
      <c r="F51">
        <v>29.202497999999999</v>
      </c>
      <c r="G51">
        <v>26.532005000000002</v>
      </c>
      <c r="H51">
        <v>25.244913</v>
      </c>
      <c r="I51">
        <v>22.468432</v>
      </c>
      <c r="J51">
        <v>56.227950999999997</v>
      </c>
      <c r="K51">
        <v>51.332715999999998</v>
      </c>
      <c r="L51">
        <v>198.62908999999999</v>
      </c>
      <c r="M51">
        <v>-622.49265300000002</v>
      </c>
      <c r="N51">
        <v>1.8747180000000001</v>
      </c>
      <c r="O51">
        <v>11.617324999999999</v>
      </c>
      <c r="P51">
        <f t="shared" si="0"/>
        <v>3.1245300000000004E-5</v>
      </c>
      <c r="Q51" cm="1">
        <f t="array" ref="Q51">[1]!PropsSI("D","T",J51+273.15,"P",101325,"Water")</f>
        <v>985.09386016629117</v>
      </c>
      <c r="R51" cm="1">
        <f t="array" ref="R51">[1]!PropsSI("D","T",K51+273.15,"P",101325,"Water")</f>
        <v>987.42646660297089</v>
      </c>
      <c r="S51">
        <f t="shared" si="1"/>
        <v>986.26016338463103</v>
      </c>
      <c r="T51" cm="1">
        <f t="array" ref="T51">[1]!PropsSI("H","T",J51+273.15,"P",101325,"Water")</f>
        <v>235465.81797297372</v>
      </c>
      <c r="U51" cm="1">
        <f t="array" ref="U51">[1]!PropsSI("H","T",K51+273.15,"P",101325,"Water")</f>
        <v>214991.29147783949</v>
      </c>
      <c r="V51">
        <f t="shared" si="2"/>
        <v>630.94289961103607</v>
      </c>
    </row>
    <row r="52" spans="1:22" x14ac:dyDescent="0.2">
      <c r="A52">
        <v>46122.821251157409</v>
      </c>
      <c r="B52">
        <v>20.460363000000001</v>
      </c>
      <c r="C52">
        <v>20.455338000000001</v>
      </c>
      <c r="D52">
        <v>20.217419</v>
      </c>
      <c r="E52">
        <v>20.273802</v>
      </c>
      <c r="F52">
        <v>29.279458000000002</v>
      </c>
      <c r="G52">
        <v>26.580946999999998</v>
      </c>
      <c r="H52">
        <v>25.648225</v>
      </c>
      <c r="I52">
        <v>22.961542999999999</v>
      </c>
      <c r="J52">
        <v>56.227474000000001</v>
      </c>
      <c r="K52">
        <v>51.332557000000001</v>
      </c>
      <c r="L52">
        <v>179.919006</v>
      </c>
      <c r="M52">
        <v>-622.47632799999997</v>
      </c>
      <c r="N52">
        <v>1.8787830000000001</v>
      </c>
      <c r="O52">
        <v>12.004393</v>
      </c>
      <c r="P52">
        <f t="shared" si="0"/>
        <v>3.131305E-5</v>
      </c>
      <c r="Q52" cm="1">
        <f t="array" ref="Q52">[1]!PropsSI("D","T",J52+273.15,"P",101325,"Water")</f>
        <v>985.09409473910614</v>
      </c>
      <c r="R52" cm="1">
        <f t="array" ref="R52">[1]!PropsSI("D","T",K52+273.15,"P",101325,"Water")</f>
        <v>987.42653989756195</v>
      </c>
      <c r="S52">
        <f t="shared" si="1"/>
        <v>986.26031731833405</v>
      </c>
      <c r="T52" cm="1">
        <f t="array" ref="T52">[1]!PropsSI("H","T",J52+273.15,"P",101325,"Water")</f>
        <v>235463.82248546384</v>
      </c>
      <c r="U52" cm="1">
        <f t="array" ref="U52">[1]!PropsSI("H","T",K52+273.15,"P",101325,"Water")</f>
        <v>214990.62658219464</v>
      </c>
      <c r="V52">
        <f t="shared" si="2"/>
        <v>632.26999584084251</v>
      </c>
    </row>
    <row r="53" spans="1:22" x14ac:dyDescent="0.2">
      <c r="A53">
        <v>46122.821309027779</v>
      </c>
      <c r="B53">
        <v>20.454065</v>
      </c>
      <c r="C53">
        <v>20.645705</v>
      </c>
      <c r="D53">
        <v>20.278022</v>
      </c>
      <c r="E53">
        <v>20.332404</v>
      </c>
      <c r="F53">
        <v>29.236682999999999</v>
      </c>
      <c r="G53">
        <v>26.630763999999999</v>
      </c>
      <c r="H53">
        <v>25.412500999999999</v>
      </c>
      <c r="I53">
        <v>22.427381</v>
      </c>
      <c r="J53">
        <v>56.227155000000003</v>
      </c>
      <c r="K53">
        <v>51.333193000000001</v>
      </c>
      <c r="L53">
        <v>199.87596600000001</v>
      </c>
      <c r="M53">
        <v>-622.49020499999995</v>
      </c>
      <c r="N53">
        <v>1.872563</v>
      </c>
      <c r="O53">
        <v>11.703738</v>
      </c>
      <c r="P53">
        <f t="shared" si="0"/>
        <v>3.1209383333333336E-5</v>
      </c>
      <c r="Q53" cm="1">
        <f t="array" ref="Q53">[1]!PropsSI("D","T",J53+273.15,"P",101325,"Water")</f>
        <v>985.09425161197487</v>
      </c>
      <c r="R53" cm="1">
        <f t="array" ref="R53">[1]!PropsSI("D","T",K53+273.15,"P",101325,"Water")</f>
        <v>987.42624671815929</v>
      </c>
      <c r="S53">
        <f t="shared" si="1"/>
        <v>986.26024916506708</v>
      </c>
      <c r="T53" cm="1">
        <f t="array" ref="T53">[1]!PropsSI("H","T",J53+273.15,"P",101325,"Water")</f>
        <v>235462.48797701887</v>
      </c>
      <c r="U53" cm="1">
        <f t="array" ref="U53">[1]!PropsSI("H","T",K53+273.15,"P",101325,"Water")</f>
        <v>214993.28616496234</v>
      </c>
      <c r="V53">
        <f t="shared" si="2"/>
        <v>630.05378483505501</v>
      </c>
    </row>
    <row r="54" spans="1:22" x14ac:dyDescent="0.2">
      <c r="A54">
        <v>46122.821367476849</v>
      </c>
      <c r="B54">
        <v>20.399602999999999</v>
      </c>
      <c r="C54">
        <v>20.579405000000001</v>
      </c>
      <c r="D54">
        <v>20.238648999999999</v>
      </c>
      <c r="E54">
        <v>20.385092</v>
      </c>
      <c r="F54">
        <v>29.200146</v>
      </c>
      <c r="G54">
        <v>26.433942999999999</v>
      </c>
      <c r="H54">
        <v>25.467803</v>
      </c>
      <c r="I54">
        <v>22.638127999999998</v>
      </c>
      <c r="J54">
        <v>56.226519000000003</v>
      </c>
      <c r="K54">
        <v>51.335735999999997</v>
      </c>
      <c r="L54">
        <v>196.963459</v>
      </c>
      <c r="M54">
        <v>-622.50653</v>
      </c>
      <c r="N54">
        <v>1.8650100000000001</v>
      </c>
      <c r="O54">
        <v>11.653034</v>
      </c>
      <c r="P54">
        <f t="shared" si="0"/>
        <v>3.1083500000000001E-5</v>
      </c>
      <c r="Q54" cm="1">
        <f t="array" ref="Q54">[1]!PropsSI("D","T",J54+273.15,"P",101325,"Water")</f>
        <v>985.09456437230313</v>
      </c>
      <c r="R54" cm="1">
        <f t="array" ref="R54">[1]!PropsSI("D","T",K54+273.15,"P",101325,"Water")</f>
        <v>987.4250744354548</v>
      </c>
      <c r="S54">
        <f t="shared" si="1"/>
        <v>986.25981940387896</v>
      </c>
      <c r="T54" cm="1">
        <f t="array" ref="T54">[1]!PropsSI("H","T",J54+273.15,"P",101325,"Water")</f>
        <v>235459.82732718522</v>
      </c>
      <c r="U54" cm="1">
        <f t="array" ref="U54">[1]!PropsSI("H","T",K54+273.15,"P",101325,"Water")</f>
        <v>215003.92031542477</v>
      </c>
      <c r="V54">
        <f t="shared" si="2"/>
        <v>627.10461287945975</v>
      </c>
    </row>
    <row r="55" spans="1:22" x14ac:dyDescent="0.2">
      <c r="A55">
        <v>46122.821425347225</v>
      </c>
      <c r="B55">
        <v>20.421855999999998</v>
      </c>
      <c r="C55">
        <v>20.515118000000001</v>
      </c>
      <c r="D55">
        <v>20.269299</v>
      </c>
      <c r="E55">
        <v>20.414736000000001</v>
      </c>
      <c r="F55">
        <v>29.162164000000001</v>
      </c>
      <c r="G55">
        <v>26.409967000000002</v>
      </c>
      <c r="H55">
        <v>25.420387000000002</v>
      </c>
      <c r="I55">
        <v>22.667857999999999</v>
      </c>
      <c r="J55">
        <v>56.226996</v>
      </c>
      <c r="K55">
        <v>51.323180000000001</v>
      </c>
      <c r="L55">
        <v>195.83127099999999</v>
      </c>
      <c r="M55">
        <v>-622.49428599999999</v>
      </c>
      <c r="N55">
        <v>1.87496</v>
      </c>
      <c r="O55">
        <v>11.494579999999999</v>
      </c>
      <c r="P55">
        <f t="shared" si="0"/>
        <v>3.1249333333333333E-5</v>
      </c>
      <c r="Q55" cm="1">
        <f t="array" ref="Q55">[1]!PropsSI("D","T",J55+273.15,"P",101325,"Water")</f>
        <v>985.09432980229144</v>
      </c>
      <c r="R55" cm="1">
        <f t="array" ref="R55">[1]!PropsSI("D","T",K55+273.15,"P",101325,"Water")</f>
        <v>987.43086214646621</v>
      </c>
      <c r="S55">
        <f t="shared" si="1"/>
        <v>986.26259597437888</v>
      </c>
      <c r="T55" cm="1">
        <f t="array" ref="T55">[1]!PropsSI("H","T",J55+273.15,"P",101325,"Water")</f>
        <v>235461.82281455089</v>
      </c>
      <c r="U55" cm="1">
        <f t="array" ref="U55">[1]!PropsSI("H","T",K55+273.15,"P",101325,"Water")</f>
        <v>214951.41447789405</v>
      </c>
      <c r="V55">
        <f t="shared" si="2"/>
        <v>632.13178206571479</v>
      </c>
    </row>
    <row r="56" spans="1:22" x14ac:dyDescent="0.2">
      <c r="A56">
        <v>46122.821483796295</v>
      </c>
      <c r="B56">
        <v>20.562526999999999</v>
      </c>
      <c r="C56">
        <v>20.479578</v>
      </c>
      <c r="D56">
        <v>20.228425000000001</v>
      </c>
      <c r="E56">
        <v>20.351084</v>
      </c>
      <c r="F56">
        <v>29.348668</v>
      </c>
      <c r="G56">
        <v>26.547008000000002</v>
      </c>
      <c r="H56">
        <v>25.642823</v>
      </c>
      <c r="I56">
        <v>22.580106000000001</v>
      </c>
      <c r="J56">
        <v>56.228270000000002</v>
      </c>
      <c r="K56">
        <v>51.325882</v>
      </c>
      <c r="L56">
        <v>211.03908100000001</v>
      </c>
      <c r="M56">
        <v>-622.49224500000003</v>
      </c>
      <c r="N56">
        <v>1.8677440000000001</v>
      </c>
      <c r="O56">
        <v>11.549719</v>
      </c>
      <c r="P56">
        <f t="shared" si="0"/>
        <v>3.1129066666666666E-5</v>
      </c>
      <c r="Q56" cm="1">
        <f t="array" ref="Q56">[1]!PropsSI("D","T",J56+273.15,"P",101325,"Water")</f>
        <v>985.09370329188232</v>
      </c>
      <c r="R56" cm="1">
        <f t="array" ref="R56">[1]!PropsSI("D","T",K56+273.15,"P",101325,"Water")</f>
        <v>987.42961674064861</v>
      </c>
      <c r="S56">
        <f t="shared" si="1"/>
        <v>986.26166001626552</v>
      </c>
      <c r="T56" cm="1">
        <f t="array" ref="T56">[1]!PropsSI("H","T",J56+273.15,"P",101325,"Water")</f>
        <v>235467.15248151106</v>
      </c>
      <c r="U56" cm="1">
        <f t="array" ref="U56">[1]!PropsSI("H","T",K56+273.15,"P",101325,"Water")</f>
        <v>214962.71351598293</v>
      </c>
      <c r="V56">
        <f t="shared" si="2"/>
        <v>629.51508426949169</v>
      </c>
    </row>
    <row r="57" spans="1:22" x14ac:dyDescent="0.2">
      <c r="A57">
        <v>46122.821542245372</v>
      </c>
      <c r="B57">
        <v>20.463714</v>
      </c>
      <c r="C57">
        <v>20.574496</v>
      </c>
      <c r="D57">
        <v>20.269717</v>
      </c>
      <c r="E57">
        <v>20.409865</v>
      </c>
      <c r="F57">
        <v>29.228034999999998</v>
      </c>
      <c r="G57">
        <v>26.483252</v>
      </c>
      <c r="H57">
        <v>25.515423999999999</v>
      </c>
      <c r="I57">
        <v>22.857510000000001</v>
      </c>
      <c r="J57">
        <v>56.225563999999999</v>
      </c>
      <c r="K57">
        <v>51.329377999999998</v>
      </c>
      <c r="L57">
        <v>208.606549</v>
      </c>
      <c r="M57">
        <v>-622.50122399999998</v>
      </c>
      <c r="N57">
        <v>1.8703380000000001</v>
      </c>
      <c r="O57">
        <v>11.873514999999999</v>
      </c>
      <c r="P57">
        <f t="shared" si="0"/>
        <v>3.11723E-5</v>
      </c>
      <c r="Q57" cm="1">
        <f t="array" ref="Q57">[1]!PropsSI("D","T",J57+273.15,"P",101325,"Water")</f>
        <v>985.09503399991092</v>
      </c>
      <c r="R57" cm="1">
        <f t="array" ref="R57">[1]!PropsSI("D","T",K57+273.15,"P",101325,"Water")</f>
        <v>987.42800529438091</v>
      </c>
      <c r="S57">
        <f t="shared" si="1"/>
        <v>986.26151964714586</v>
      </c>
      <c r="T57" cm="1">
        <f t="array" ref="T57">[1]!PropsSI("H","T",J57+273.15,"P",101325,"Water")</f>
        <v>235455.83216929494</v>
      </c>
      <c r="U57" cm="1">
        <f t="array" ref="U57">[1]!PropsSI("H","T",K57+273.15,"P",101325,"Water")</f>
        <v>214977.33285203166</v>
      </c>
      <c r="V57">
        <f t="shared" si="2"/>
        <v>629.59180151296664</v>
      </c>
    </row>
    <row r="58" spans="1:22" x14ac:dyDescent="0.2">
      <c r="A58">
        <v>46122.821600694442</v>
      </c>
      <c r="B58">
        <v>20.400109</v>
      </c>
      <c r="C58">
        <v>20.529536</v>
      </c>
      <c r="D58">
        <v>20.242167999999999</v>
      </c>
      <c r="E58">
        <v>20.374333</v>
      </c>
      <c r="F58">
        <v>29.180499999999999</v>
      </c>
      <c r="G58">
        <v>26.558934000000001</v>
      </c>
      <c r="H58">
        <v>25.363129000000001</v>
      </c>
      <c r="I58">
        <v>22.757508999999999</v>
      </c>
      <c r="J58">
        <v>56.227474000000001</v>
      </c>
      <c r="K58">
        <v>51.333351999999998</v>
      </c>
      <c r="L58">
        <v>223.67028500000001</v>
      </c>
      <c r="M58">
        <v>-622.50163299999997</v>
      </c>
      <c r="N58">
        <v>1.8733949999999999</v>
      </c>
      <c r="O58">
        <v>11.523554000000001</v>
      </c>
      <c r="P58">
        <f t="shared" si="0"/>
        <v>3.122325E-5</v>
      </c>
      <c r="Q58" cm="1">
        <f t="array" ref="Q58">[1]!PropsSI("D","T",J58+273.15,"P",101325,"Water")</f>
        <v>985.09409473910614</v>
      </c>
      <c r="R58" cm="1">
        <f t="array" ref="R58">[1]!PropsSI("D","T",K58+273.15,"P",101325,"Water")</f>
        <v>987.42617342291157</v>
      </c>
      <c r="S58">
        <f t="shared" si="1"/>
        <v>986.2601340810088</v>
      </c>
      <c r="T58" cm="1">
        <f t="array" ref="T58">[1]!PropsSI("H","T",J58+273.15,"P",101325,"Water")</f>
        <v>235463.82248546384</v>
      </c>
      <c r="U58" cm="1">
        <f t="array" ref="U58">[1]!PropsSI("H","T",K58+273.15,"P",101325,"Water")</f>
        <v>214993.95106063466</v>
      </c>
      <c r="V58">
        <f t="shared" si="2"/>
        <v>630.35427121714247</v>
      </c>
    </row>
    <row r="59" spans="1:22" x14ac:dyDescent="0.2">
      <c r="A59">
        <v>46122.821658564812</v>
      </c>
      <c r="B59">
        <v>20.385952</v>
      </c>
      <c r="C59">
        <v>20.510624</v>
      </c>
      <c r="D59">
        <v>20.205617</v>
      </c>
      <c r="E59">
        <v>20.278431999999999</v>
      </c>
      <c r="F59">
        <v>29.2074</v>
      </c>
      <c r="G59">
        <v>26.553573</v>
      </c>
      <c r="H59">
        <v>25.792341</v>
      </c>
      <c r="I59">
        <v>23.082788999999998</v>
      </c>
      <c r="J59">
        <v>56.22636</v>
      </c>
      <c r="K59">
        <v>51.335259000000001</v>
      </c>
      <c r="L59">
        <v>221.01327499999999</v>
      </c>
      <c r="M59">
        <v>-622.48775599999999</v>
      </c>
      <c r="N59">
        <v>1.8746320000000001</v>
      </c>
      <c r="O59">
        <v>11.618188999999999</v>
      </c>
      <c r="P59">
        <f t="shared" si="0"/>
        <v>3.1243866666666667E-5</v>
      </c>
      <c r="Q59" cm="1">
        <f t="array" ref="Q59">[1]!PropsSI("D","T",J59+273.15,"P",101325,"Water")</f>
        <v>985.09464256200965</v>
      </c>
      <c r="R59" cm="1">
        <f t="array" ref="R59">[1]!PropsSI("D","T",K59+273.15,"P",101325,"Water")</f>
        <v>987.42529432809465</v>
      </c>
      <c r="S59">
        <f t="shared" si="1"/>
        <v>986.25996844505221</v>
      </c>
      <c r="T59" cm="1">
        <f t="array" ref="T59">[1]!PropsSI("H","T",J59+273.15,"P",101325,"Water")</f>
        <v>235459.16216472609</v>
      </c>
      <c r="U59" cm="1">
        <f t="array" ref="U59">[1]!PropsSI("H","T",K59+273.15,"P",101325,"Water")</f>
        <v>215001.92562796577</v>
      </c>
      <c r="V59">
        <f t="shared" si="2"/>
        <v>630.3810485885067</v>
      </c>
    </row>
    <row r="60" spans="1:22" x14ac:dyDescent="0.2">
      <c r="A60">
        <v>46122.821716435188</v>
      </c>
      <c r="B60">
        <v>20.322972</v>
      </c>
      <c r="C60">
        <v>20.573763</v>
      </c>
      <c r="D60">
        <v>20.206081000000001</v>
      </c>
      <c r="E60">
        <v>20.31335</v>
      </c>
      <c r="F60">
        <v>29.206256</v>
      </c>
      <c r="G60">
        <v>26.29748</v>
      </c>
      <c r="H60">
        <v>25.116899</v>
      </c>
      <c r="I60">
        <v>22.549372999999999</v>
      </c>
      <c r="J60">
        <v>56.229384000000003</v>
      </c>
      <c r="K60">
        <v>51.337484000000003</v>
      </c>
      <c r="L60">
        <v>210.06647599999999</v>
      </c>
      <c r="M60">
        <v>-622.48816399999998</v>
      </c>
      <c r="N60">
        <v>1.8698129999999999</v>
      </c>
      <c r="O60">
        <v>11.685998</v>
      </c>
      <c r="P60">
        <f t="shared" si="0"/>
        <v>3.1163549999999997E-5</v>
      </c>
      <c r="Q60" cm="1">
        <f t="array" ref="Q60">[1]!PropsSI("D","T",J60+273.15,"P",101325,"Water")</f>
        <v>985.09315545594563</v>
      </c>
      <c r="R60" cm="1">
        <f t="array" ref="R60">[1]!PropsSI("D","T",K60+273.15,"P",101325,"Water")</f>
        <v>987.42426861091656</v>
      </c>
      <c r="S60">
        <f t="shared" si="1"/>
        <v>986.25871203343104</v>
      </c>
      <c r="T60" cm="1">
        <f t="array" ref="T60">[1]!PropsSI("H","T",J60+273.15,"P",101325,"Water")</f>
        <v>235471.81280302405</v>
      </c>
      <c r="U60" cm="1">
        <f t="array" ref="U60">[1]!PropsSI("H","T",K60+273.15,"P",101325,"Water")</f>
        <v>215011.22998823872</v>
      </c>
      <c r="V60">
        <f t="shared" si="2"/>
        <v>628.86261514356067</v>
      </c>
    </row>
    <row r="61" spans="1:22" x14ac:dyDescent="0.2">
      <c r="A61">
        <v>46122.821774884258</v>
      </c>
      <c r="B61">
        <v>20.538971</v>
      </c>
      <c r="C61">
        <v>20.691822999999999</v>
      </c>
      <c r="D61">
        <v>20.225726000000002</v>
      </c>
      <c r="E61">
        <v>20.412960999999999</v>
      </c>
      <c r="F61">
        <v>29.293142</v>
      </c>
      <c r="G61">
        <v>26.395409000000001</v>
      </c>
      <c r="H61">
        <v>25.504307000000001</v>
      </c>
      <c r="I61">
        <v>22.493172999999999</v>
      </c>
      <c r="J61">
        <v>56.228270000000002</v>
      </c>
      <c r="K61">
        <v>51.338915</v>
      </c>
      <c r="L61">
        <v>197.62709899999999</v>
      </c>
      <c r="M61">
        <v>-622.45959400000004</v>
      </c>
      <c r="N61">
        <v>1.873804</v>
      </c>
      <c r="O61">
        <v>11.301091</v>
      </c>
      <c r="P61">
        <f t="shared" si="0"/>
        <v>3.1230066666666664E-5</v>
      </c>
      <c r="Q61" cm="1">
        <f t="array" ref="Q61">[1]!PropsSI("D","T",J61+273.15,"P",101325,"Water")</f>
        <v>985.09370329188232</v>
      </c>
      <c r="R61" cm="1">
        <f t="array" ref="R61">[1]!PropsSI("D","T",K61+273.15,"P",101325,"Water")</f>
        <v>987.42360890805173</v>
      </c>
      <c r="S61">
        <f t="shared" si="1"/>
        <v>986.25865609996708</v>
      </c>
      <c r="T61" cm="1">
        <f t="array" ref="T61">[1]!PropsSI("H","T",J61+273.15,"P",101325,"Water")</f>
        <v>235467.15248151106</v>
      </c>
      <c r="U61" cm="1">
        <f t="array" ref="U61">[1]!PropsSI("H","T",K61+273.15,"P",101325,"Water")</f>
        <v>215017.21405174586</v>
      </c>
      <c r="V61">
        <f t="shared" si="2"/>
        <v>629.87699080274456</v>
      </c>
    </row>
    <row r="62" spans="1:22" x14ac:dyDescent="0.2">
      <c r="A62">
        <v>46122.821833333335</v>
      </c>
      <c r="B62">
        <v>20.433565999999999</v>
      </c>
      <c r="C62">
        <v>20.514658000000001</v>
      </c>
      <c r="D62">
        <v>20.296924000000001</v>
      </c>
      <c r="E62">
        <v>20.420252999999999</v>
      </c>
      <c r="F62">
        <v>29.259440999999999</v>
      </c>
      <c r="G62">
        <v>26.303277999999999</v>
      </c>
      <c r="H62">
        <v>25.378461000000001</v>
      </c>
      <c r="I62">
        <v>22.733001999999999</v>
      </c>
      <c r="J62">
        <v>56.226837000000003</v>
      </c>
      <c r="K62">
        <v>51.339868000000003</v>
      </c>
      <c r="L62">
        <v>216.41187300000001</v>
      </c>
      <c r="M62">
        <v>-622.493878</v>
      </c>
      <c r="N62">
        <v>1.8680349999999999</v>
      </c>
      <c r="O62">
        <v>11.566875</v>
      </c>
      <c r="P62">
        <f t="shared" si="0"/>
        <v>3.1133916666666667E-5</v>
      </c>
      <c r="Q62" cm="1">
        <f t="array" ref="Q62">[1]!PropsSI("D","T",J62+273.15,"P",101325,"Water")</f>
        <v>985.09440799244169</v>
      </c>
      <c r="R62" cm="1">
        <f t="array" ref="R62">[1]!PropsSI("D","T",K62+273.15,"P",101325,"Water")</f>
        <v>987.42316955982449</v>
      </c>
      <c r="S62">
        <f t="shared" si="1"/>
        <v>986.25878877613309</v>
      </c>
      <c r="T62" cm="1">
        <f t="array" ref="T62">[1]!PropsSI("H","T",J62+273.15,"P",101325,"Water")</f>
        <v>235461.15765208052</v>
      </c>
      <c r="U62" cm="1">
        <f t="array" ref="U62">[1]!PropsSI("H","T",K62+273.15,"P",101325,"Water")</f>
        <v>215021.19924599901</v>
      </c>
      <c r="V62">
        <f t="shared" si="2"/>
        <v>627.63138517776849</v>
      </c>
    </row>
    <row r="63" spans="1:22" x14ac:dyDescent="0.2">
      <c r="A63">
        <v>46122.821891782405</v>
      </c>
      <c r="B63">
        <v>20.400137000000001</v>
      </c>
      <c r="C63">
        <v>20.559044</v>
      </c>
      <c r="D63">
        <v>20.256819</v>
      </c>
      <c r="E63">
        <v>20.431785999999999</v>
      </c>
      <c r="F63">
        <v>29.212340999999999</v>
      </c>
      <c r="G63">
        <v>26.529951000000001</v>
      </c>
      <c r="H63">
        <v>26.086074</v>
      </c>
      <c r="I63">
        <v>22.763242000000002</v>
      </c>
      <c r="J63">
        <v>56.227155000000003</v>
      </c>
      <c r="K63">
        <v>51.337643</v>
      </c>
      <c r="L63">
        <v>204.60511700000001</v>
      </c>
      <c r="M63">
        <v>-622.47959300000002</v>
      </c>
      <c r="N63">
        <v>1.8701490000000001</v>
      </c>
      <c r="O63">
        <v>11.325552999999999</v>
      </c>
      <c r="P63">
        <f t="shared" si="0"/>
        <v>3.1169150000000003E-5</v>
      </c>
      <c r="Q63" cm="1">
        <f t="array" ref="Q63">[1]!PropsSI("D","T",J63+273.15,"P",101325,"Water")</f>
        <v>985.09425161197487</v>
      </c>
      <c r="R63" cm="1">
        <f t="array" ref="R63">[1]!PropsSI("D","T",K63+273.15,"P",101325,"Water")</f>
        <v>987.42419531124551</v>
      </c>
      <c r="S63">
        <f t="shared" si="1"/>
        <v>986.25922346161019</v>
      </c>
      <c r="T63" cm="1">
        <f t="array" ref="T63">[1]!PropsSI("H","T",J63+273.15,"P",101325,"Water")</f>
        <v>235462.48797701887</v>
      </c>
      <c r="U63" cm="1">
        <f t="array" ref="U63">[1]!PropsSI("H","T",K63+273.15,"P",101325,"Water")</f>
        <v>215011.89488412798</v>
      </c>
      <c r="V63">
        <f t="shared" si="2"/>
        <v>628.66885343941965</v>
      </c>
    </row>
    <row r="64" spans="1:22" x14ac:dyDescent="0.2">
      <c r="A64">
        <v>46122.821950231482</v>
      </c>
      <c r="B64">
        <v>20.455805999999999</v>
      </c>
      <c r="C64">
        <v>20.63072</v>
      </c>
      <c r="D64">
        <v>20.211971999999999</v>
      </c>
      <c r="E64">
        <v>20.386486999999999</v>
      </c>
      <c r="F64">
        <v>29.325123000000001</v>
      </c>
      <c r="G64">
        <v>26.549319000000001</v>
      </c>
      <c r="H64">
        <v>25.789451</v>
      </c>
      <c r="I64">
        <v>22.662870999999999</v>
      </c>
      <c r="J64">
        <v>56.229384000000003</v>
      </c>
      <c r="K64">
        <v>51.338437999999996</v>
      </c>
      <c r="L64">
        <v>195.54761099999999</v>
      </c>
      <c r="M64">
        <v>-622.51550899999995</v>
      </c>
      <c r="N64">
        <v>1.8741730000000001</v>
      </c>
      <c r="O64">
        <v>11.674205000000001</v>
      </c>
      <c r="P64">
        <f t="shared" si="0"/>
        <v>3.1236216666666668E-5</v>
      </c>
      <c r="Q64" cm="1">
        <f t="array" ref="Q64">[1]!PropsSI("D","T",J64+273.15,"P",101325,"Water")</f>
        <v>985.09315545594563</v>
      </c>
      <c r="R64" cm="1">
        <f t="array" ref="R64">[1]!PropsSI("D","T",K64+273.15,"P",101325,"Water")</f>
        <v>987.4238288104707</v>
      </c>
      <c r="S64">
        <f t="shared" si="1"/>
        <v>986.25849213320816</v>
      </c>
      <c r="T64" cm="1">
        <f t="array" ref="T64">[1]!PropsSI("H","T",J64+273.15,"P",101325,"Water")</f>
        <v>235471.81280302405</v>
      </c>
      <c r="U64" cm="1">
        <f t="array" ref="U64">[1]!PropsSI("H","T",K64+273.15,"P",101325,"Water")</f>
        <v>215015.21936385118</v>
      </c>
      <c r="V64">
        <f t="shared" si="2"/>
        <v>630.20594574435404</v>
      </c>
    </row>
    <row r="65" spans="1:22" x14ac:dyDescent="0.2">
      <c r="A65">
        <v>46122.822008680552</v>
      </c>
      <c r="B65">
        <v>20.329726000000001</v>
      </c>
      <c r="C65">
        <v>20.562818</v>
      </c>
      <c r="D65">
        <v>20.200707999999999</v>
      </c>
      <c r="E65">
        <v>20.328476999999999</v>
      </c>
      <c r="F65">
        <v>29.184249000000001</v>
      </c>
      <c r="G65">
        <v>26.514706</v>
      </c>
      <c r="H65">
        <v>25.323345</v>
      </c>
      <c r="I65">
        <v>22.869796999999998</v>
      </c>
      <c r="J65">
        <v>56.231293999999998</v>
      </c>
      <c r="K65">
        <v>51.336053999999997</v>
      </c>
      <c r="L65">
        <v>203.49864199999999</v>
      </c>
      <c r="M65">
        <v>-622.47143000000005</v>
      </c>
      <c r="N65">
        <v>1.8609290000000001</v>
      </c>
      <c r="O65">
        <v>11.592696999999999</v>
      </c>
      <c r="P65">
        <f t="shared" si="0"/>
        <v>3.1015483333333338E-5</v>
      </c>
      <c r="Q65" cm="1">
        <f t="array" ref="Q65">[1]!PropsSI("D","T",J65+273.15,"P",101325,"Water")</f>
        <v>985.09221615042429</v>
      </c>
      <c r="R65" cm="1">
        <f t="array" ref="R65">[1]!PropsSI("D","T",K65+273.15,"P",101325,"Water")</f>
        <v>987.42492783955413</v>
      </c>
      <c r="S65">
        <f t="shared" si="1"/>
        <v>986.25857199498921</v>
      </c>
      <c r="T65" cm="1">
        <f t="array" ref="T65">[1]!PropsSI("H","T",J65+273.15,"P",101325,"Water")</f>
        <v>235479.80312197565</v>
      </c>
      <c r="U65" cm="1">
        <f t="array" ref="U65">[1]!PropsSI("H","T",K65+273.15,"P",101325,"Water")</f>
        <v>215005.25010709564</v>
      </c>
      <c r="V65">
        <f t="shared" si="2"/>
        <v>626.30196407902872</v>
      </c>
    </row>
    <row r="66" spans="1:22" x14ac:dyDescent="0.2">
      <c r="A66">
        <v>46122.822066550929</v>
      </c>
      <c r="B66">
        <v>20.55292</v>
      </c>
      <c r="C66">
        <v>20.713311999999998</v>
      </c>
      <c r="D66">
        <v>20.230505000000001</v>
      </c>
      <c r="E66">
        <v>20.365546999999999</v>
      </c>
      <c r="F66">
        <v>29.301286999999999</v>
      </c>
      <c r="G66">
        <v>26.409935999999998</v>
      </c>
      <c r="H66">
        <v>25.440977</v>
      </c>
      <c r="I66">
        <v>22.597929000000001</v>
      </c>
      <c r="J66">
        <v>56.231293999999998</v>
      </c>
      <c r="K66">
        <v>51.333351999999998</v>
      </c>
      <c r="L66">
        <v>228.459025</v>
      </c>
      <c r="M66">
        <v>-622.506122</v>
      </c>
      <c r="N66">
        <v>1.8685879999999999</v>
      </c>
      <c r="O66">
        <v>11.613016999999999</v>
      </c>
      <c r="P66">
        <f t="shared" ref="P66:P129" si="3" xml:space="preserve"> N66*0.001/60</f>
        <v>3.1143133333333337E-5</v>
      </c>
      <c r="Q66" cm="1">
        <f t="array" ref="Q66">[1]!PropsSI("D","T",J66+273.15,"P",101325,"Water")</f>
        <v>985.09221615042429</v>
      </c>
      <c r="R66" cm="1">
        <f t="array" ref="R66">[1]!PropsSI("D","T",K66+273.15,"P",101325,"Water")</f>
        <v>987.42617342291157</v>
      </c>
      <c r="S66">
        <f t="shared" ref="S66:S129" si="4">(Q66+R66)/2</f>
        <v>986.25919478666788</v>
      </c>
      <c r="T66" cm="1">
        <f t="array" ref="T66">[1]!PropsSI("H","T",J66+273.15,"P",101325,"Water")</f>
        <v>235479.80312197565</v>
      </c>
      <c r="U66" cm="1">
        <f t="array" ref="U66">[1]!PropsSI("H","T",K66+273.15,"P",101325,"Water")</f>
        <v>214993.95106063466</v>
      </c>
      <c r="V66">
        <f t="shared" ref="V66:V129" si="5">S66*P66*(T66-U66)</f>
        <v>629.22707610337795</v>
      </c>
    </row>
    <row r="67" spans="1:22" x14ac:dyDescent="0.2">
      <c r="A67">
        <v>46122.822124999999</v>
      </c>
      <c r="B67">
        <v>20.462707000000002</v>
      </c>
      <c r="C67">
        <v>20.427250999999998</v>
      </c>
      <c r="D67">
        <v>20.238544000000001</v>
      </c>
      <c r="E67">
        <v>20.277480000000001</v>
      </c>
      <c r="F67">
        <v>29.296626</v>
      </c>
      <c r="G67">
        <v>26.471305000000001</v>
      </c>
      <c r="H67">
        <v>25.425771000000001</v>
      </c>
      <c r="I67">
        <v>22.646818</v>
      </c>
      <c r="J67">
        <v>56.230657000000001</v>
      </c>
      <c r="K67">
        <v>51.334305000000001</v>
      </c>
      <c r="L67">
        <v>194.50521499999999</v>
      </c>
      <c r="M67">
        <v>-622.51183600000002</v>
      </c>
      <c r="N67">
        <v>1.870301</v>
      </c>
      <c r="O67">
        <v>11.701273</v>
      </c>
      <c r="P67">
        <f t="shared" si="3"/>
        <v>3.1171683333333335E-5</v>
      </c>
      <c r="Q67" cm="1">
        <f t="array" ref="Q67">[1]!PropsSI("D","T",J67+273.15,"P",101325,"Water")</f>
        <v>985.09252941867601</v>
      </c>
      <c r="R67" cm="1">
        <f t="array" ref="R67">[1]!PropsSI("D","T",K67+273.15,"P",101325,"Water")</f>
        <v>987.42573410894215</v>
      </c>
      <c r="S67">
        <f t="shared" si="4"/>
        <v>986.25913176380914</v>
      </c>
      <c r="T67" cm="1">
        <f t="array" ref="T67">[1]!PropsSI("H","T",J67+273.15,"P",101325,"Water")</f>
        <v>235477.13828768596</v>
      </c>
      <c r="U67" cm="1">
        <f t="array" ref="U67">[1]!PropsSI("H","T",K67+273.15,"P",101325,"Water")</f>
        <v>214997.93625329141</v>
      </c>
      <c r="V67">
        <f t="shared" si="5"/>
        <v>629.59942618041714</v>
      </c>
    </row>
    <row r="68" spans="1:22" x14ac:dyDescent="0.2">
      <c r="A68">
        <v>46122.822183449076</v>
      </c>
      <c r="B68">
        <v>20.458988000000002</v>
      </c>
      <c r="C68">
        <v>20.526402000000001</v>
      </c>
      <c r="D68">
        <v>20.224875000000001</v>
      </c>
      <c r="E68">
        <v>20.341598000000001</v>
      </c>
      <c r="F68">
        <v>29.287725999999999</v>
      </c>
      <c r="G68">
        <v>26.311409999999999</v>
      </c>
      <c r="H68">
        <v>25.753623999999999</v>
      </c>
      <c r="I68">
        <v>22.787103999999999</v>
      </c>
      <c r="J68">
        <v>56.229384000000003</v>
      </c>
      <c r="K68">
        <v>51.336848000000003</v>
      </c>
      <c r="L68">
        <v>220.170052</v>
      </c>
      <c r="M68">
        <v>-622.48000100000002</v>
      </c>
      <c r="N68">
        <v>1.873931</v>
      </c>
      <c r="O68">
        <v>11.576749</v>
      </c>
      <c r="P68">
        <f t="shared" si="3"/>
        <v>3.1232183333333332E-5</v>
      </c>
      <c r="Q68" cm="1">
        <f t="array" ref="Q68">[1]!PropsSI("D","T",J68+273.15,"P",101325,"Water")</f>
        <v>985.09315545594563</v>
      </c>
      <c r="R68" cm="1">
        <f t="array" ref="R68">[1]!PropsSI("D","T",K68+273.15,"P",101325,"Water")</f>
        <v>987.42456180792885</v>
      </c>
      <c r="S68">
        <f t="shared" si="4"/>
        <v>986.2588586319373</v>
      </c>
      <c r="T68" cm="1">
        <f t="array" ref="T68">[1]!PropsSI("H","T",J68+273.15,"P",101325,"Water")</f>
        <v>235471.81280302405</v>
      </c>
      <c r="U68" cm="1">
        <f t="array" ref="U68">[1]!PropsSI("H","T",K68+273.15,"P",101325,"Water")</f>
        <v>215008.57040465437</v>
      </c>
      <c r="V68">
        <f t="shared" si="5"/>
        <v>630.32961343599743</v>
      </c>
    </row>
    <row r="69" spans="1:22" x14ac:dyDescent="0.2">
      <c r="A69">
        <v>46122.822241319445</v>
      </c>
      <c r="B69">
        <v>20.488838999999999</v>
      </c>
      <c r="C69">
        <v>20.468254999999999</v>
      </c>
      <c r="D69">
        <v>20.207353999999999</v>
      </c>
      <c r="E69">
        <v>20.303813000000002</v>
      </c>
      <c r="F69">
        <v>29.248937000000002</v>
      </c>
      <c r="G69">
        <v>26.474188999999999</v>
      </c>
      <c r="H69">
        <v>25.658681000000001</v>
      </c>
      <c r="I69">
        <v>22.770586000000002</v>
      </c>
      <c r="J69">
        <v>56.230339000000001</v>
      </c>
      <c r="K69">
        <v>51.336531000000001</v>
      </c>
      <c r="L69">
        <v>205.97974199999999</v>
      </c>
      <c r="M69">
        <v>-622.487348</v>
      </c>
      <c r="N69">
        <v>1.874312</v>
      </c>
      <c r="O69">
        <v>11.703382</v>
      </c>
      <c r="P69">
        <f t="shared" si="3"/>
        <v>3.1238533333333329E-5</v>
      </c>
      <c r="Q69" cm="1">
        <f t="array" ref="Q69">[1]!PropsSI("D","T",J69+273.15,"P",101325,"Water")</f>
        <v>985.09268580596131</v>
      </c>
      <c r="R69" cm="1">
        <f t="array" ref="R69">[1]!PropsSI("D","T",K69+273.15,"P",101325,"Water")</f>
        <v>987.42470794447388</v>
      </c>
      <c r="S69">
        <f t="shared" si="4"/>
        <v>986.25869687521754</v>
      </c>
      <c r="T69" cm="1">
        <f t="array" ref="T69">[1]!PropsSI("H","T",J69+273.15,"P",101325,"Water")</f>
        <v>235475.80796230063</v>
      </c>
      <c r="U69" cm="1">
        <f t="array" ref="U69">[1]!PropsSI("H","T",K69+273.15,"P",101325,"Water")</f>
        <v>215007.24479465099</v>
      </c>
      <c r="V69">
        <f t="shared" si="5"/>
        <v>630.62159512274559</v>
      </c>
    </row>
    <row r="70" spans="1:22" x14ac:dyDescent="0.2">
      <c r="A70">
        <v>46122.822299768515</v>
      </c>
      <c r="B70">
        <v>20.327705999999999</v>
      </c>
      <c r="C70">
        <v>20.398548999999999</v>
      </c>
      <c r="D70">
        <v>20.229112000000001</v>
      </c>
      <c r="E70">
        <v>20.328793000000001</v>
      </c>
      <c r="F70">
        <v>29.109029</v>
      </c>
      <c r="G70">
        <v>26.411535000000001</v>
      </c>
      <c r="H70">
        <v>25.355281999999999</v>
      </c>
      <c r="I70">
        <v>22.771712999999998</v>
      </c>
      <c r="J70">
        <v>56.229384000000003</v>
      </c>
      <c r="K70">
        <v>51.337007</v>
      </c>
      <c r="L70">
        <v>219.19050899999999</v>
      </c>
      <c r="M70">
        <v>-622.51142800000002</v>
      </c>
      <c r="N70">
        <v>1.8648009999999999</v>
      </c>
      <c r="O70">
        <v>11.687599000000001</v>
      </c>
      <c r="P70">
        <f t="shared" si="3"/>
        <v>3.1080016666666664E-5</v>
      </c>
      <c r="Q70" cm="1">
        <f t="array" ref="Q70">[1]!PropsSI("D","T",J70+273.15,"P",101325,"Water")</f>
        <v>985.09315545594563</v>
      </c>
      <c r="R70" cm="1">
        <f t="array" ref="R70">[1]!PropsSI("D","T",K70+273.15,"P",101325,"Water")</f>
        <v>987.42448850893129</v>
      </c>
      <c r="S70">
        <f t="shared" si="4"/>
        <v>986.25882198243846</v>
      </c>
      <c r="T70" cm="1">
        <f t="array" ref="T70">[1]!PropsSI("H","T",J70+273.15,"P",101325,"Water")</f>
        <v>235471.81280302405</v>
      </c>
      <c r="U70" cm="1">
        <f t="array" ref="U70">[1]!PropsSI("H","T",K70+273.15,"P",101325,"Water")</f>
        <v>215009.23530052215</v>
      </c>
      <c r="V70">
        <f t="shared" si="5"/>
        <v>627.23817321581157</v>
      </c>
    </row>
    <row r="71" spans="1:22" x14ac:dyDescent="0.2">
      <c r="A71">
        <v>46122.822357638892</v>
      </c>
      <c r="B71">
        <v>20.348569000000001</v>
      </c>
      <c r="C71">
        <v>20.540645000000001</v>
      </c>
      <c r="D71">
        <v>20.238652999999999</v>
      </c>
      <c r="E71">
        <v>20.329505999999999</v>
      </c>
      <c r="F71">
        <v>29.174057999999999</v>
      </c>
      <c r="G71">
        <v>26.329998</v>
      </c>
      <c r="H71">
        <v>25.166249000000001</v>
      </c>
      <c r="I71">
        <v>22.678311000000001</v>
      </c>
      <c r="J71">
        <v>56.227792000000001</v>
      </c>
      <c r="K71">
        <v>51.322226000000001</v>
      </c>
      <c r="L71">
        <v>206.25115700000001</v>
      </c>
      <c r="M71">
        <v>-622.512652</v>
      </c>
      <c r="N71">
        <v>1.873972</v>
      </c>
      <c r="O71">
        <v>11.712405</v>
      </c>
      <c r="P71">
        <f t="shared" si="3"/>
        <v>3.1232866666666664E-5</v>
      </c>
      <c r="Q71" cm="1">
        <f t="array" ref="Q71">[1]!PropsSI("D","T",J71+273.15,"P",101325,"Water")</f>
        <v>985.09393835739638</v>
      </c>
      <c r="R71" cm="1">
        <f t="array" ref="R71">[1]!PropsSI("D","T",K71+273.15,"P",101325,"Water")</f>
        <v>987.43130185284019</v>
      </c>
      <c r="S71">
        <f t="shared" si="4"/>
        <v>986.26262010511823</v>
      </c>
      <c r="T71" cm="1">
        <f t="array" ref="T71">[1]!PropsSI("H","T",J71+273.15,"P",101325,"Water")</f>
        <v>235465.15281045396</v>
      </c>
      <c r="U71" cm="1">
        <f t="array" ref="U71">[1]!PropsSI("H","T",K71+273.15,"P",101325,"Water")</f>
        <v>214947.42510677184</v>
      </c>
      <c r="V71">
        <f t="shared" si="5"/>
        <v>632.02416349391331</v>
      </c>
    </row>
    <row r="72" spans="1:22" x14ac:dyDescent="0.2">
      <c r="A72">
        <v>46122.822416087962</v>
      </c>
      <c r="B72">
        <v>20.358145</v>
      </c>
      <c r="C72">
        <v>20.584029999999998</v>
      </c>
      <c r="D72">
        <v>20.329847999999998</v>
      </c>
      <c r="E72">
        <v>20.357968</v>
      </c>
      <c r="F72">
        <v>29.181131000000001</v>
      </c>
      <c r="G72">
        <v>26.391432999999999</v>
      </c>
      <c r="H72">
        <v>25.305558999999999</v>
      </c>
      <c r="I72">
        <v>22.702774999999999</v>
      </c>
      <c r="J72">
        <v>56.229702000000003</v>
      </c>
      <c r="K72">
        <v>51.329377999999998</v>
      </c>
      <c r="L72">
        <v>209.945258</v>
      </c>
      <c r="M72">
        <v>-622.50081599999999</v>
      </c>
      <c r="N72">
        <v>1.869227</v>
      </c>
      <c r="O72">
        <v>11.729281</v>
      </c>
      <c r="P72">
        <f t="shared" si="3"/>
        <v>3.1153783333333336E-5</v>
      </c>
      <c r="Q72" cm="1">
        <f t="array" ref="Q72">[1]!PropsSI("D","T",J72+273.15,"P",101325,"Water")</f>
        <v>985.09299907050479</v>
      </c>
      <c r="R72" cm="1">
        <f t="array" ref="R72">[1]!PropsSI("D","T",K72+273.15,"P",101325,"Water")</f>
        <v>987.42800529438091</v>
      </c>
      <c r="S72">
        <f t="shared" si="4"/>
        <v>986.26050218244291</v>
      </c>
      <c r="T72" cm="1">
        <f t="array" ref="T72">[1]!PropsSI("H","T",J72+273.15,"P",101325,"Water")</f>
        <v>235473.14312825855</v>
      </c>
      <c r="U72" cm="1">
        <f t="array" ref="U72">[1]!PropsSI("H","T",K72+273.15,"P",101325,"Water")</f>
        <v>214977.33285203166</v>
      </c>
      <c r="V72">
        <f t="shared" si="5"/>
        <v>629.74906051349285</v>
      </c>
    </row>
    <row r="73" spans="1:22" x14ac:dyDescent="0.2">
      <c r="A73">
        <v>46122.822474537039</v>
      </c>
      <c r="B73">
        <v>20.348965</v>
      </c>
      <c r="C73">
        <v>20.554966</v>
      </c>
      <c r="D73">
        <v>20.246241999999999</v>
      </c>
      <c r="E73">
        <v>20.437628</v>
      </c>
      <c r="F73">
        <v>29.165061999999999</v>
      </c>
      <c r="G73">
        <v>26.341808</v>
      </c>
      <c r="H73">
        <v>25.517225</v>
      </c>
      <c r="I73">
        <v>22.696781999999999</v>
      </c>
      <c r="J73">
        <v>56.231929999999998</v>
      </c>
      <c r="K73">
        <v>51.332239000000001</v>
      </c>
      <c r="L73">
        <v>211.11254600000001</v>
      </c>
      <c r="M73">
        <v>-622.48122499999999</v>
      </c>
      <c r="N73">
        <v>1.870055</v>
      </c>
      <c r="O73">
        <v>11.367286</v>
      </c>
      <c r="P73">
        <f t="shared" si="3"/>
        <v>3.1167583333333333E-5</v>
      </c>
      <c r="Q73" cm="1">
        <f t="array" ref="Q73">[1]!PropsSI("D","T",J73+273.15,"P",101325,"Water")</f>
        <v>985.09190337148038</v>
      </c>
      <c r="R73" cm="1">
        <f t="array" ref="R73">[1]!PropsSI("D","T",K73+273.15,"P",101325,"Water")</f>
        <v>987.42668648629081</v>
      </c>
      <c r="S73">
        <f t="shared" si="4"/>
        <v>986.25929492888554</v>
      </c>
      <c r="T73" cm="1">
        <f t="array" ref="T73">[1]!PropsSI("H","T",J73+273.15,"P",101325,"Water")</f>
        <v>235482.46377299193</v>
      </c>
      <c r="U73" cm="1">
        <f t="array" ref="U73">[1]!PropsSI("H","T",K73+273.15,"P",101325,"Water")</f>
        <v>214989.29679085372</v>
      </c>
      <c r="V73">
        <f t="shared" si="5"/>
        <v>629.9459923267309</v>
      </c>
    </row>
    <row r="74" spans="1:22" x14ac:dyDescent="0.2">
      <c r="A74">
        <v>46122.822532986109</v>
      </c>
      <c r="B74">
        <v>20.318529999999999</v>
      </c>
      <c r="C74">
        <v>20.599767</v>
      </c>
      <c r="D74">
        <v>20.248100000000001</v>
      </c>
      <c r="E74">
        <v>20.386634999999998</v>
      </c>
      <c r="F74">
        <v>29.073046999999999</v>
      </c>
      <c r="G74">
        <v>26.214545000000001</v>
      </c>
      <c r="H74">
        <v>25.219806999999999</v>
      </c>
      <c r="I74">
        <v>22.473531000000001</v>
      </c>
      <c r="J74">
        <v>56.232249000000003</v>
      </c>
      <c r="K74">
        <v>51.335259000000001</v>
      </c>
      <c r="L74">
        <v>198.296862</v>
      </c>
      <c r="M74">
        <v>-622.50163299999997</v>
      </c>
      <c r="N74">
        <v>1.8744190000000001</v>
      </c>
      <c r="O74">
        <v>11.665373000000001</v>
      </c>
      <c r="P74">
        <f t="shared" si="3"/>
        <v>3.124031666666667E-5</v>
      </c>
      <c r="Q74" cm="1">
        <f t="array" ref="Q74">[1]!PropsSI("D","T",J74+273.15,"P",101325,"Water")</f>
        <v>985.09174648927956</v>
      </c>
      <c r="R74" cm="1">
        <f t="array" ref="R74">[1]!PropsSI("D","T",K74+273.15,"P",101325,"Water")</f>
        <v>987.42529432809465</v>
      </c>
      <c r="S74">
        <f t="shared" si="4"/>
        <v>986.2585204086871</v>
      </c>
      <c r="T74" cm="1">
        <f t="array" ref="T74">[1]!PropsSI("H","T",J74+273.15,"P",101325,"Water")</f>
        <v>235483.79828198775</v>
      </c>
      <c r="U74" cm="1">
        <f t="array" ref="U74">[1]!PropsSI("H","T",K74+273.15,"P",101325,"Water")</f>
        <v>215001.92562796577</v>
      </c>
      <c r="V74">
        <f t="shared" si="5"/>
        <v>631.06756192826606</v>
      </c>
    </row>
    <row r="75" spans="1:22" x14ac:dyDescent="0.2">
      <c r="A75">
        <v>46122.822591435186</v>
      </c>
      <c r="B75">
        <v>20.295756999999998</v>
      </c>
      <c r="C75">
        <v>20.633595</v>
      </c>
      <c r="D75">
        <v>20.334382000000002</v>
      </c>
      <c r="E75">
        <v>20.381062</v>
      </c>
      <c r="F75">
        <v>29.182399</v>
      </c>
      <c r="G75">
        <v>26.670237</v>
      </c>
      <c r="H75">
        <v>25.683256</v>
      </c>
      <c r="I75">
        <v>22.811302000000001</v>
      </c>
      <c r="J75">
        <v>56.233522000000001</v>
      </c>
      <c r="K75">
        <v>51.335577000000001</v>
      </c>
      <c r="L75">
        <v>197.707503</v>
      </c>
      <c r="M75">
        <v>-622.48000100000002</v>
      </c>
      <c r="N75">
        <v>1.8730629999999999</v>
      </c>
      <c r="O75">
        <v>11.708872</v>
      </c>
      <c r="P75">
        <f t="shared" si="3"/>
        <v>3.1217716666666668E-5</v>
      </c>
      <c r="Q75" cm="1">
        <f t="array" ref="Q75">[1]!PropsSI("D","T",J75+273.15,"P",101325,"Water")</f>
        <v>985.09112042966115</v>
      </c>
      <c r="R75" cm="1">
        <f t="array" ref="R75">[1]!PropsSI("D","T",K75+273.15,"P",101325,"Water")</f>
        <v>987.42514773314406</v>
      </c>
      <c r="S75">
        <f t="shared" si="4"/>
        <v>986.25813408140266</v>
      </c>
      <c r="T75" cm="1">
        <f t="array" ref="T75">[1]!PropsSI("H","T",J75+273.15,"P",101325,"Water")</f>
        <v>235489.12376804906</v>
      </c>
      <c r="U75" cm="1">
        <f t="array" ref="U75">[1]!PropsSI("H","T",K75+273.15,"P",101325,"Water")</f>
        <v>215003.25541960896</v>
      </c>
      <c r="V75">
        <f t="shared" si="5"/>
        <v>630.73380773215081</v>
      </c>
    </row>
    <row r="76" spans="1:22" x14ac:dyDescent="0.2">
      <c r="A76">
        <v>46122.822649305555</v>
      </c>
      <c r="B76">
        <v>20.337222000000001</v>
      </c>
      <c r="C76">
        <v>20.421448999999999</v>
      </c>
      <c r="D76">
        <v>20.364576</v>
      </c>
      <c r="E76">
        <v>20.470438000000001</v>
      </c>
      <c r="F76">
        <v>29.137329999999999</v>
      </c>
      <c r="G76">
        <v>26.414650999999999</v>
      </c>
      <c r="H76">
        <v>25.484884999999998</v>
      </c>
      <c r="I76">
        <v>22.801579</v>
      </c>
      <c r="J76">
        <v>56.232567000000003</v>
      </c>
      <c r="K76">
        <v>51.338597</v>
      </c>
      <c r="L76">
        <v>226.82033100000001</v>
      </c>
      <c r="M76">
        <v>-622.46857299999999</v>
      </c>
      <c r="N76">
        <v>1.8740669999999999</v>
      </c>
      <c r="O76">
        <v>11.669198</v>
      </c>
      <c r="P76">
        <f t="shared" si="3"/>
        <v>3.1234449999999997E-5</v>
      </c>
      <c r="Q76" cm="1">
        <f t="array" ref="Q76">[1]!PropsSI("D","T",J76+273.15,"P",101325,"Water")</f>
        <v>985.09159009823418</v>
      </c>
      <c r="R76" cm="1">
        <f t="array" ref="R76">[1]!PropsSI("D","T",K76+273.15,"P",101325,"Water")</f>
        <v>987.42375550984013</v>
      </c>
      <c r="S76">
        <f t="shared" si="4"/>
        <v>986.25767280403716</v>
      </c>
      <c r="T76" cm="1">
        <f t="array" ref="T76">[1]!PropsSI("H","T",J76+273.15,"P",101325,"Water")</f>
        <v>235485.12860762377</v>
      </c>
      <c r="U76" cm="1">
        <f t="array" ref="U76">[1]!PropsSI("H","T",K76+273.15,"P",101325,"Water")</f>
        <v>215015.88425973369</v>
      </c>
      <c r="V76">
        <f t="shared" si="5"/>
        <v>630.55949284494579</v>
      </c>
    </row>
    <row r="77" spans="1:22" x14ac:dyDescent="0.2">
      <c r="A77">
        <v>46122.822707175925</v>
      </c>
      <c r="B77">
        <v>20.312650000000001</v>
      </c>
      <c r="C77">
        <v>20.530567999999999</v>
      </c>
      <c r="D77">
        <v>20.304939999999998</v>
      </c>
      <c r="E77">
        <v>20.430942000000002</v>
      </c>
      <c r="F77">
        <v>29.188383999999999</v>
      </c>
      <c r="G77">
        <v>26.405297000000001</v>
      </c>
      <c r="H77">
        <v>25.568519999999999</v>
      </c>
      <c r="I77">
        <v>22.603324000000001</v>
      </c>
      <c r="J77">
        <v>56.232408</v>
      </c>
      <c r="K77">
        <v>51.337802000000003</v>
      </c>
      <c r="L77">
        <v>213.10265100000001</v>
      </c>
      <c r="M77">
        <v>-622.49469399999998</v>
      </c>
      <c r="N77">
        <v>1.8740829999999999</v>
      </c>
      <c r="O77">
        <v>11.640872999999999</v>
      </c>
      <c r="P77">
        <f t="shared" si="3"/>
        <v>3.1234716666666664E-5</v>
      </c>
      <c r="Q77" cm="1">
        <f t="array" ref="Q77">[1]!PropsSI("D","T",J77+273.15,"P",101325,"Water")</f>
        <v>985.09166829383116</v>
      </c>
      <c r="R77" cm="1">
        <f t="array" ref="R77">[1]!PropsSI("D","T",K77+273.15,"P",101325,"Water")</f>
        <v>987.42412201142747</v>
      </c>
      <c r="S77">
        <f t="shared" si="4"/>
        <v>986.25789515262932</v>
      </c>
      <c r="T77" cm="1">
        <f t="array" ref="T77">[1]!PropsSI("H","T",J77+273.15,"P",101325,"Water")</f>
        <v>235484.46344476333</v>
      </c>
      <c r="U77" cm="1">
        <f t="array" ref="U77">[1]!PropsSI("H","T",K77+273.15,"P",101325,"Water")</f>
        <v>215012.55978005551</v>
      </c>
      <c r="V77">
        <f t="shared" si="5"/>
        <v>630.64694000366956</v>
      </c>
    </row>
    <row r="78" spans="1:22" x14ac:dyDescent="0.2">
      <c r="A78">
        <v>46122.822765625002</v>
      </c>
      <c r="B78">
        <v>20.340399999999999</v>
      </c>
      <c r="C78">
        <v>20.401153000000001</v>
      </c>
      <c r="D78">
        <v>20.339411999999999</v>
      </c>
      <c r="E78">
        <v>20.403957999999999</v>
      </c>
      <c r="F78">
        <v>29.138605999999999</v>
      </c>
      <c r="G78">
        <v>26.564865999999999</v>
      </c>
      <c r="H78">
        <v>25.696238000000001</v>
      </c>
      <c r="I78">
        <v>22.933399999999999</v>
      </c>
      <c r="J78">
        <v>56.233522000000001</v>
      </c>
      <c r="K78">
        <v>51.339233</v>
      </c>
      <c r="L78">
        <v>214.218513</v>
      </c>
      <c r="M78">
        <v>-622.49265300000002</v>
      </c>
      <c r="N78">
        <v>1.8706199999999999</v>
      </c>
      <c r="O78">
        <v>11.461717999999999</v>
      </c>
      <c r="P78">
        <f t="shared" si="3"/>
        <v>3.1176999999999996E-5</v>
      </c>
      <c r="Q78" cm="1">
        <f t="array" ref="Q78">[1]!PropsSI("D","T",J78+273.15,"P",101325,"Water")</f>
        <v>985.09112042966115</v>
      </c>
      <c r="R78" cm="1">
        <f t="array" ref="R78">[1]!PropsSI("D","T",K78+273.15,"P",101325,"Water")</f>
        <v>987.42346230562146</v>
      </c>
      <c r="S78">
        <f t="shared" si="4"/>
        <v>986.2572913676413</v>
      </c>
      <c r="T78" cm="1">
        <f t="array" ref="T78">[1]!PropsSI("H","T",J78+273.15,"P",101325,"Water")</f>
        <v>235489.12376804906</v>
      </c>
      <c r="U78" cm="1">
        <f t="array" ref="U78">[1]!PropsSI("H","T",K78+273.15,"P",101325,"Water")</f>
        <v>215018.543843675</v>
      </c>
      <c r="V78">
        <f t="shared" si="5"/>
        <v>629.44051876855929</v>
      </c>
    </row>
    <row r="79" spans="1:22" x14ac:dyDescent="0.2">
      <c r="A79">
        <v>46122.822823495371</v>
      </c>
      <c r="B79">
        <v>20.296986</v>
      </c>
      <c r="C79">
        <v>20.491128</v>
      </c>
      <c r="D79">
        <v>20.267361999999999</v>
      </c>
      <c r="E79">
        <v>20.38043</v>
      </c>
      <c r="F79">
        <v>29.155218000000001</v>
      </c>
      <c r="G79">
        <v>26.304337</v>
      </c>
      <c r="H79">
        <v>25.283282</v>
      </c>
      <c r="I79">
        <v>22.453078999999999</v>
      </c>
      <c r="J79">
        <v>56.233840999999998</v>
      </c>
      <c r="K79">
        <v>51.342252000000002</v>
      </c>
      <c r="L79">
        <v>216.50125600000001</v>
      </c>
      <c r="M79">
        <v>-622.53346799999997</v>
      </c>
      <c r="N79">
        <v>1.8722719999999999</v>
      </c>
      <c r="O79">
        <v>11.396908</v>
      </c>
      <c r="P79">
        <f t="shared" si="3"/>
        <v>3.1204533333333329E-5</v>
      </c>
      <c r="Q79" cm="1">
        <f t="array" ref="Q79">[1]!PropsSI("D","T",J79+273.15,"P",101325,"Water")</f>
        <v>985.09096354433791</v>
      </c>
      <c r="R79" cm="1">
        <f t="array" ref="R79">[1]!PropsSI("D","T",K79+273.15,"P",101325,"Water")</f>
        <v>987.42207047200043</v>
      </c>
      <c r="S79">
        <f t="shared" si="4"/>
        <v>986.25651700816911</v>
      </c>
      <c r="T79" cm="1">
        <f t="array" ref="T79">[1]!PropsSI("H","T",J79+273.15,"P",101325,"Water")</f>
        <v>235490.45827721772</v>
      </c>
      <c r="U79" cm="1">
        <f t="array" ref="U79">[1]!PropsSI("H","T",K79+273.15,"P",101325,"Water")</f>
        <v>215031.16850556023</v>
      </c>
      <c r="V79">
        <f t="shared" si="5"/>
        <v>629.64843965347393</v>
      </c>
    </row>
    <row r="80" spans="1:22" x14ac:dyDescent="0.2">
      <c r="A80">
        <v>46122.822881944441</v>
      </c>
      <c r="B80">
        <v>20.264994000000002</v>
      </c>
      <c r="C80">
        <v>20.617954000000001</v>
      </c>
      <c r="D80">
        <v>20.298781000000002</v>
      </c>
      <c r="E80">
        <v>20.352719</v>
      </c>
      <c r="F80">
        <v>29.104258000000002</v>
      </c>
      <c r="G80">
        <v>26.768812</v>
      </c>
      <c r="H80">
        <v>25.779831000000001</v>
      </c>
      <c r="I80">
        <v>22.810735000000001</v>
      </c>
      <c r="J80">
        <v>56.233680999999997</v>
      </c>
      <c r="K80">
        <v>51.338437999999996</v>
      </c>
      <c r="L80">
        <v>211.721495</v>
      </c>
      <c r="M80">
        <v>-622.50693799999999</v>
      </c>
      <c r="N80">
        <v>1.866695</v>
      </c>
      <c r="O80">
        <v>11.708745</v>
      </c>
      <c r="P80">
        <f t="shared" si="3"/>
        <v>3.1111583333333332E-5</v>
      </c>
      <c r="Q80" cm="1">
        <f t="array" ref="Q80">[1]!PropsSI("D","T",J80+273.15,"P",101325,"Water")</f>
        <v>985.09104223298982</v>
      </c>
      <c r="R80" cm="1">
        <f t="array" ref="R80">[1]!PropsSI("D","T",K80+273.15,"P",101325,"Water")</f>
        <v>987.4238288104707</v>
      </c>
      <c r="S80">
        <f t="shared" si="4"/>
        <v>986.25743552173026</v>
      </c>
      <c r="T80" cm="1">
        <f t="array" ref="T80">[1]!PropsSI("H","T",J80+273.15,"P",101325,"Water")</f>
        <v>235489.78893090357</v>
      </c>
      <c r="U80" cm="1">
        <f t="array" ref="U80">[1]!PropsSI("H","T",K80+273.15,"P",101325,"Water")</f>
        <v>215015.21936385118</v>
      </c>
      <c r="V80">
        <f t="shared" si="5"/>
        <v>628.24231488627493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7BB5-8D5F-B14E-95F7-461B20EC7AFB}">
  <dimension ref="A1:W120"/>
  <sheetViews>
    <sheetView topLeftCell="J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</row>
    <row r="2" spans="1:23" x14ac:dyDescent="0.2">
      <c r="A2">
        <v>44660.809983796498</v>
      </c>
      <c r="B2">
        <v>20.769960000000001</v>
      </c>
      <c r="C2">
        <v>20.508182000000001</v>
      </c>
      <c r="D2">
        <v>20.063894999999999</v>
      </c>
      <c r="E2">
        <v>20.117951999999999</v>
      </c>
      <c r="F2">
        <v>28.496606</v>
      </c>
      <c r="G2">
        <v>25.972415999999999</v>
      </c>
      <c r="H2">
        <v>24.941434999999998</v>
      </c>
      <c r="I2">
        <v>22.538074999999999</v>
      </c>
      <c r="J2">
        <v>56.190387999999999</v>
      </c>
      <c r="K2">
        <v>51.064436999999998</v>
      </c>
      <c r="L2">
        <v>242.90850499999999</v>
      </c>
      <c r="M2">
        <v>-622.49428599999999</v>
      </c>
      <c r="N2">
        <v>1.868698</v>
      </c>
      <c r="O2">
        <v>11.509080000000001</v>
      </c>
      <c r="P2">
        <f t="shared" ref="P2:P65" si="0" xml:space="preserve"> N2*0.001/60</f>
        <v>3.1144966666666667E-5</v>
      </c>
      <c r="Q2" cm="1">
        <f t="array" ref="Q2">[1]!PropsSI("D","T",J2+273.15,"P",101325,"Water")</f>
        <v>985.11232813623371</v>
      </c>
      <c r="R2" cm="1">
        <f t="array" ref="R2">[1]!PropsSI("D","T",K2+273.15,"P",101325,"Water")</f>
        <v>987.54990321745788</v>
      </c>
      <c r="S2">
        <f t="shared" ref="S2:S65" si="1">(Q2+R2)/2</f>
        <v>986.3311156768458</v>
      </c>
      <c r="T2" cm="1">
        <f t="array" ref="T2">[1]!PropsSI("H","T",J2+273.15,"P",101325,"Water")</f>
        <v>235308.67673027213</v>
      </c>
      <c r="U2" cm="1">
        <f t="array" ref="U2">[1]!PropsSI("H","T",K2+273.15,"P",101325,"Water")</f>
        <v>213869.43101592187</v>
      </c>
      <c r="V2">
        <f t="shared" ref="V2:V65" si="2">S2*P2*(T2-U2)</f>
        <v>658.59754290866954</v>
      </c>
      <c r="W2" s="2">
        <f>AVERAGE(V2:V120)</f>
        <v>658.56505765913414</v>
      </c>
    </row>
    <row r="3" spans="1:23" x14ac:dyDescent="0.2">
      <c r="A3">
        <v>44660.810042245503</v>
      </c>
      <c r="B3">
        <v>20.619091000000001</v>
      </c>
      <c r="C3">
        <v>20.459530999999998</v>
      </c>
      <c r="D3">
        <v>20.079547000000002</v>
      </c>
      <c r="E3">
        <v>20.133213999999999</v>
      </c>
      <c r="F3">
        <v>28.310255000000002</v>
      </c>
      <c r="G3">
        <v>25.954457999999999</v>
      </c>
      <c r="H3">
        <v>24.618582</v>
      </c>
      <c r="I3">
        <v>22.388375</v>
      </c>
      <c r="J3">
        <v>56.192934000000001</v>
      </c>
      <c r="K3">
        <v>51.068568999999997</v>
      </c>
      <c r="L3">
        <v>239.620915</v>
      </c>
      <c r="M3">
        <v>-622.50449000000003</v>
      </c>
      <c r="N3">
        <v>1.869461</v>
      </c>
      <c r="O3">
        <v>11.933699000000001</v>
      </c>
      <c r="P3">
        <f t="shared" si="0"/>
        <v>3.1157683333333331E-5</v>
      </c>
      <c r="Q3" cm="1">
        <f t="array" ref="Q3">[1]!PropsSI("D","T",J3+273.15,"P",101325,"Water")</f>
        <v>985.11107666042346</v>
      </c>
      <c r="R3" cm="1">
        <f t="array" ref="R3">[1]!PropsSI("D","T",K3+273.15,"P",101325,"Water")</f>
        <v>987.5480055946515</v>
      </c>
      <c r="S3">
        <f t="shared" si="1"/>
        <v>986.32954112753748</v>
      </c>
      <c r="T3" cm="1">
        <f t="array" ref="T3">[1]!PropsSI("H","T",J3+273.15,"P",101325,"Water")</f>
        <v>235319.32766255154</v>
      </c>
      <c r="U3" cm="1">
        <f t="array" ref="U3">[1]!PropsSI("H","T",K3+273.15,"P",101325,"Water")</f>
        <v>213886.709607428</v>
      </c>
      <c r="V3">
        <f t="shared" si="2"/>
        <v>658.66172070562607</v>
      </c>
      <c r="W3" s="2"/>
    </row>
    <row r="4" spans="1:23" x14ac:dyDescent="0.2">
      <c r="A4">
        <v>44660.810100115901</v>
      </c>
      <c r="B4">
        <v>20.542991000000001</v>
      </c>
      <c r="C4">
        <v>20.653797999999998</v>
      </c>
      <c r="D4">
        <v>20.124559999999999</v>
      </c>
      <c r="E4">
        <v>20.228306</v>
      </c>
      <c r="F4">
        <v>28.335659</v>
      </c>
      <c r="G4">
        <v>26.033968000000002</v>
      </c>
      <c r="H4">
        <v>25.148023999999999</v>
      </c>
      <c r="I4">
        <v>22.365523</v>
      </c>
      <c r="J4">
        <v>56.192138</v>
      </c>
      <c r="K4">
        <v>51.068250999999997</v>
      </c>
      <c r="L4">
        <v>259.69092999999998</v>
      </c>
      <c r="M4">
        <v>-622.50530600000002</v>
      </c>
      <c r="N4">
        <v>1.8737839999999999</v>
      </c>
      <c r="O4">
        <v>11.390617000000001</v>
      </c>
      <c r="P4">
        <f t="shared" si="0"/>
        <v>3.122973333333333E-5</v>
      </c>
      <c r="Q4" cm="1">
        <f t="array" ref="Q4">[1]!PropsSI("D","T",J4+273.15,"P",101325,"Water")</f>
        <v>985.11146793521368</v>
      </c>
      <c r="R4" cm="1">
        <f t="array" ref="R4">[1]!PropsSI("D","T",K4+273.15,"P",101325,"Water")</f>
        <v>987.54815164022307</v>
      </c>
      <c r="S4">
        <f t="shared" si="1"/>
        <v>986.32980978771843</v>
      </c>
      <c r="T4" cm="1">
        <f t="array" ref="T4">[1]!PropsSI("H","T",J4+273.15,"P",101325,"Water")</f>
        <v>235315.99767713397</v>
      </c>
      <c r="U4" cm="1">
        <f t="array" ref="U4">[1]!PropsSI("H","T",K4+273.15,"P",101325,"Water")</f>
        <v>213885.37984146742</v>
      </c>
      <c r="V4">
        <f t="shared" si="2"/>
        <v>660.12339806858597</v>
      </c>
      <c r="W4" s="2"/>
    </row>
    <row r="5" spans="1:23" x14ac:dyDescent="0.2">
      <c r="A5">
        <v>44660.810158565</v>
      </c>
      <c r="B5">
        <v>20.479095999999998</v>
      </c>
      <c r="C5">
        <v>20.441182000000001</v>
      </c>
      <c r="D5">
        <v>20.080698999999999</v>
      </c>
      <c r="E5">
        <v>20.233374000000001</v>
      </c>
      <c r="F5">
        <v>28.282527000000002</v>
      </c>
      <c r="G5">
        <v>25.989187999999999</v>
      </c>
      <c r="H5">
        <v>25.012122999999999</v>
      </c>
      <c r="I5">
        <v>22.275881999999999</v>
      </c>
      <c r="J5">
        <v>56.19182</v>
      </c>
      <c r="K5">
        <v>51.068886999999997</v>
      </c>
      <c r="L5">
        <v>225.92894699999999</v>
      </c>
      <c r="M5">
        <v>-622.50122399999998</v>
      </c>
      <c r="N5">
        <v>1.870797</v>
      </c>
      <c r="O5">
        <v>11.813496000000001</v>
      </c>
      <c r="P5">
        <f t="shared" si="0"/>
        <v>3.117995E-5</v>
      </c>
      <c r="Q5" cm="1">
        <f t="array" ref="Q5">[1]!PropsSI("D","T",J5+273.15,"P",101325,"Water")</f>
        <v>985.11162424744089</v>
      </c>
      <c r="R5" cm="1">
        <f t="array" ref="R5">[1]!PropsSI("D","T",K5+273.15,"P",101325,"Water")</f>
        <v>987.54785954842225</v>
      </c>
      <c r="S5">
        <f t="shared" si="1"/>
        <v>986.32974189793163</v>
      </c>
      <c r="T5" cm="1">
        <f t="array" ref="T5">[1]!PropsSI("H","T",J5+273.15,"P",101325,"Water")</f>
        <v>235314.66735643154</v>
      </c>
      <c r="U5" cm="1">
        <f t="array" ref="U5">[1]!PropsSI("H","T",K5+273.15,"P",101325,"Water")</f>
        <v>213888.03937340586</v>
      </c>
      <c r="V5">
        <f t="shared" si="2"/>
        <v>658.94834689012328</v>
      </c>
      <c r="W5" s="2"/>
    </row>
    <row r="6" spans="1:23" x14ac:dyDescent="0.2">
      <c r="A6">
        <v>46122.810216435188</v>
      </c>
      <c r="B6">
        <v>20.644019</v>
      </c>
      <c r="C6">
        <v>20.511415</v>
      </c>
      <c r="D6">
        <v>20.101485</v>
      </c>
      <c r="E6">
        <v>20.188009000000001</v>
      </c>
      <c r="F6">
        <v>28.551555</v>
      </c>
      <c r="G6">
        <v>25.83389</v>
      </c>
      <c r="H6">
        <v>24.912993</v>
      </c>
      <c r="I6">
        <v>22.334513000000001</v>
      </c>
      <c r="J6">
        <v>56.192934000000001</v>
      </c>
      <c r="K6">
        <v>51.072383000000002</v>
      </c>
      <c r="L6">
        <v>244.84310199999999</v>
      </c>
      <c r="M6">
        <v>-622.506122</v>
      </c>
      <c r="N6">
        <v>1.874595</v>
      </c>
      <c r="O6">
        <v>11.767391999999999</v>
      </c>
      <c r="P6">
        <f t="shared" si="0"/>
        <v>3.1243249999999996E-5</v>
      </c>
      <c r="Q6" cm="1">
        <f t="array" ref="Q6">[1]!PropsSI("D","T",J6+273.15,"P",101325,"Water")</f>
        <v>985.11107666042346</v>
      </c>
      <c r="R6" cm="1">
        <f t="array" ref="R6">[1]!PropsSI("D","T",K6+273.15,"P",101325,"Water")</f>
        <v>987.54625391532443</v>
      </c>
      <c r="S6">
        <f t="shared" si="1"/>
        <v>986.32866528787395</v>
      </c>
      <c r="T6" cm="1">
        <f t="array" ref="T6">[1]!PropsSI("H","T",J6+273.15,"P",101325,"Water")</f>
        <v>235319.32766255154</v>
      </c>
      <c r="U6" cm="1">
        <f t="array" ref="U6">[1]!PropsSI("H","T",K6+273.15,"P",101325,"Water")</f>
        <v>213902.6584377652</v>
      </c>
      <c r="V6">
        <f t="shared" si="2"/>
        <v>659.9785004513991</v>
      </c>
      <c r="W6" s="2"/>
    </row>
    <row r="7" spans="1:23" x14ac:dyDescent="0.2">
      <c r="A7">
        <v>46122.810274305557</v>
      </c>
      <c r="B7">
        <v>20.624310999999999</v>
      </c>
      <c r="C7">
        <v>20.875532</v>
      </c>
      <c r="D7">
        <v>20.088439000000001</v>
      </c>
      <c r="E7">
        <v>20.284911999999998</v>
      </c>
      <c r="F7">
        <v>28.427603000000001</v>
      </c>
      <c r="G7">
        <v>25.974181999999999</v>
      </c>
      <c r="H7">
        <v>25.093798</v>
      </c>
      <c r="I7">
        <v>22.294276</v>
      </c>
      <c r="J7">
        <v>56.191502</v>
      </c>
      <c r="K7">
        <v>51.075561999999998</v>
      </c>
      <c r="L7">
        <v>237.80223000000001</v>
      </c>
      <c r="M7">
        <v>-622.51102000000003</v>
      </c>
      <c r="N7">
        <v>1.872968</v>
      </c>
      <c r="O7">
        <v>11.687688</v>
      </c>
      <c r="P7">
        <f t="shared" si="0"/>
        <v>3.1216133333333334E-5</v>
      </c>
      <c r="Q7" cm="1">
        <f t="array" ref="Q7">[1]!PropsSI("D","T",J7+273.15,"P",101325,"Water")</f>
        <v>985.11178055902917</v>
      </c>
      <c r="R7" cm="1">
        <f t="array" ref="R7">[1]!PropsSI("D","T",K7+273.15,"P",101325,"Water")</f>
        <v>987.54479380434088</v>
      </c>
      <c r="S7">
        <f t="shared" si="1"/>
        <v>986.32828718168503</v>
      </c>
      <c r="T7" cm="1">
        <f t="array" ref="T7">[1]!PropsSI("H","T",J7+273.15,"P",101325,"Water")</f>
        <v>235313.33703571619</v>
      </c>
      <c r="U7" cm="1">
        <f t="array" ref="U7">[1]!PropsSI("H","T",K7+273.15,"P",101325,"Water")</f>
        <v>213915.95192078929</v>
      </c>
      <c r="V7">
        <f t="shared" si="2"/>
        <v>658.8116932887333</v>
      </c>
      <c r="W7" s="2"/>
    </row>
    <row r="8" spans="1:23" x14ac:dyDescent="0.2">
      <c r="A8">
        <v>46122.810332175926</v>
      </c>
      <c r="B8">
        <v>20.423916999999999</v>
      </c>
      <c r="C8">
        <v>20.441716</v>
      </c>
      <c r="D8">
        <v>20.085643000000001</v>
      </c>
      <c r="E8">
        <v>20.262848000000002</v>
      </c>
      <c r="F8">
        <v>28.284427999999998</v>
      </c>
      <c r="G8">
        <v>25.811205000000001</v>
      </c>
      <c r="H8">
        <v>24.813215</v>
      </c>
      <c r="I8">
        <v>22.521118000000001</v>
      </c>
      <c r="J8">
        <v>56.189909999999998</v>
      </c>
      <c r="K8">
        <v>51.076991999999997</v>
      </c>
      <c r="L8">
        <v>258.45752299999998</v>
      </c>
      <c r="M8">
        <v>-622.48122499999999</v>
      </c>
      <c r="N8">
        <v>1.8721080000000001</v>
      </c>
      <c r="O8">
        <v>11.707487</v>
      </c>
      <c r="P8">
        <f t="shared" si="0"/>
        <v>3.1201800000000003E-5</v>
      </c>
      <c r="Q8" cm="1">
        <f t="array" ref="Q8">[1]!PropsSI("D","T",J8+273.15,"P",101325,"Water")</f>
        <v>985.11256309071632</v>
      </c>
      <c r="R8" cm="1">
        <f t="array" ref="R8">[1]!PropsSI("D","T",K8+273.15,"P",101325,"Water")</f>
        <v>987.54413698565975</v>
      </c>
      <c r="S8">
        <f t="shared" si="1"/>
        <v>986.32835003818809</v>
      </c>
      <c r="T8" cm="1">
        <f t="array" ref="T8">[1]!PropsSI("H","T",J8+273.15,"P",101325,"Water")</f>
        <v>235306.67706610673</v>
      </c>
      <c r="U8" cm="1">
        <f t="array" ref="U8">[1]!PropsSI("H","T",K8+273.15,"P",101325,"Water")</f>
        <v>213921.93168922907</v>
      </c>
      <c r="V8">
        <f t="shared" si="2"/>
        <v>658.12024174027295</v>
      </c>
      <c r="W8" s="2"/>
    </row>
    <row r="9" spans="1:23" x14ac:dyDescent="0.2">
      <c r="A9">
        <v>46122.810390625003</v>
      </c>
      <c r="B9">
        <v>20.462966999999999</v>
      </c>
      <c r="C9">
        <v>20.635034000000001</v>
      </c>
      <c r="D9">
        <v>20.114614</v>
      </c>
      <c r="E9">
        <v>20.180095999999999</v>
      </c>
      <c r="F9">
        <v>28.165254999999998</v>
      </c>
      <c r="G9">
        <v>25.882474999999999</v>
      </c>
      <c r="H9">
        <v>24.750351999999999</v>
      </c>
      <c r="I9">
        <v>22.490874000000002</v>
      </c>
      <c r="J9">
        <v>56.190227999999998</v>
      </c>
      <c r="K9">
        <v>51.075085000000001</v>
      </c>
      <c r="L9">
        <v>225.45142000000001</v>
      </c>
      <c r="M9">
        <v>-622.51428499999997</v>
      </c>
      <c r="N9">
        <v>1.8707720000000001</v>
      </c>
      <c r="O9">
        <v>11.322096999999999</v>
      </c>
      <c r="P9">
        <f t="shared" si="0"/>
        <v>3.1179533333333335E-5</v>
      </c>
      <c r="Q9" cm="1">
        <f t="array" ref="Q9">[1]!PropsSI("D","T",J9+273.15,"P",101325,"Water")</f>
        <v>985.11240678224669</v>
      </c>
      <c r="R9" cm="1">
        <f t="array" ref="R9">[1]!PropsSI("D","T",K9+273.15,"P",101325,"Water")</f>
        <v>987.54501289404925</v>
      </c>
      <c r="S9">
        <f t="shared" si="1"/>
        <v>986.32870983814792</v>
      </c>
      <c r="T9" cm="1">
        <f t="array" ref="T9">[1]!PropsSI("H","T",J9+273.15,"P",101325,"Water")</f>
        <v>235308.00738660039</v>
      </c>
      <c r="U9" cm="1">
        <f t="array" ref="U9">[1]!PropsSI("H","T",K9+273.15,"P",101325,"Water")</f>
        <v>213913.95727088948</v>
      </c>
      <c r="V9">
        <f t="shared" si="2"/>
        <v>657.93697576949194</v>
      </c>
      <c r="W9" s="2"/>
    </row>
    <row r="10" spans="1:23" x14ac:dyDescent="0.2">
      <c r="A10">
        <v>44660.810449074197</v>
      </c>
      <c r="B10">
        <v>20.598631000000001</v>
      </c>
      <c r="C10">
        <v>20.411846000000001</v>
      </c>
      <c r="D10">
        <v>20.136327000000001</v>
      </c>
      <c r="E10">
        <v>20.253736</v>
      </c>
      <c r="F10">
        <v>28.280611</v>
      </c>
      <c r="G10">
        <v>25.775850999999999</v>
      </c>
      <c r="H10">
        <v>24.723192000000001</v>
      </c>
      <c r="I10">
        <v>22.350943999999998</v>
      </c>
      <c r="J10">
        <v>56.189113999999996</v>
      </c>
      <c r="K10">
        <v>51.073813000000001</v>
      </c>
      <c r="L10">
        <v>268.98189400000001</v>
      </c>
      <c r="M10">
        <v>-622.49183700000003</v>
      </c>
      <c r="N10">
        <v>1.8706609999999999</v>
      </c>
      <c r="O10">
        <v>11.378596</v>
      </c>
      <c r="P10">
        <f t="shared" si="0"/>
        <v>3.1177683333333335E-5</v>
      </c>
      <c r="Q10" cm="1">
        <f t="array" ref="Q10">[1]!PropsSI("D","T",J10+273.15,"P",101325,"Water")</f>
        <v>985.11295435077602</v>
      </c>
      <c r="R10" cm="1">
        <f t="array" ref="R10">[1]!PropsSI("D","T",K10+273.15,"P",101325,"Water")</f>
        <v>987.54559712609966</v>
      </c>
      <c r="S10">
        <f t="shared" si="1"/>
        <v>986.3292757384379</v>
      </c>
      <c r="T10" cm="1">
        <f t="array" ref="T10">[1]!PropsSI("H","T",J10+273.15,"P",101325,"Water")</f>
        <v>235303.34708163093</v>
      </c>
      <c r="U10" cm="1">
        <f t="array" ref="U10">[1]!PropsSI("H","T",K10+273.15,"P",101325,"Water")</f>
        <v>213908.63820482473</v>
      </c>
      <c r="V10">
        <f t="shared" si="2"/>
        <v>657.91857320441079</v>
      </c>
    </row>
    <row r="11" spans="1:23" x14ac:dyDescent="0.2">
      <c r="A11">
        <v>44660.810507523303</v>
      </c>
      <c r="B11">
        <v>20.494588</v>
      </c>
      <c r="C11">
        <v>20.431937000000001</v>
      </c>
      <c r="D11">
        <v>20.178699999999999</v>
      </c>
      <c r="E11">
        <v>20.317035000000001</v>
      </c>
      <c r="F11">
        <v>28.39</v>
      </c>
      <c r="G11">
        <v>25.793804999999999</v>
      </c>
      <c r="H11">
        <v>25.060755</v>
      </c>
      <c r="I11">
        <v>22.335377000000001</v>
      </c>
      <c r="J11">
        <v>56.192456999999997</v>
      </c>
      <c r="K11">
        <v>51.076197000000001</v>
      </c>
      <c r="L11">
        <v>244.820246</v>
      </c>
      <c r="M11">
        <v>-622.48571500000003</v>
      </c>
      <c r="N11">
        <v>1.8724769999999999</v>
      </c>
      <c r="O11">
        <v>11.545869</v>
      </c>
      <c r="P11">
        <f t="shared" si="0"/>
        <v>3.120795E-5</v>
      </c>
      <c r="Q11" cm="1">
        <f t="array" ref="Q11">[1]!PropsSI("D","T",J11+273.15,"P",101325,"Water")</f>
        <v>985.11131113084389</v>
      </c>
      <c r="R11" cm="1">
        <f t="array" ref="R11">[1]!PropsSI("D","T",K11+273.15,"P",101325,"Water")</f>
        <v>987.54450214174494</v>
      </c>
      <c r="S11">
        <f t="shared" si="1"/>
        <v>986.32790663629441</v>
      </c>
      <c r="T11" cm="1">
        <f t="array" ref="T11">[1]!PropsSI("H","T",J11+273.15,"P",101325,"Water")</f>
        <v>235317.33218129419</v>
      </c>
      <c r="U11" cm="1">
        <f t="array" ref="U11">[1]!PropsSI("H","T",K11+273.15,"P",101325,"Water")</f>
        <v>213918.60727245139</v>
      </c>
      <c r="V11">
        <f t="shared" si="2"/>
        <v>658.67997174195</v>
      </c>
    </row>
    <row r="12" spans="1:23" x14ac:dyDescent="0.2">
      <c r="A12">
        <v>44660.810565393702</v>
      </c>
      <c r="B12">
        <v>20.637443000000001</v>
      </c>
      <c r="C12">
        <v>20.548765</v>
      </c>
      <c r="D12">
        <v>20.171334000000002</v>
      </c>
      <c r="E12">
        <v>20.265179</v>
      </c>
      <c r="F12">
        <v>28.336690000000001</v>
      </c>
      <c r="G12">
        <v>25.916609000000001</v>
      </c>
      <c r="H12">
        <v>25.05096</v>
      </c>
      <c r="I12">
        <v>22.532328</v>
      </c>
      <c r="J12">
        <v>56.191979000000003</v>
      </c>
      <c r="K12">
        <v>51.077787000000001</v>
      </c>
      <c r="L12">
        <v>231.25439499999999</v>
      </c>
      <c r="M12">
        <v>-622.50734699999998</v>
      </c>
      <c r="N12">
        <v>1.869391</v>
      </c>
      <c r="O12">
        <v>11.851861</v>
      </c>
      <c r="P12">
        <f t="shared" si="0"/>
        <v>3.1156516666666669E-5</v>
      </c>
      <c r="Q12" cm="1">
        <f t="array" ref="Q12">[1]!PropsSI("D","T",J12+273.15,"P",101325,"Water")</f>
        <v>985.11154609140272</v>
      </c>
      <c r="R12" cm="1">
        <f t="array" ref="R12">[1]!PropsSI("D","T",K12+273.15,"P",101325,"Water")</f>
        <v>987.54377182548706</v>
      </c>
      <c r="S12">
        <f t="shared" si="1"/>
        <v>986.32765895844489</v>
      </c>
      <c r="T12" cm="1">
        <f t="array" ref="T12">[1]!PropsSI("H","T",J12+273.15,"P",101325,"Water")</f>
        <v>235315.33251677631</v>
      </c>
      <c r="U12" cm="1">
        <f t="array" ref="U12">[1]!PropsSI("H","T",K12+273.15,"P",101325,"Water")</f>
        <v>213925.256106246</v>
      </c>
      <c r="V12">
        <f t="shared" si="2"/>
        <v>657.32847350080795</v>
      </c>
    </row>
    <row r="13" spans="1:23" x14ac:dyDescent="0.2">
      <c r="A13">
        <v>44660.810623842801</v>
      </c>
      <c r="B13">
        <v>20.743068000000001</v>
      </c>
      <c r="C13">
        <v>20.522597999999999</v>
      </c>
      <c r="D13">
        <v>20.119631999999999</v>
      </c>
      <c r="E13">
        <v>20.261565999999998</v>
      </c>
      <c r="F13">
        <v>28.570833</v>
      </c>
      <c r="G13">
        <v>25.891759</v>
      </c>
      <c r="H13">
        <v>24.808268000000002</v>
      </c>
      <c r="I13">
        <v>22.283663000000001</v>
      </c>
      <c r="J13">
        <v>56.189751000000001</v>
      </c>
      <c r="K13">
        <v>51.079376000000003</v>
      </c>
      <c r="L13">
        <v>259.087695</v>
      </c>
      <c r="M13">
        <v>-622.49836700000003</v>
      </c>
      <c r="N13">
        <v>1.873046</v>
      </c>
      <c r="O13">
        <v>11.536440000000001</v>
      </c>
      <c r="P13">
        <f t="shared" si="0"/>
        <v>3.121743333333333E-5</v>
      </c>
      <c r="Q13" cm="1">
        <f t="array" ref="Q13">[1]!PropsSI("D","T",J13+273.15,"P",101325,"Water")</f>
        <v>985.11264124475349</v>
      </c>
      <c r="R13" cm="1">
        <f t="array" ref="R13">[1]!PropsSI("D","T",K13+273.15,"P",101325,"Water")</f>
        <v>987.54304195221778</v>
      </c>
      <c r="S13">
        <f t="shared" si="1"/>
        <v>986.32784159848563</v>
      </c>
      <c r="T13" cm="1">
        <f t="array" ref="T13">[1]!PropsSI("H","T",J13+273.15,"P",101325,"Water")</f>
        <v>235306.01190587287</v>
      </c>
      <c r="U13" cm="1">
        <f t="array" ref="U13">[1]!PropsSI("H","T",K13+273.15,"P",101325,"Water")</f>
        <v>213931.90075915412</v>
      </c>
      <c r="V13">
        <f t="shared" si="2"/>
        <v>658.12221195624988</v>
      </c>
    </row>
    <row r="14" spans="1:23" x14ac:dyDescent="0.2">
      <c r="A14">
        <v>44660.810682291798</v>
      </c>
      <c r="B14">
        <v>20.600539000000001</v>
      </c>
      <c r="C14">
        <v>20.362663999999999</v>
      </c>
      <c r="D14">
        <v>20.090864</v>
      </c>
      <c r="E14">
        <v>20.201160999999999</v>
      </c>
      <c r="F14">
        <v>28.406174</v>
      </c>
      <c r="G14">
        <v>25.805831000000001</v>
      </c>
      <c r="H14">
        <v>24.615528000000001</v>
      </c>
      <c r="I14">
        <v>21.992794</v>
      </c>
      <c r="J14">
        <v>56.190227999999998</v>
      </c>
      <c r="K14">
        <v>51.079694000000003</v>
      </c>
      <c r="L14">
        <v>258.43180999999998</v>
      </c>
      <c r="M14">
        <v>-622.46285899999998</v>
      </c>
      <c r="N14">
        <v>1.8722430000000001</v>
      </c>
      <c r="O14">
        <v>11.542578000000001</v>
      </c>
      <c r="P14">
        <f t="shared" si="0"/>
        <v>3.1204050000000005E-5</v>
      </c>
      <c r="Q14" cm="1">
        <f t="array" ref="Q14">[1]!PropsSI("D","T",J14+273.15,"P",101325,"Water")</f>
        <v>985.11240678224669</v>
      </c>
      <c r="R14" cm="1">
        <f t="array" ref="R14">[1]!PropsSI("D","T",K14+273.15,"P",101325,"Water")</f>
        <v>987.54289588370352</v>
      </c>
      <c r="S14">
        <f t="shared" si="1"/>
        <v>986.32765133297517</v>
      </c>
      <c r="T14" cm="1">
        <f t="array" ref="T14">[1]!PropsSI("H","T",J14+273.15,"P",101325,"Water")</f>
        <v>235308.00738660039</v>
      </c>
      <c r="U14" cm="1">
        <f t="array" ref="U14">[1]!PropsSI("H","T",K14+273.15,"P",101325,"Water")</f>
        <v>213933.23052616362</v>
      </c>
      <c r="V14">
        <f t="shared" si="2"/>
        <v>657.86042816636314</v>
      </c>
    </row>
    <row r="15" spans="1:23" x14ac:dyDescent="0.2">
      <c r="A15">
        <v>46122.810740162036</v>
      </c>
      <c r="B15">
        <v>20.552852000000001</v>
      </c>
      <c r="C15">
        <v>20.367372</v>
      </c>
      <c r="D15">
        <v>20.133410000000001</v>
      </c>
      <c r="E15">
        <v>20.234767000000002</v>
      </c>
      <c r="F15">
        <v>28.402343999999999</v>
      </c>
      <c r="G15">
        <v>25.646560000000001</v>
      </c>
      <c r="H15">
        <v>24.734753999999999</v>
      </c>
      <c r="I15">
        <v>22.407879999999999</v>
      </c>
      <c r="J15">
        <v>56.189113999999996</v>
      </c>
      <c r="K15">
        <v>51.073337000000002</v>
      </c>
      <c r="L15">
        <v>265.72981199999998</v>
      </c>
      <c r="M15">
        <v>-622.48775599999999</v>
      </c>
      <c r="N15">
        <v>1.8723780000000001</v>
      </c>
      <c r="O15">
        <v>11.70262</v>
      </c>
      <c r="P15">
        <f t="shared" si="0"/>
        <v>3.12063E-5</v>
      </c>
      <c r="Q15" cm="1">
        <f t="array" ref="Q15">[1]!PropsSI("D","T",J15+273.15,"P",101325,"Water")</f>
        <v>985.11295435077602</v>
      </c>
      <c r="R15" cm="1">
        <f t="array" ref="R15">[1]!PropsSI("D","T",K15+273.15,"P",101325,"Water")</f>
        <v>987.54581575111604</v>
      </c>
      <c r="S15">
        <f t="shared" si="1"/>
        <v>986.32938505094603</v>
      </c>
      <c r="T15" cm="1">
        <f t="array" ref="T15">[1]!PropsSI("H","T",J15+273.15,"P",101325,"Water")</f>
        <v>235303.34708163093</v>
      </c>
      <c r="U15" cm="1">
        <f t="array" ref="U15">[1]!PropsSI("H","T",K15+273.15,"P",101325,"Water")</f>
        <v>213906.6477368639</v>
      </c>
      <c r="V15">
        <f t="shared" si="2"/>
        <v>658.58378759136713</v>
      </c>
    </row>
    <row r="16" spans="1:23" x14ac:dyDescent="0.2">
      <c r="A16">
        <v>46122.810798032406</v>
      </c>
      <c r="B16">
        <v>20.499345000000002</v>
      </c>
      <c r="C16">
        <v>20.323360000000001</v>
      </c>
      <c r="D16">
        <v>20.225895000000001</v>
      </c>
      <c r="E16">
        <v>20.270705</v>
      </c>
      <c r="F16">
        <v>28.289743000000001</v>
      </c>
      <c r="G16">
        <v>25.804621999999998</v>
      </c>
      <c r="H16">
        <v>24.724765000000001</v>
      </c>
      <c r="I16">
        <v>22.373978000000001</v>
      </c>
      <c r="J16">
        <v>56.190069000000001</v>
      </c>
      <c r="K16">
        <v>51.070317000000003</v>
      </c>
      <c r="L16">
        <v>239.625404</v>
      </c>
      <c r="M16">
        <v>-622.48612300000002</v>
      </c>
      <c r="N16">
        <v>1.8574580000000001</v>
      </c>
      <c r="O16">
        <v>11.587766999999999</v>
      </c>
      <c r="P16">
        <f t="shared" si="0"/>
        <v>3.0957633333333337E-5</v>
      </c>
      <c r="Q16" cm="1">
        <f t="array" ref="Q16">[1]!PropsSI("D","T",J16+273.15,"P",101325,"Water")</f>
        <v>985.11248493656103</v>
      </c>
      <c r="R16" cm="1">
        <f t="array" ref="R16">[1]!PropsSI("D","T",K16+273.15,"P",101325,"Water")</f>
        <v>987.54720279160495</v>
      </c>
      <c r="S16">
        <f t="shared" si="1"/>
        <v>986.32984386408293</v>
      </c>
      <c r="T16" cm="1">
        <f t="array" ref="T16">[1]!PropsSI("H","T",J16+273.15,"P",101325,"Water")</f>
        <v>235307.3422263712</v>
      </c>
      <c r="U16" cm="1">
        <f t="array" ref="U16">[1]!PropsSI("H","T",K16+273.15,"P",101325,"Water")</f>
        <v>213894.01913894893</v>
      </c>
      <c r="V16">
        <f t="shared" si="2"/>
        <v>653.84377873648771</v>
      </c>
    </row>
    <row r="17" spans="1:22" x14ac:dyDescent="0.2">
      <c r="A17">
        <v>46122.810856481483</v>
      </c>
      <c r="B17">
        <v>20.567912</v>
      </c>
      <c r="C17">
        <v>20.461241000000001</v>
      </c>
      <c r="D17">
        <v>20.349817000000002</v>
      </c>
      <c r="E17">
        <v>20.348559000000002</v>
      </c>
      <c r="F17">
        <v>28.406085999999998</v>
      </c>
      <c r="G17">
        <v>25.719563999999998</v>
      </c>
      <c r="H17">
        <v>24.85313</v>
      </c>
      <c r="I17">
        <v>22.503547999999999</v>
      </c>
      <c r="J17">
        <v>56.185772</v>
      </c>
      <c r="K17">
        <v>51.066344000000001</v>
      </c>
      <c r="L17">
        <v>237.404291</v>
      </c>
      <c r="M17">
        <v>-622.45673699999998</v>
      </c>
      <c r="N17">
        <v>1.869993</v>
      </c>
      <c r="O17">
        <v>11.628012</v>
      </c>
      <c r="P17">
        <f t="shared" si="0"/>
        <v>3.1166550000000004E-5</v>
      </c>
      <c r="Q17" cm="1">
        <f t="array" ref="Q17">[1]!PropsSI("D","T",J17+273.15,"P",101325,"Water")</f>
        <v>985.11459701063757</v>
      </c>
      <c r="R17" cm="1">
        <f t="array" ref="R17">[1]!PropsSI("D","T",K17+273.15,"P",101325,"Water")</f>
        <v>987.54902744059973</v>
      </c>
      <c r="S17">
        <f t="shared" si="1"/>
        <v>986.33181222561871</v>
      </c>
      <c r="T17" cm="1">
        <f t="array" ref="T17">[1]!PropsSI("H","T",J17+273.15,"P",101325,"Water")</f>
        <v>235289.36616968276</v>
      </c>
      <c r="U17" cm="1">
        <f t="array" ref="U17">[1]!PropsSI("H","T",K17+273.15,"P",101325,"Water")</f>
        <v>213877.40542817253</v>
      </c>
      <c r="V17">
        <f t="shared" si="2"/>
        <v>658.21565837461367</v>
      </c>
    </row>
    <row r="18" spans="1:22" x14ac:dyDescent="0.2">
      <c r="A18">
        <v>46122.810914930553</v>
      </c>
      <c r="B18">
        <v>20.488682000000001</v>
      </c>
      <c r="C18">
        <v>20.462063000000001</v>
      </c>
      <c r="D18">
        <v>20.249210999999999</v>
      </c>
      <c r="E18">
        <v>20.297456</v>
      </c>
      <c r="F18">
        <v>28.253420999999999</v>
      </c>
      <c r="G18">
        <v>25.813638999999998</v>
      </c>
      <c r="H18">
        <v>24.917441</v>
      </c>
      <c r="I18">
        <v>22.521272</v>
      </c>
      <c r="J18">
        <v>56.185772</v>
      </c>
      <c r="K18">
        <v>51.070793999999999</v>
      </c>
      <c r="L18">
        <v>281.93675500000001</v>
      </c>
      <c r="M18">
        <v>-622.47591999999997</v>
      </c>
      <c r="N18">
        <v>1.868498</v>
      </c>
      <c r="O18">
        <v>11.704679</v>
      </c>
      <c r="P18">
        <f t="shared" si="0"/>
        <v>3.1141633333333334E-5</v>
      </c>
      <c r="Q18" cm="1">
        <f t="array" ref="Q18">[1]!PropsSI("D","T",J18+273.15,"P",101325,"Water")</f>
        <v>985.11459701063757</v>
      </c>
      <c r="R18" cm="1">
        <f t="array" ref="R18">[1]!PropsSI("D","T",K18+273.15,"P",101325,"Water")</f>
        <v>987.54698371661573</v>
      </c>
      <c r="S18">
        <f t="shared" si="1"/>
        <v>986.33079036362665</v>
      </c>
      <c r="T18" cm="1">
        <f t="array" ref="T18">[1]!PropsSI("H","T",J18+273.15,"P",101325,"Water")</f>
        <v>235289.36616968276</v>
      </c>
      <c r="U18" cm="1">
        <f t="array" ref="U18">[1]!PropsSI("H","T",K18+273.15,"P",101325,"Water")</f>
        <v>213896.01378817871</v>
      </c>
      <c r="V18">
        <f t="shared" si="2"/>
        <v>657.11718099462007</v>
      </c>
    </row>
    <row r="19" spans="1:22" x14ac:dyDescent="0.2">
      <c r="A19">
        <v>46122.81097337963</v>
      </c>
      <c r="B19">
        <v>20.527431</v>
      </c>
      <c r="C19">
        <v>20.463811</v>
      </c>
      <c r="D19">
        <v>20.147663999999999</v>
      </c>
      <c r="E19">
        <v>20.254159000000001</v>
      </c>
      <c r="F19">
        <v>28.224219000000002</v>
      </c>
      <c r="G19">
        <v>25.887588999999998</v>
      </c>
      <c r="H19">
        <v>24.620756</v>
      </c>
      <c r="I19">
        <v>22.337351000000002</v>
      </c>
      <c r="J19">
        <v>56.186726999999998</v>
      </c>
      <c r="K19">
        <v>51.067297000000003</v>
      </c>
      <c r="L19">
        <v>236.80472900000001</v>
      </c>
      <c r="M19">
        <v>-622.46775700000001</v>
      </c>
      <c r="N19">
        <v>1.8718619999999999</v>
      </c>
      <c r="O19">
        <v>11.614960999999999</v>
      </c>
      <c r="P19">
        <f t="shared" si="0"/>
        <v>3.1197700000000001E-5</v>
      </c>
      <c r="Q19" cm="1">
        <f t="array" ref="Q19">[1]!PropsSI("D","T",J19+273.15,"P",101325,"Water")</f>
        <v>985.11412761600559</v>
      </c>
      <c r="R19" cm="1">
        <f t="array" ref="R19">[1]!PropsSI("D","T",K19+273.15,"P",101325,"Water")</f>
        <v>987.54858977298977</v>
      </c>
      <c r="S19">
        <f t="shared" si="1"/>
        <v>986.33135869449768</v>
      </c>
      <c r="T19" cm="1">
        <f t="array" ref="T19">[1]!PropsSI("H","T",J19+273.15,"P",101325,"Water")</f>
        <v>235293.36131315489</v>
      </c>
      <c r="U19" cm="1">
        <f t="array" ref="U19">[1]!PropsSI("H","T",K19+273.15,"P",101325,"Water")</f>
        <v>213881.39054388829</v>
      </c>
      <c r="V19">
        <f t="shared" si="2"/>
        <v>658.87353011483219</v>
      </c>
    </row>
    <row r="20" spans="1:22" x14ac:dyDescent="0.2">
      <c r="A20">
        <v>46122.811031249999</v>
      </c>
      <c r="B20">
        <v>20.586597000000001</v>
      </c>
      <c r="C20">
        <v>20.510413</v>
      </c>
      <c r="D20">
        <v>20.218869000000002</v>
      </c>
      <c r="E20">
        <v>20.246980000000001</v>
      </c>
      <c r="F20">
        <v>28.381307</v>
      </c>
      <c r="G20">
        <v>25.832674999999998</v>
      </c>
      <c r="H20">
        <v>25.192319999999999</v>
      </c>
      <c r="I20">
        <v>22.361308999999999</v>
      </c>
      <c r="J20">
        <v>56.182270000000003</v>
      </c>
      <c r="K20">
        <v>51.050291999999999</v>
      </c>
      <c r="L20">
        <v>241.32531900000001</v>
      </c>
      <c r="M20">
        <v>-622.50040799999999</v>
      </c>
      <c r="N20">
        <v>1.8686370000000001</v>
      </c>
      <c r="O20">
        <v>11.708529</v>
      </c>
      <c r="P20">
        <f t="shared" si="0"/>
        <v>3.1143950000000002E-5</v>
      </c>
      <c r="Q20" cm="1">
        <f t="array" ref="Q20">[1]!PropsSI("D","T",J20+273.15,"P",101325,"Water")</f>
        <v>985.11631824020947</v>
      </c>
      <c r="R20" cm="1">
        <f t="array" ref="R20">[1]!PropsSI("D","T",K20+273.15,"P",101325,"Water")</f>
        <v>987.55639847712928</v>
      </c>
      <c r="S20">
        <f t="shared" si="1"/>
        <v>986.33635835866937</v>
      </c>
      <c r="T20" cm="1">
        <f t="array" ref="T20">[1]!PropsSI("H","T",J20+273.15,"P",101325,"Water")</f>
        <v>235274.71591873802</v>
      </c>
      <c r="U20" cm="1">
        <f t="array" ref="U20">[1]!PropsSI("H","T",K20+273.15,"P",101325,"Water")</f>
        <v>213810.28156843863</v>
      </c>
      <c r="V20">
        <f t="shared" si="2"/>
        <v>659.35329968242092</v>
      </c>
    </row>
    <row r="21" spans="1:22" x14ac:dyDescent="0.2">
      <c r="A21">
        <v>46122.811089699077</v>
      </c>
      <c r="B21">
        <v>20.455752</v>
      </c>
      <c r="C21">
        <v>20.415944</v>
      </c>
      <c r="D21">
        <v>20.136710000000001</v>
      </c>
      <c r="E21">
        <v>20.144527</v>
      </c>
      <c r="F21">
        <v>28.387046999999999</v>
      </c>
      <c r="G21">
        <v>25.988795</v>
      </c>
      <c r="H21">
        <v>24.810002999999998</v>
      </c>
      <c r="I21">
        <v>22.519687999999999</v>
      </c>
      <c r="J21">
        <v>56.184497999999998</v>
      </c>
      <c r="K21">
        <v>51.051087000000003</v>
      </c>
      <c r="L21">
        <v>260.99453899999997</v>
      </c>
      <c r="M21">
        <v>-622.48000100000002</v>
      </c>
      <c r="N21">
        <v>1.87094</v>
      </c>
      <c r="O21">
        <v>11.775575999999999</v>
      </c>
      <c r="P21">
        <f t="shared" si="0"/>
        <v>3.1182333333333335E-5</v>
      </c>
      <c r="Q21" cm="1">
        <f t="array" ref="Q21">[1]!PropsSI("D","T",J21+273.15,"P",101325,"Water")</f>
        <v>985.11522318908067</v>
      </c>
      <c r="R21" cm="1">
        <f t="array" ref="R21">[1]!PropsSI("D","T",K21+273.15,"P",101325,"Water")</f>
        <v>987.55603345449185</v>
      </c>
      <c r="S21">
        <f t="shared" si="1"/>
        <v>986.33562832178632</v>
      </c>
      <c r="T21" cm="1">
        <f t="array" ref="T21">[1]!PropsSI("H","T",J21+273.15,"P",101325,"Water")</f>
        <v>235284.03652332051</v>
      </c>
      <c r="U21" cm="1">
        <f t="array" ref="U21">[1]!PropsSI("H","T",K21+273.15,"P",101325,"Water")</f>
        <v>213813.60597912731</v>
      </c>
      <c r="V21">
        <f t="shared" si="2"/>
        <v>660.3498508618037</v>
      </c>
    </row>
    <row r="22" spans="1:22" x14ac:dyDescent="0.2">
      <c r="A22">
        <v>46122.811147569446</v>
      </c>
      <c r="B22">
        <v>20.283194999999999</v>
      </c>
      <c r="C22">
        <v>20.317498000000001</v>
      </c>
      <c r="D22">
        <v>20.145987000000002</v>
      </c>
      <c r="E22">
        <v>20.143370999999998</v>
      </c>
      <c r="F22">
        <v>28.211568</v>
      </c>
      <c r="G22">
        <v>25.967533</v>
      </c>
      <c r="H22">
        <v>25.007137</v>
      </c>
      <c r="I22">
        <v>22.394845</v>
      </c>
      <c r="J22">
        <v>56.186568000000001</v>
      </c>
      <c r="K22">
        <v>51.056967</v>
      </c>
      <c r="L22">
        <v>261.13045</v>
      </c>
      <c r="M22">
        <v>-622.48204199999998</v>
      </c>
      <c r="N22">
        <v>1.8710880000000001</v>
      </c>
      <c r="O22">
        <v>11.620248</v>
      </c>
      <c r="P22">
        <f t="shared" si="0"/>
        <v>3.11848E-5</v>
      </c>
      <c r="Q22" cm="1">
        <f t="array" ref="Q22">[1]!PropsSI("D","T",J22+273.15,"P",101325,"Water")</f>
        <v>985.11420576690182</v>
      </c>
      <c r="R22" cm="1">
        <f t="array" ref="R22">[1]!PropsSI("D","T",K22+273.15,"P",101325,"Water")</f>
        <v>987.55333353735921</v>
      </c>
      <c r="S22">
        <f t="shared" si="1"/>
        <v>986.33376965213051</v>
      </c>
      <c r="T22" cm="1">
        <f t="array" ref="T22">[1]!PropsSI("H","T",J22+273.15,"P",101325,"Water")</f>
        <v>235292.69615311982</v>
      </c>
      <c r="U22" cm="1">
        <f t="array" ref="U22">[1]!PropsSI("H","T",K22+273.15,"P",101325,"Water")</f>
        <v>213838.19407858214</v>
      </c>
      <c r="V22">
        <f t="shared" si="2"/>
        <v>659.91090534568286</v>
      </c>
    </row>
    <row r="23" spans="1:22" x14ac:dyDescent="0.2">
      <c r="A23">
        <v>46122.811206018516</v>
      </c>
      <c r="B23">
        <v>20.27261</v>
      </c>
      <c r="C23">
        <v>20.421690999999999</v>
      </c>
      <c r="D23">
        <v>20.122029000000001</v>
      </c>
      <c r="E23">
        <v>20.174569000000002</v>
      </c>
      <c r="F23">
        <v>27.895094</v>
      </c>
      <c r="G23">
        <v>26.008393999999999</v>
      </c>
      <c r="H23">
        <v>24.703337999999999</v>
      </c>
      <c r="I23">
        <v>22.322265000000002</v>
      </c>
      <c r="J23">
        <v>56.185930999999997</v>
      </c>
      <c r="K23">
        <v>51.060464000000003</v>
      </c>
      <c r="L23">
        <v>254.50098600000001</v>
      </c>
      <c r="M23">
        <v>-622.47347100000002</v>
      </c>
      <c r="N23">
        <v>1.8687069999999999</v>
      </c>
      <c r="O23">
        <v>11.566062000000001</v>
      </c>
      <c r="P23">
        <f t="shared" si="0"/>
        <v>3.1145116666666664E-5</v>
      </c>
      <c r="Q23" cm="1">
        <f t="array" ref="Q23">[1]!PropsSI("D","T",J23+273.15,"P",101325,"Water")</f>
        <v>985.11451886050304</v>
      </c>
      <c r="R23" cm="1">
        <f t="array" ref="R23">[1]!PropsSI("D","T",K23+273.15,"P",101325,"Water")</f>
        <v>987.55172771508171</v>
      </c>
      <c r="S23">
        <f t="shared" si="1"/>
        <v>986.33312328779243</v>
      </c>
      <c r="T23" cm="1">
        <f t="array" ref="T23">[1]!PropsSI("H","T",J23+273.15,"P",101325,"Water")</f>
        <v>235290.03132965221</v>
      </c>
      <c r="U23" cm="1">
        <f t="array" ref="U23">[1]!PropsSI("H","T",K23+273.15,"P",101325,"Water")</f>
        <v>213852.81731206118</v>
      </c>
      <c r="V23">
        <f t="shared" si="2"/>
        <v>658.53964274787268</v>
      </c>
    </row>
    <row r="24" spans="1:22" x14ac:dyDescent="0.2">
      <c r="A24">
        <v>46122.811264467593</v>
      </c>
      <c r="B24">
        <v>20.299909</v>
      </c>
      <c r="C24">
        <v>20.357056</v>
      </c>
      <c r="D24">
        <v>20.130756000000002</v>
      </c>
      <c r="E24">
        <v>20.256722</v>
      </c>
      <c r="F24">
        <v>28.249455999999999</v>
      </c>
      <c r="G24">
        <v>25.691040999999998</v>
      </c>
      <c r="H24">
        <v>24.60351</v>
      </c>
      <c r="I24">
        <v>22.339290999999999</v>
      </c>
      <c r="J24">
        <v>56.188000000000002</v>
      </c>
      <c r="K24">
        <v>51.063482999999998</v>
      </c>
      <c r="L24">
        <v>252.479455</v>
      </c>
      <c r="M24">
        <v>-622.49510199999997</v>
      </c>
      <c r="N24">
        <v>1.8735299999999999</v>
      </c>
      <c r="O24">
        <v>12.008421</v>
      </c>
      <c r="P24">
        <f t="shared" si="0"/>
        <v>3.1225500000000001E-5</v>
      </c>
      <c r="Q24" cm="1">
        <f t="array" ref="Q24">[1]!PropsSI("D","T",J24+273.15,"P",101325,"Water")</f>
        <v>985.11350191164968</v>
      </c>
      <c r="R24" cm="1">
        <f t="array" ref="R24">[1]!PropsSI("D","T",K24+273.15,"P",101325,"Water")</f>
        <v>987.55034132664343</v>
      </c>
      <c r="S24">
        <f t="shared" si="1"/>
        <v>986.33192161914656</v>
      </c>
      <c r="T24" cm="1">
        <f t="array" ref="T24">[1]!PropsSI("H","T",J24+273.15,"P",101325,"Water")</f>
        <v>235298.68677719007</v>
      </c>
      <c r="U24" cm="1">
        <f t="array" ref="U24">[1]!PropsSI("H","T",K24+273.15,"P",101325,"Water")</f>
        <v>213865.44171929706</v>
      </c>
      <c r="V24">
        <f t="shared" si="2"/>
        <v>660.11624356745801</v>
      </c>
    </row>
    <row r="25" spans="1:22" x14ac:dyDescent="0.2">
      <c r="A25">
        <v>46122.811322337962</v>
      </c>
      <c r="B25">
        <v>20.259934999999999</v>
      </c>
      <c r="C25">
        <v>20.273537999999999</v>
      </c>
      <c r="D25">
        <v>20.120837000000002</v>
      </c>
      <c r="E25">
        <v>20.142372999999999</v>
      </c>
      <c r="F25">
        <v>28.239896999999999</v>
      </c>
      <c r="G25">
        <v>25.903230000000001</v>
      </c>
      <c r="H25">
        <v>24.903677999999999</v>
      </c>
      <c r="I25">
        <v>22.187626000000002</v>
      </c>
      <c r="J25">
        <v>56.191661000000003</v>
      </c>
      <c r="K25">
        <v>51.063960000000002</v>
      </c>
      <c r="L25">
        <v>242.79422500000001</v>
      </c>
      <c r="M25">
        <v>-622.50530600000002</v>
      </c>
      <c r="N25">
        <v>1.872895</v>
      </c>
      <c r="O25">
        <v>11.579545</v>
      </c>
      <c r="P25">
        <f t="shared" si="0"/>
        <v>3.1214916666666668E-5</v>
      </c>
      <c r="Q25" cm="1">
        <f t="array" ref="Q25">[1]!PropsSI("D","T",J25+273.15,"P",101325,"Water")</f>
        <v>985.11170240329943</v>
      </c>
      <c r="R25" cm="1">
        <f t="array" ref="R25">[1]!PropsSI("D","T",K25+273.15,"P",101325,"Water")</f>
        <v>987.55012227277246</v>
      </c>
      <c r="S25">
        <f t="shared" si="1"/>
        <v>986.33091233803589</v>
      </c>
      <c r="T25" cm="1">
        <f t="array" ref="T25">[1]!PropsSI("H","T",J25+273.15,"P",101325,"Water")</f>
        <v>235314.00219607376</v>
      </c>
      <c r="U25" cm="1">
        <f t="array" ref="U25">[1]!PropsSI("H","T",K25+273.15,"P",101325,"Water")</f>
        <v>213867.43636758154</v>
      </c>
      <c r="V25">
        <f t="shared" si="2"/>
        <v>660.30195659056119</v>
      </c>
    </row>
    <row r="26" spans="1:22" x14ac:dyDescent="0.2">
      <c r="A26">
        <v>46122.81138078704</v>
      </c>
      <c r="B26">
        <v>20.294554000000002</v>
      </c>
      <c r="C26">
        <v>20.335958999999999</v>
      </c>
      <c r="D26">
        <v>20.111750000000001</v>
      </c>
      <c r="E26">
        <v>20.167842</v>
      </c>
      <c r="F26">
        <v>28.097131999999998</v>
      </c>
      <c r="G26">
        <v>25.794853</v>
      </c>
      <c r="H26">
        <v>24.870633999999999</v>
      </c>
      <c r="I26">
        <v>22.423026</v>
      </c>
      <c r="J26">
        <v>56.192774999999997</v>
      </c>
      <c r="K26">
        <v>51.065708000000001</v>
      </c>
      <c r="L26">
        <v>249.28124800000001</v>
      </c>
      <c r="M26">
        <v>-622.50530600000002</v>
      </c>
      <c r="N26">
        <v>1.8729929999999999</v>
      </c>
      <c r="O26">
        <v>11.179489</v>
      </c>
      <c r="P26">
        <f t="shared" si="0"/>
        <v>3.1216549999999998E-5</v>
      </c>
      <c r="Q26" cm="1">
        <f t="array" ref="Q26">[1]!PropsSI("D","T",J26+273.15,"P",101325,"Water")</f>
        <v>985.1111548173875</v>
      </c>
      <c r="R26" cm="1">
        <f t="array" ref="R26">[1]!PropsSI("D","T",K26+273.15,"P",101325,"Water")</f>
        <v>987.54931952189997</v>
      </c>
      <c r="S26">
        <f t="shared" si="1"/>
        <v>986.33023716964374</v>
      </c>
      <c r="T26" cm="1">
        <f t="array" ref="T26">[1]!PropsSI("H","T",J26+273.15,"P",101325,"Water")</f>
        <v>235318.66250209548</v>
      </c>
      <c r="U26" cm="1">
        <f t="array" ref="U26">[1]!PropsSI("H","T",K26+273.15,"P",101325,"Water")</f>
        <v>213874.74589669897</v>
      </c>
      <c r="V26">
        <f t="shared" si="2"/>
        <v>660.25448602336348</v>
      </c>
    </row>
    <row r="27" spans="1:22" x14ac:dyDescent="0.2">
      <c r="A27">
        <v>46122.811438657409</v>
      </c>
      <c r="B27">
        <v>20.302938000000001</v>
      </c>
      <c r="C27">
        <v>20.309446999999999</v>
      </c>
      <c r="D27">
        <v>20.130509</v>
      </c>
      <c r="E27">
        <v>20.221558999999999</v>
      </c>
      <c r="F27">
        <v>28.083798999999999</v>
      </c>
      <c r="G27">
        <v>25.932638000000001</v>
      </c>
      <c r="H27">
        <v>24.888470999999999</v>
      </c>
      <c r="I27">
        <v>22.173752</v>
      </c>
      <c r="J27">
        <v>56.191183000000002</v>
      </c>
      <c r="K27">
        <v>51.063960000000002</v>
      </c>
      <c r="L27">
        <v>254.81525600000001</v>
      </c>
      <c r="M27">
        <v>-622.48122499999999</v>
      </c>
      <c r="N27">
        <v>1.8709150000000001</v>
      </c>
      <c r="O27">
        <v>11.728047999999999</v>
      </c>
      <c r="P27">
        <f t="shared" si="0"/>
        <v>3.118191666666667E-5</v>
      </c>
      <c r="Q27" cm="1">
        <f t="array" ref="Q27">[1]!PropsSI("D","T",J27+273.15,"P",101325,"Water")</f>
        <v>985.11193736152927</v>
      </c>
      <c r="R27" cm="1">
        <f t="array" ref="R27">[1]!PropsSI("D","T",K27+273.15,"P",101325,"Water")</f>
        <v>987.55012227277246</v>
      </c>
      <c r="S27">
        <f t="shared" si="1"/>
        <v>986.33102981715092</v>
      </c>
      <c r="T27" cm="1">
        <f t="array" ref="T27">[1]!PropsSI("H","T",J27+273.15,"P",101325,"Water")</f>
        <v>235312.00253171488</v>
      </c>
      <c r="U27" cm="1">
        <f t="array" ref="U27">[1]!PropsSI("H","T",K27+273.15,"P",101325,"Water")</f>
        <v>213867.43636758154</v>
      </c>
      <c r="V27">
        <f t="shared" si="2"/>
        <v>659.54247153533072</v>
      </c>
    </row>
    <row r="28" spans="1:22" x14ac:dyDescent="0.2">
      <c r="A28">
        <v>46122.811496527778</v>
      </c>
      <c r="B28">
        <v>20.247026999999999</v>
      </c>
      <c r="C28">
        <v>20.282563</v>
      </c>
      <c r="D28">
        <v>20.051397000000001</v>
      </c>
      <c r="E28">
        <v>20.1922</v>
      </c>
      <c r="F28">
        <v>28.049707999999999</v>
      </c>
      <c r="G28">
        <v>25.768798</v>
      </c>
      <c r="H28">
        <v>24.909379999999999</v>
      </c>
      <c r="I28">
        <v>22.481048999999999</v>
      </c>
      <c r="J28">
        <v>56.190227999999998</v>
      </c>
      <c r="K28">
        <v>51.062370999999999</v>
      </c>
      <c r="L28">
        <v>266.66976499999998</v>
      </c>
      <c r="M28">
        <v>-622.49632699999995</v>
      </c>
      <c r="N28">
        <v>1.8715919999999999</v>
      </c>
      <c r="O28">
        <v>11.66029</v>
      </c>
      <c r="P28">
        <f t="shared" si="0"/>
        <v>3.1193199999999998E-5</v>
      </c>
      <c r="Q28" cm="1">
        <f t="array" ref="Q28">[1]!PropsSI("D","T",J28+273.15,"P",101325,"Water")</f>
        <v>985.11240678224669</v>
      </c>
      <c r="R28" cm="1">
        <f t="array" ref="R28">[1]!PropsSI("D","T",K28+273.15,"P",101325,"Water")</f>
        <v>987.55085198734309</v>
      </c>
      <c r="S28">
        <f t="shared" si="1"/>
        <v>986.33162938479495</v>
      </c>
      <c r="T28" cm="1">
        <f t="array" ref="T28">[1]!PropsSI("H","T",J28+273.15,"P",101325,"Water")</f>
        <v>235308.00738660039</v>
      </c>
      <c r="U28" cm="1">
        <f t="array" ref="U28">[1]!PropsSI("H","T",K28+273.15,"P",101325,"Water")</f>
        <v>213860.79172204432</v>
      </c>
      <c r="V28">
        <f t="shared" si="2"/>
        <v>659.86304811551634</v>
      </c>
    </row>
    <row r="29" spans="1:22" x14ac:dyDescent="0.2">
      <c r="A29">
        <v>46122.811554976855</v>
      </c>
      <c r="B29">
        <v>20.230454999999999</v>
      </c>
      <c r="C29">
        <v>20.233391999999998</v>
      </c>
      <c r="D29">
        <v>20.141518999999999</v>
      </c>
      <c r="E29">
        <v>20.169046000000002</v>
      </c>
      <c r="F29">
        <v>28.170960999999998</v>
      </c>
      <c r="G29">
        <v>25.580016000000001</v>
      </c>
      <c r="H29">
        <v>25.211061000000001</v>
      </c>
      <c r="I29">
        <v>22.513200999999999</v>
      </c>
      <c r="J29">
        <v>56.189591999999998</v>
      </c>
      <c r="K29">
        <v>51.062370999999999</v>
      </c>
      <c r="L29">
        <v>241.02860000000001</v>
      </c>
      <c r="M29">
        <v>-622.46612400000004</v>
      </c>
      <c r="N29">
        <v>1.8737470000000001</v>
      </c>
      <c r="O29">
        <v>11.838594000000001</v>
      </c>
      <c r="P29">
        <f t="shared" si="0"/>
        <v>3.1229116666666666E-5</v>
      </c>
      <c r="Q29" cm="1">
        <f t="array" ref="Q29">[1]!PropsSI("D","T",J29+273.15,"P",101325,"Water")</f>
        <v>985.11271939860751</v>
      </c>
      <c r="R29" cm="1">
        <f t="array" ref="R29">[1]!PropsSI("D","T",K29+273.15,"P",101325,"Water")</f>
        <v>987.55085198734309</v>
      </c>
      <c r="S29">
        <f t="shared" si="1"/>
        <v>986.33178569297525</v>
      </c>
      <c r="T29" cm="1">
        <f t="array" ref="T29">[1]!PropsSI("H","T",J29+273.15,"P",101325,"Water")</f>
        <v>235305.34674565596</v>
      </c>
      <c r="U29" cm="1">
        <f t="array" ref="U29">[1]!PropsSI("H","T",K29+273.15,"P",101325,"Water")</f>
        <v>213860.79172204432</v>
      </c>
      <c r="V29">
        <f t="shared" si="2"/>
        <v>660.54098260467424</v>
      </c>
    </row>
    <row r="30" spans="1:22" x14ac:dyDescent="0.2">
      <c r="A30">
        <v>46122.811613425925</v>
      </c>
      <c r="B30">
        <v>20.232724999999999</v>
      </c>
      <c r="C30">
        <v>20.215907000000001</v>
      </c>
      <c r="D30">
        <v>20.157698</v>
      </c>
      <c r="E30">
        <v>20.245940000000001</v>
      </c>
      <c r="F30">
        <v>28.135151</v>
      </c>
      <c r="G30">
        <v>25.587263</v>
      </c>
      <c r="H30">
        <v>25.243304999999999</v>
      </c>
      <c r="I30">
        <v>22.666243000000001</v>
      </c>
      <c r="J30">
        <v>56.191661000000003</v>
      </c>
      <c r="K30">
        <v>51.065866999999997</v>
      </c>
      <c r="L30">
        <v>252.52475899999999</v>
      </c>
      <c r="M30">
        <v>-622.49306200000001</v>
      </c>
      <c r="N30">
        <v>1.8755500000000001</v>
      </c>
      <c r="O30">
        <v>11.549198000000001</v>
      </c>
      <c r="P30">
        <f t="shared" si="0"/>
        <v>3.1259166666666667E-5</v>
      </c>
      <c r="Q30" cm="1">
        <f t="array" ref="Q30">[1]!PropsSI("D","T",J30+273.15,"P",101325,"Water")</f>
        <v>985.11170240329943</v>
      </c>
      <c r="R30" cm="1">
        <f t="array" ref="R30">[1]!PropsSI("D","T",K30+273.15,"P",101325,"Water")</f>
        <v>987.54924650186103</v>
      </c>
      <c r="S30">
        <f t="shared" si="1"/>
        <v>986.33047445258023</v>
      </c>
      <c r="T30" cm="1">
        <f t="array" ref="T30">[1]!PropsSI("H","T",J30+273.15,"P",101325,"Water")</f>
        <v>235314.00219607376</v>
      </c>
      <c r="U30" cm="1">
        <f t="array" ref="U30">[1]!PropsSI("H","T",K30+273.15,"P",101325,"Water")</f>
        <v>213875.41077954712</v>
      </c>
      <c r="V30">
        <f t="shared" si="2"/>
        <v>660.99183543845277</v>
      </c>
    </row>
    <row r="31" spans="1:22" x14ac:dyDescent="0.2">
      <c r="A31">
        <v>46122.811671875003</v>
      </c>
      <c r="B31">
        <v>20.430730000000001</v>
      </c>
      <c r="C31">
        <v>20.397397999999999</v>
      </c>
      <c r="D31">
        <v>20.240728000000001</v>
      </c>
      <c r="E31">
        <v>20.270682000000001</v>
      </c>
      <c r="F31">
        <v>28.192357999999999</v>
      </c>
      <c r="G31">
        <v>25.845972</v>
      </c>
      <c r="H31">
        <v>25.050032999999999</v>
      </c>
      <c r="I31">
        <v>22.557994999999998</v>
      </c>
      <c r="J31">
        <v>56.194208000000003</v>
      </c>
      <c r="K31">
        <v>51.069046</v>
      </c>
      <c r="L31">
        <v>260.54149999999998</v>
      </c>
      <c r="M31">
        <v>-622.468165</v>
      </c>
      <c r="N31">
        <v>1.8751279999999999</v>
      </c>
      <c r="O31">
        <v>11.758153</v>
      </c>
      <c r="P31">
        <f t="shared" si="0"/>
        <v>3.1252133333333332E-5</v>
      </c>
      <c r="Q31" cm="1">
        <f t="array" ref="Q31">[1]!PropsSI("D","T",J31+273.15,"P",101325,"Water")</f>
        <v>985.11045041606508</v>
      </c>
      <c r="R31" cm="1">
        <f t="array" ref="R31">[1]!PropsSI("D","T",K31+273.15,"P",101325,"Water")</f>
        <v>987.54778652507503</v>
      </c>
      <c r="S31">
        <f t="shared" si="1"/>
        <v>986.32911847057005</v>
      </c>
      <c r="T31" cm="1">
        <f t="array" ref="T31">[1]!PropsSI("H","T",J31+273.15,"P",101325,"Water")</f>
        <v>235324.65731293842</v>
      </c>
      <c r="U31" cm="1">
        <f t="array" ref="U31">[1]!PropsSI("H","T",K31+273.15,"P",101325,"Water")</f>
        <v>213888.7042564255</v>
      </c>
      <c r="V31">
        <f t="shared" si="2"/>
        <v>660.76087616978725</v>
      </c>
    </row>
    <row r="32" spans="1:22" x14ac:dyDescent="0.2">
      <c r="A32">
        <v>46122.811729745372</v>
      </c>
      <c r="B32">
        <v>20.451160000000002</v>
      </c>
      <c r="C32">
        <v>20.409531999999999</v>
      </c>
      <c r="D32">
        <v>20.125423999999999</v>
      </c>
      <c r="E32">
        <v>20.148751000000001</v>
      </c>
      <c r="F32">
        <v>28.133081000000001</v>
      </c>
      <c r="G32">
        <v>25.766715000000001</v>
      </c>
      <c r="H32">
        <v>24.701647000000001</v>
      </c>
      <c r="I32">
        <v>22.203980000000001</v>
      </c>
      <c r="J32">
        <v>56.195639999999997</v>
      </c>
      <c r="K32">
        <v>51.070953000000003</v>
      </c>
      <c r="L32">
        <v>250.180386</v>
      </c>
      <c r="M32">
        <v>-622.49632699999995</v>
      </c>
      <c r="N32">
        <v>1.8706739999999999</v>
      </c>
      <c r="O32">
        <v>11.865470999999999</v>
      </c>
      <c r="P32">
        <f t="shared" si="0"/>
        <v>3.1177899999999998E-5</v>
      </c>
      <c r="Q32" cm="1">
        <f t="array" ref="Q32">[1]!PropsSI("D","T",J32+273.15,"P",101325,"Water")</f>
        <v>985.10974649372599</v>
      </c>
      <c r="R32" cm="1">
        <f t="array" ref="R32">[1]!PropsSI("D","T",K32+273.15,"P",101325,"Water")</f>
        <v>987.54691069128592</v>
      </c>
      <c r="S32">
        <f t="shared" si="1"/>
        <v>986.32832859250595</v>
      </c>
      <c r="T32" cm="1">
        <f t="array" ref="T32">[1]!PropsSI("H","T",J32+273.15,"P",101325,"Water")</f>
        <v>235330.64794122646</v>
      </c>
      <c r="U32" cm="1">
        <f t="array" ref="U32">[1]!PropsSI("H","T",K32+273.15,"P",101325,"Water")</f>
        <v>213896.67867129485</v>
      </c>
      <c r="V32">
        <f t="shared" si="2"/>
        <v>659.12983527860001</v>
      </c>
    </row>
    <row r="33" spans="1:22" x14ac:dyDescent="0.2">
      <c r="A33">
        <v>46122.811788194442</v>
      </c>
      <c r="B33">
        <v>20.329702000000001</v>
      </c>
      <c r="C33">
        <v>20.203410999999999</v>
      </c>
      <c r="D33">
        <v>20.174222</v>
      </c>
      <c r="E33">
        <v>20.112269000000001</v>
      </c>
      <c r="F33">
        <v>28.055917000000001</v>
      </c>
      <c r="G33">
        <v>25.857968</v>
      </c>
      <c r="H33">
        <v>24.819538999999999</v>
      </c>
      <c r="I33">
        <v>22.482738000000001</v>
      </c>
      <c r="J33">
        <v>56.196913000000002</v>
      </c>
      <c r="K33">
        <v>51.074131000000001</v>
      </c>
      <c r="L33">
        <v>255.956423</v>
      </c>
      <c r="M33">
        <v>-622.48857199999998</v>
      </c>
      <c r="N33">
        <v>1.864773</v>
      </c>
      <c r="O33">
        <v>11.485353999999999</v>
      </c>
      <c r="P33">
        <f t="shared" si="0"/>
        <v>3.1079550000000003E-5</v>
      </c>
      <c r="Q33" cm="1">
        <f t="array" ref="Q33">[1]!PropsSI("D","T",J33+273.15,"P",101325,"Water")</f>
        <v>985.10912071980863</v>
      </c>
      <c r="R33" cm="1">
        <f t="array" ref="R33">[1]!PropsSI("D","T",K33+273.15,"P",101325,"Water")</f>
        <v>987.54545106907301</v>
      </c>
      <c r="S33">
        <f t="shared" si="1"/>
        <v>986.32728589444082</v>
      </c>
      <c r="T33" cm="1">
        <f t="array" ref="T33">[1]!PropsSI("H","T",J33+273.15,"P",101325,"Water")</f>
        <v>235335.9734095243</v>
      </c>
      <c r="U33" cm="1">
        <f t="array" ref="U33">[1]!PropsSI("H","T",K33+273.15,"P",101325,"Water")</f>
        <v>213909.9679713519</v>
      </c>
      <c r="V33">
        <f t="shared" si="2"/>
        <v>656.80580196226094</v>
      </c>
    </row>
    <row r="34" spans="1:22" x14ac:dyDescent="0.2">
      <c r="A34">
        <v>46122.811846064818</v>
      </c>
      <c r="B34">
        <v>20.452888999999999</v>
      </c>
      <c r="C34">
        <v>20.247333999999999</v>
      </c>
      <c r="D34">
        <v>20.125513000000002</v>
      </c>
      <c r="E34">
        <v>20.197776000000001</v>
      </c>
      <c r="F34">
        <v>28.249780000000001</v>
      </c>
      <c r="G34">
        <v>25.980972000000001</v>
      </c>
      <c r="H34">
        <v>25.13636</v>
      </c>
      <c r="I34">
        <v>22.285882999999998</v>
      </c>
      <c r="J34">
        <v>56.196595000000002</v>
      </c>
      <c r="K34">
        <v>51.070317000000003</v>
      </c>
      <c r="L34">
        <v>236.379445</v>
      </c>
      <c r="M34">
        <v>-622.50081599999999</v>
      </c>
      <c r="N34">
        <v>1.869432</v>
      </c>
      <c r="O34">
        <v>11.703891</v>
      </c>
      <c r="P34">
        <f t="shared" si="0"/>
        <v>3.11572E-5</v>
      </c>
      <c r="Q34" cm="1">
        <f t="array" ref="Q34">[1]!PropsSI("D","T",J34+273.15,"P",101325,"Water")</f>
        <v>985.10927704131143</v>
      </c>
      <c r="R34" cm="1">
        <f t="array" ref="R34">[1]!PropsSI("D","T",K34+273.15,"P",101325,"Water")</f>
        <v>987.54720279160495</v>
      </c>
      <c r="S34">
        <f t="shared" si="1"/>
        <v>986.32823991645819</v>
      </c>
      <c r="T34" cm="1">
        <f t="array" ref="T34">[1]!PropsSI("H","T",J34+273.15,"P",101325,"Water")</f>
        <v>235334.64308824087</v>
      </c>
      <c r="U34" cm="1">
        <f t="array" ref="U34">[1]!PropsSI("H","T",K34+273.15,"P",101325,"Water")</f>
        <v>213894.01913894893</v>
      </c>
      <c r="V34">
        <f t="shared" si="2"/>
        <v>658.89666524223639</v>
      </c>
    </row>
    <row r="35" spans="1:22" x14ac:dyDescent="0.2">
      <c r="A35">
        <v>46122.811903935188</v>
      </c>
      <c r="B35">
        <v>20.450735000000002</v>
      </c>
      <c r="C35">
        <v>20.299529</v>
      </c>
      <c r="D35">
        <v>20.189302999999999</v>
      </c>
      <c r="E35">
        <v>20.245746</v>
      </c>
      <c r="F35">
        <v>28.21331</v>
      </c>
      <c r="G35">
        <v>25.751213</v>
      </c>
      <c r="H35">
        <v>25.085664000000001</v>
      </c>
      <c r="I35">
        <v>22.587347999999999</v>
      </c>
      <c r="J35">
        <v>56.195957999999997</v>
      </c>
      <c r="K35">
        <v>51.069839999999999</v>
      </c>
      <c r="L35">
        <v>272.93679800000001</v>
      </c>
      <c r="M35">
        <v>-622.48775599999999</v>
      </c>
      <c r="N35">
        <v>1.8703380000000001</v>
      </c>
      <c r="O35">
        <v>11.610628</v>
      </c>
      <c r="P35">
        <f t="shared" si="0"/>
        <v>3.11723E-5</v>
      </c>
      <c r="Q35" cm="1">
        <f t="array" ref="Q35">[1]!PropsSI("D","T",J35+273.15,"P",101325,"Water")</f>
        <v>985.10959017408038</v>
      </c>
      <c r="R35" cm="1">
        <f t="array" ref="R35">[1]!PropsSI("D","T",K35+273.15,"P",101325,"Water")</f>
        <v>987.54742186511021</v>
      </c>
      <c r="S35">
        <f t="shared" si="1"/>
        <v>986.32850601959535</v>
      </c>
      <c r="T35" cm="1">
        <f t="array" ref="T35">[1]!PropsSI("H","T",J35+273.15,"P",101325,"Water")</f>
        <v>235331.97826230669</v>
      </c>
      <c r="U35" cm="1">
        <f t="array" ref="U35">[1]!PropsSI("H","T",K35+273.15,"P",101325,"Water")</f>
        <v>213892.02448979224</v>
      </c>
      <c r="V35">
        <f t="shared" si="2"/>
        <v>659.19556489470096</v>
      </c>
    </row>
    <row r="36" spans="1:22" x14ac:dyDescent="0.2">
      <c r="A36">
        <v>46122.811962384258</v>
      </c>
      <c r="B36">
        <v>20.250126999999999</v>
      </c>
      <c r="C36">
        <v>20.321624</v>
      </c>
      <c r="D36">
        <v>20.128291000000001</v>
      </c>
      <c r="E36">
        <v>20.216146999999999</v>
      </c>
      <c r="F36">
        <v>27.989727999999999</v>
      </c>
      <c r="G36">
        <v>26.013188</v>
      </c>
      <c r="H36">
        <v>24.843871</v>
      </c>
      <c r="I36">
        <v>22.239975000000001</v>
      </c>
      <c r="J36">
        <v>56.192934000000001</v>
      </c>
      <c r="K36">
        <v>51.060780999999999</v>
      </c>
      <c r="L36">
        <v>254.60302200000001</v>
      </c>
      <c r="M36">
        <v>-622.48244999999997</v>
      </c>
      <c r="N36">
        <v>1.871219</v>
      </c>
      <c r="O36">
        <v>11.730551999999999</v>
      </c>
      <c r="P36">
        <f t="shared" si="0"/>
        <v>3.1186983333333335E-5</v>
      </c>
      <c r="Q36" cm="1">
        <f t="array" ref="Q36">[1]!PropsSI("D","T",J36+273.15,"P",101325,"Water")</f>
        <v>985.11107666042346</v>
      </c>
      <c r="R36" cm="1">
        <f t="array" ref="R36">[1]!PropsSI("D","T",K36+273.15,"P",101325,"Water")</f>
        <v>987.55158214474375</v>
      </c>
      <c r="S36">
        <f t="shared" si="1"/>
        <v>986.33132940258361</v>
      </c>
      <c r="T36" cm="1">
        <f t="array" ref="T36">[1]!PropsSI("H","T",J36+273.15,"P",101325,"Water")</f>
        <v>235319.32766255154</v>
      </c>
      <c r="U36" cm="1">
        <f t="array" ref="U36">[1]!PropsSI("H","T",K36+273.15,"P",101325,"Water")</f>
        <v>213854.14289559642</v>
      </c>
      <c r="V36">
        <f t="shared" si="2"/>
        <v>660.28408182634121</v>
      </c>
    </row>
    <row r="37" spans="1:22" x14ac:dyDescent="0.2">
      <c r="A37">
        <v>46122.812020254627</v>
      </c>
      <c r="B37">
        <v>20.464255000000001</v>
      </c>
      <c r="C37">
        <v>20.351478</v>
      </c>
      <c r="D37">
        <v>20.174854</v>
      </c>
      <c r="E37">
        <v>20.212606000000001</v>
      </c>
      <c r="F37">
        <v>28.157810999999999</v>
      </c>
      <c r="G37">
        <v>25.686919</v>
      </c>
      <c r="H37">
        <v>24.47561</v>
      </c>
      <c r="I37">
        <v>22.298856000000001</v>
      </c>
      <c r="J37">
        <v>56.193730000000002</v>
      </c>
      <c r="K37">
        <v>51.068568999999997</v>
      </c>
      <c r="L37">
        <v>266.75016900000003</v>
      </c>
      <c r="M37">
        <v>-622.49755100000004</v>
      </c>
      <c r="N37">
        <v>1.8710260000000001</v>
      </c>
      <c r="O37">
        <v>11.65311</v>
      </c>
      <c r="P37">
        <f t="shared" si="0"/>
        <v>3.1183766666666664E-5</v>
      </c>
      <c r="Q37" cm="1">
        <f t="array" ref="Q37">[1]!PropsSI("D","T",J37+273.15,"P",101325,"Water")</f>
        <v>985.11068538176312</v>
      </c>
      <c r="R37" cm="1">
        <f t="array" ref="R37">[1]!PropsSI("D","T",K37+273.15,"P",101325,"Water")</f>
        <v>987.5480055946515</v>
      </c>
      <c r="S37">
        <f t="shared" si="1"/>
        <v>986.32934548820731</v>
      </c>
      <c r="T37" cm="1">
        <f t="array" ref="T37">[1]!PropsSI("H","T",J37+273.15,"P",101325,"Water")</f>
        <v>235322.65764812334</v>
      </c>
      <c r="U37" cm="1">
        <f t="array" ref="U37">[1]!PropsSI("H","T",K37+273.15,"P",101325,"Water")</f>
        <v>213886.709607428</v>
      </c>
      <c r="V37">
        <f t="shared" si="2"/>
        <v>659.31540373000416</v>
      </c>
    </row>
    <row r="38" spans="1:22" x14ac:dyDescent="0.2">
      <c r="A38">
        <v>44660.812078703901</v>
      </c>
      <c r="B38">
        <v>20.443854000000002</v>
      </c>
      <c r="C38">
        <v>20.512324</v>
      </c>
      <c r="D38">
        <v>20.177140999999999</v>
      </c>
      <c r="E38">
        <v>20.261047000000001</v>
      </c>
      <c r="F38">
        <v>28.165566999999999</v>
      </c>
      <c r="G38">
        <v>26.012604</v>
      </c>
      <c r="H38">
        <v>25.052109999999999</v>
      </c>
      <c r="I38">
        <v>22.568947000000001</v>
      </c>
      <c r="J38">
        <v>56.193252999999999</v>
      </c>
      <c r="K38">
        <v>51.073177999999999</v>
      </c>
      <c r="L38">
        <v>244.88187600000001</v>
      </c>
      <c r="M38">
        <v>-622.48489900000004</v>
      </c>
      <c r="N38">
        <v>1.8692519999999999</v>
      </c>
      <c r="O38">
        <v>11.672719000000001</v>
      </c>
      <c r="P38">
        <f t="shared" si="0"/>
        <v>3.1154200000000001E-5</v>
      </c>
      <c r="Q38" cm="1">
        <f t="array" ref="Q38">[1]!PropsSI("D","T",J38+273.15,"P",101325,"Water")</f>
        <v>985.11091985450787</v>
      </c>
      <c r="R38" cm="1">
        <f t="array" ref="R38">[1]!PropsSI("D","T",K38+273.15,"P",101325,"Water")</f>
        <v>987.54588877887079</v>
      </c>
      <c r="S38">
        <f t="shared" si="1"/>
        <v>986.32840431668933</v>
      </c>
      <c r="T38" cm="1">
        <f t="array" ref="T38">[1]!PropsSI("H","T",J38+273.15,"P",101325,"Water")</f>
        <v>235320.66216673458</v>
      </c>
      <c r="U38" cm="1">
        <f t="array" ref="U38">[1]!PropsSI("H","T",K38+273.15,"P",101325,"Water")</f>
        <v>213905.98285366126</v>
      </c>
      <c r="V38">
        <f t="shared" si="2"/>
        <v>658.03609872890479</v>
      </c>
    </row>
    <row r="39" spans="1:22" x14ac:dyDescent="0.2">
      <c r="A39">
        <v>44660.812137152898</v>
      </c>
      <c r="B39">
        <v>20.511362999999999</v>
      </c>
      <c r="C39">
        <v>20.361049000000001</v>
      </c>
      <c r="D39">
        <v>20.067892000000001</v>
      </c>
      <c r="E39">
        <v>20.115473999999999</v>
      </c>
      <c r="F39">
        <v>28.323951000000001</v>
      </c>
      <c r="G39">
        <v>25.605812</v>
      </c>
      <c r="H39">
        <v>24.966011000000002</v>
      </c>
      <c r="I39">
        <v>22.496755</v>
      </c>
      <c r="J39">
        <v>56.194367</v>
      </c>
      <c r="K39">
        <v>51.074767000000001</v>
      </c>
      <c r="L39">
        <v>258.09876500000001</v>
      </c>
      <c r="M39">
        <v>-622.50367300000005</v>
      </c>
      <c r="N39">
        <v>1.872317</v>
      </c>
      <c r="O39">
        <v>11.691755000000001</v>
      </c>
      <c r="P39">
        <f t="shared" si="0"/>
        <v>3.1205283333333334E-5</v>
      </c>
      <c r="Q39" cm="1">
        <f t="array" ref="Q39">[1]!PropsSI("D","T",J39+273.15,"P",101325,"Water")</f>
        <v>985.1103722577185</v>
      </c>
      <c r="R39" cm="1">
        <f t="array" ref="R39">[1]!PropsSI("D","T",K39+273.15,"P",101325,"Water")</f>
        <v>987.54515895307122</v>
      </c>
      <c r="S39">
        <f t="shared" si="1"/>
        <v>986.32776560539492</v>
      </c>
      <c r="T39" cm="1">
        <f t="array" ref="T39">[1]!PropsSI("H","T",J39+273.15,"P",101325,"Water")</f>
        <v>235325.32247345839</v>
      </c>
      <c r="U39" cm="1">
        <f t="array" ref="U39">[1]!PropsSI("H","T",K39+273.15,"P",101325,"Water")</f>
        <v>213912.62750433601</v>
      </c>
      <c r="V39">
        <f t="shared" si="2"/>
        <v>659.05357389558355</v>
      </c>
    </row>
    <row r="40" spans="1:22" x14ac:dyDescent="0.2">
      <c r="A40">
        <v>44660.812195601997</v>
      </c>
      <c r="B40">
        <v>20.367079</v>
      </c>
      <c r="C40">
        <v>20.318027000000001</v>
      </c>
      <c r="D40">
        <v>20.083838</v>
      </c>
      <c r="E40">
        <v>20.120918</v>
      </c>
      <c r="F40">
        <v>28.225605000000002</v>
      </c>
      <c r="G40">
        <v>25.748394999999999</v>
      </c>
      <c r="H40">
        <v>25.150220000000001</v>
      </c>
      <c r="I40">
        <v>22.595590999999999</v>
      </c>
      <c r="J40">
        <v>56.191661000000003</v>
      </c>
      <c r="K40">
        <v>51.068568999999997</v>
      </c>
      <c r="L40">
        <v>267.21300300000001</v>
      </c>
      <c r="M40">
        <v>-622.46734900000001</v>
      </c>
      <c r="N40">
        <v>1.8700589999999999</v>
      </c>
      <c r="O40">
        <v>11.804181</v>
      </c>
      <c r="P40">
        <f t="shared" si="0"/>
        <v>3.116765E-5</v>
      </c>
      <c r="Q40" cm="1">
        <f t="array" ref="Q40">[1]!PropsSI("D","T",J40+273.15,"P",101325,"Water")</f>
        <v>985.11170240329943</v>
      </c>
      <c r="R40" cm="1">
        <f t="array" ref="R40">[1]!PropsSI("D","T",K40+273.15,"P",101325,"Water")</f>
        <v>987.5480055946515</v>
      </c>
      <c r="S40">
        <f t="shared" si="1"/>
        <v>986.32985399897552</v>
      </c>
      <c r="T40" cm="1">
        <f t="array" ref="T40">[1]!PropsSI("H","T",J40+273.15,"P",101325,"Water")</f>
        <v>235314.00219607376</v>
      </c>
      <c r="U40" cm="1">
        <f t="array" ref="U40">[1]!PropsSI("H","T",K40+273.15,"P",101325,"Water")</f>
        <v>213886.709607428</v>
      </c>
      <c r="V40">
        <f t="shared" si="2"/>
        <v>658.7089080209447</v>
      </c>
    </row>
    <row r="41" spans="1:22" x14ac:dyDescent="0.2">
      <c r="A41">
        <v>44660.812253472403</v>
      </c>
      <c r="B41">
        <v>20.230737999999999</v>
      </c>
      <c r="C41">
        <v>20.367637999999999</v>
      </c>
      <c r="D41">
        <v>20.128568000000001</v>
      </c>
      <c r="E41">
        <v>20.146349000000001</v>
      </c>
      <c r="F41">
        <v>28.073405999999999</v>
      </c>
      <c r="G41">
        <v>25.902614</v>
      </c>
      <c r="H41">
        <v>24.874863999999999</v>
      </c>
      <c r="I41">
        <v>22.510159999999999</v>
      </c>
      <c r="J41">
        <v>56.188796000000004</v>
      </c>
      <c r="K41">
        <v>51.067138</v>
      </c>
      <c r="L41">
        <v>255.121771</v>
      </c>
      <c r="M41">
        <v>-622.48979599999996</v>
      </c>
      <c r="N41">
        <v>1.8720829999999999</v>
      </c>
      <c r="O41">
        <v>11.756449999999999</v>
      </c>
      <c r="P41">
        <f t="shared" si="0"/>
        <v>3.1201383333333332E-5</v>
      </c>
      <c r="Q41" cm="1">
        <f t="array" ref="Q41">[1]!PropsSI("D","T",J41+273.15,"P",101325,"Water")</f>
        <v>985.11311065706923</v>
      </c>
      <c r="R41" cm="1">
        <f t="array" ref="R41">[1]!PropsSI("D","T",K41+273.15,"P",101325,"Water")</f>
        <v>987.54866279453586</v>
      </c>
      <c r="S41">
        <f t="shared" si="1"/>
        <v>986.33088672580254</v>
      </c>
      <c r="T41" cm="1">
        <f t="array" ref="T41">[1]!PropsSI("H","T",J41+273.15,"P",101325,"Water")</f>
        <v>235302.01676129599</v>
      </c>
      <c r="U41" cm="1">
        <f t="array" ref="U41">[1]!PropsSI("H","T",K41+273.15,"P",101325,"Water")</f>
        <v>213880.72566094753</v>
      </c>
      <c r="V41">
        <f t="shared" si="2"/>
        <v>659.23783636164251</v>
      </c>
    </row>
    <row r="42" spans="1:22" x14ac:dyDescent="0.2">
      <c r="A42">
        <v>46122.81231134259</v>
      </c>
      <c r="B42">
        <v>20.319960999999999</v>
      </c>
      <c r="C42">
        <v>20.346526000000001</v>
      </c>
      <c r="D42">
        <v>20.090976999999999</v>
      </c>
      <c r="E42">
        <v>20.191853999999999</v>
      </c>
      <c r="F42">
        <v>28.215926</v>
      </c>
      <c r="G42">
        <v>25.930969999999999</v>
      </c>
      <c r="H42">
        <v>24.873044</v>
      </c>
      <c r="I42">
        <v>22.208881000000002</v>
      </c>
      <c r="J42">
        <v>56.188158999999999</v>
      </c>
      <c r="K42">
        <v>51.065072000000001</v>
      </c>
      <c r="L42">
        <v>258.55425300000002</v>
      </c>
      <c r="M42">
        <v>-622.480817</v>
      </c>
      <c r="N42">
        <v>1.872485</v>
      </c>
      <c r="O42">
        <v>11.16255</v>
      </c>
      <c r="P42">
        <f t="shared" si="0"/>
        <v>3.1208083333333334E-5</v>
      </c>
      <c r="Q42" cm="1">
        <f t="array" ref="Q42">[1]!PropsSI("D","T",J42+273.15,"P",101325,"Water")</f>
        <v>985.11342375934862</v>
      </c>
      <c r="R42" cm="1">
        <f t="array" ref="R42">[1]!PropsSI("D","T",K42+273.15,"P",101325,"Water")</f>
        <v>987.54961160061703</v>
      </c>
      <c r="S42">
        <f t="shared" si="1"/>
        <v>986.33151767998288</v>
      </c>
      <c r="T42" cm="1">
        <f t="array" ref="T42">[1]!PropsSI("H","T",J42+273.15,"P",101325,"Water")</f>
        <v>235299.35193733661</v>
      </c>
      <c r="U42" cm="1">
        <f t="array" ref="U42">[1]!PropsSI("H","T",K42+273.15,"P",101325,"Water")</f>
        <v>213872.08636541673</v>
      </c>
      <c r="V42">
        <f t="shared" si="2"/>
        <v>659.56372228197188</v>
      </c>
    </row>
    <row r="43" spans="1:22" x14ac:dyDescent="0.2">
      <c r="A43">
        <v>46122.812369791667</v>
      </c>
      <c r="B43">
        <v>20.214648</v>
      </c>
      <c r="C43">
        <v>20.404617999999999</v>
      </c>
      <c r="D43">
        <v>20.111457000000001</v>
      </c>
      <c r="E43">
        <v>20.241299000000001</v>
      </c>
      <c r="F43">
        <v>28.056975000000001</v>
      </c>
      <c r="G43">
        <v>25.722785999999999</v>
      </c>
      <c r="H43">
        <v>24.898769999999999</v>
      </c>
      <c r="I43">
        <v>22.606995999999999</v>
      </c>
      <c r="J43">
        <v>56.189273</v>
      </c>
      <c r="K43">
        <v>51.064754999999998</v>
      </c>
      <c r="L43">
        <v>271.748694</v>
      </c>
      <c r="M43">
        <v>-622.49877600000002</v>
      </c>
      <c r="N43">
        <v>1.872571</v>
      </c>
      <c r="O43">
        <v>11.549885</v>
      </c>
      <c r="P43">
        <f t="shared" si="0"/>
        <v>3.1209516666666663E-5</v>
      </c>
      <c r="Q43" cm="1">
        <f t="array" ref="Q43">[1]!PropsSI("D","T",J43+273.15,"P",101325,"Water")</f>
        <v>985.11287619735162</v>
      </c>
      <c r="R43" cm="1">
        <f t="array" ref="R43">[1]!PropsSI("D","T",K43+273.15,"P",101325,"Water")</f>
        <v>987.54975717975105</v>
      </c>
      <c r="S43">
        <f t="shared" si="1"/>
        <v>986.3313166885514</v>
      </c>
      <c r="T43" cm="1">
        <f t="array" ref="T43">[1]!PropsSI("H","T",J43+273.15,"P",101325,"Water")</f>
        <v>235304.01224190518</v>
      </c>
      <c r="U43" cm="1">
        <f t="array" ref="U43">[1]!PropsSI("H","T",K43+273.15,"P",101325,"Water")</f>
        <v>213870.76078146862</v>
      </c>
      <c r="V43">
        <f t="shared" si="2"/>
        <v>659.77814364323399</v>
      </c>
    </row>
    <row r="44" spans="1:22" x14ac:dyDescent="0.2">
      <c r="A44">
        <v>46122.812427662036</v>
      </c>
      <c r="B44">
        <v>20.258275000000001</v>
      </c>
      <c r="C44">
        <v>20.459712</v>
      </c>
      <c r="D44">
        <v>20.196954999999999</v>
      </c>
      <c r="E44">
        <v>20.427903000000001</v>
      </c>
      <c r="F44">
        <v>28.027260999999999</v>
      </c>
      <c r="G44">
        <v>25.62387</v>
      </c>
      <c r="H44">
        <v>24.883026000000001</v>
      </c>
      <c r="I44">
        <v>22.384754999999998</v>
      </c>
      <c r="J44">
        <v>56.189909999999998</v>
      </c>
      <c r="K44">
        <v>51.065548999999997</v>
      </c>
      <c r="L44">
        <v>254.80015499999999</v>
      </c>
      <c r="M44">
        <v>-622.48285799999996</v>
      </c>
      <c r="N44">
        <v>1.87269</v>
      </c>
      <c r="O44">
        <v>11.696774</v>
      </c>
      <c r="P44">
        <f t="shared" si="0"/>
        <v>3.1211499999999998E-5</v>
      </c>
      <c r="Q44" cm="1">
        <f t="array" ref="Q44">[1]!PropsSI("D","T",J44+273.15,"P",101325,"Water")</f>
        <v>985.11256309071632</v>
      </c>
      <c r="R44" cm="1">
        <f t="array" ref="R44">[1]!PropsSI("D","T",K44+273.15,"P",101325,"Water")</f>
        <v>987.54939254184671</v>
      </c>
      <c r="S44">
        <f t="shared" si="1"/>
        <v>986.33097781628157</v>
      </c>
      <c r="T44" cm="1">
        <f t="array" ref="T44">[1]!PropsSI("H","T",J44+273.15,"P",101325,"Water")</f>
        <v>235306.67706610673</v>
      </c>
      <c r="U44" cm="1">
        <f t="array" ref="U44">[1]!PropsSI("H","T",K44+273.15,"P",101325,"Water")</f>
        <v>213874.08101386201</v>
      </c>
      <c r="V44">
        <f t="shared" si="2"/>
        <v>659.79966853052497</v>
      </c>
    </row>
    <row r="45" spans="1:22" x14ac:dyDescent="0.2">
      <c r="A45">
        <v>46122.812486111114</v>
      </c>
      <c r="B45">
        <v>20.312017999999998</v>
      </c>
      <c r="C45">
        <v>20.499068000000001</v>
      </c>
      <c r="D45">
        <v>20.188026000000001</v>
      </c>
      <c r="E45">
        <v>20.261251999999999</v>
      </c>
      <c r="F45">
        <v>28.254660000000001</v>
      </c>
      <c r="G45">
        <v>25.814646</v>
      </c>
      <c r="H45">
        <v>24.404340000000001</v>
      </c>
      <c r="I45">
        <v>22.005298</v>
      </c>
      <c r="J45">
        <v>56.190227999999998</v>
      </c>
      <c r="K45">
        <v>51.045524999999998</v>
      </c>
      <c r="L45">
        <v>268.69496900000001</v>
      </c>
      <c r="M45">
        <v>-622.480817</v>
      </c>
      <c r="N45">
        <v>1.8714770000000001</v>
      </c>
      <c r="O45">
        <v>11.810992000000001</v>
      </c>
      <c r="P45">
        <f t="shared" si="0"/>
        <v>3.1191283333333337E-5</v>
      </c>
      <c r="Q45" cm="1">
        <f t="array" ref="Q45">[1]!PropsSI("D","T",J45+273.15,"P",101325,"Water")</f>
        <v>985.11240678224669</v>
      </c>
      <c r="R45" cm="1">
        <f t="array" ref="R45">[1]!PropsSI("D","T",K45+273.15,"P",101325,"Water")</f>
        <v>987.55858714949829</v>
      </c>
      <c r="S45">
        <f t="shared" si="1"/>
        <v>986.33549696587249</v>
      </c>
      <c r="T45" cm="1">
        <f t="array" ref="T45">[1]!PropsSI("H","T",J45+273.15,"P",101325,"Water")</f>
        <v>235308.00738660039</v>
      </c>
      <c r="U45" cm="1">
        <f t="array" ref="U45">[1]!PropsSI("H","T",K45+273.15,"P",101325,"Water")</f>
        <v>213790.34765367486</v>
      </c>
      <c r="V45">
        <f t="shared" si="2"/>
        <v>661.99230679182313</v>
      </c>
    </row>
    <row r="46" spans="1:22" x14ac:dyDescent="0.2">
      <c r="A46">
        <v>46122.812543981483</v>
      </c>
      <c r="B46">
        <v>20.377071999999998</v>
      </c>
      <c r="C46">
        <v>20.403390000000002</v>
      </c>
      <c r="D46">
        <v>20.210740000000001</v>
      </c>
      <c r="E46">
        <v>20.304407999999999</v>
      </c>
      <c r="F46">
        <v>28.107773999999999</v>
      </c>
      <c r="G46">
        <v>25.886385000000001</v>
      </c>
      <c r="H46">
        <v>24.725615999999999</v>
      </c>
      <c r="I46">
        <v>22.175567999999998</v>
      </c>
      <c r="J46">
        <v>56.191979000000003</v>
      </c>
      <c r="K46">
        <v>51.055059999999997</v>
      </c>
      <c r="L46">
        <v>250.062433</v>
      </c>
      <c r="M46">
        <v>-622.47796000000005</v>
      </c>
      <c r="N46">
        <v>1.867961</v>
      </c>
      <c r="O46">
        <v>11.889780999999999</v>
      </c>
      <c r="P46">
        <f t="shared" si="0"/>
        <v>3.1132683333333331E-5</v>
      </c>
      <c r="Q46" cm="1">
        <f t="array" ref="Q46">[1]!PropsSI("D","T",J46+273.15,"P",101325,"Water")</f>
        <v>985.11154609140272</v>
      </c>
      <c r="R46" cm="1">
        <f t="array" ref="R46">[1]!PropsSI("D","T",K46+273.15,"P",101325,"Water")</f>
        <v>987.55420919830544</v>
      </c>
      <c r="S46">
        <f t="shared" si="1"/>
        <v>986.33287764485408</v>
      </c>
      <c r="T46" cm="1">
        <f t="array" ref="T46">[1]!PropsSI("H","T",J46+273.15,"P",101325,"Water")</f>
        <v>235315.33251677631</v>
      </c>
      <c r="U46" cm="1">
        <f t="array" ref="U46">[1]!PropsSI("H","T",K46+273.15,"P",101325,"Water")</f>
        <v>213830.21967169875</v>
      </c>
      <c r="V46">
        <f t="shared" si="2"/>
        <v>659.74742384893761</v>
      </c>
    </row>
    <row r="47" spans="1:22" x14ac:dyDescent="0.2">
      <c r="A47">
        <v>46122.812601851852</v>
      </c>
      <c r="B47">
        <v>20.374894999999999</v>
      </c>
      <c r="C47">
        <v>20.551425999999999</v>
      </c>
      <c r="D47">
        <v>20.267537999999998</v>
      </c>
      <c r="E47">
        <v>20.277231</v>
      </c>
      <c r="F47">
        <v>28.171626</v>
      </c>
      <c r="G47">
        <v>25.830316</v>
      </c>
      <c r="H47">
        <v>24.913993000000001</v>
      </c>
      <c r="I47">
        <v>22.474658999999999</v>
      </c>
      <c r="J47">
        <v>56.191343000000003</v>
      </c>
      <c r="K47">
        <v>51.062846999999998</v>
      </c>
      <c r="L47">
        <v>233.92528200000001</v>
      </c>
      <c r="M47">
        <v>-622.49632699999995</v>
      </c>
      <c r="N47">
        <v>1.8726689999999999</v>
      </c>
      <c r="O47">
        <v>11.494961</v>
      </c>
      <c r="P47">
        <f t="shared" si="0"/>
        <v>3.121115E-5</v>
      </c>
      <c r="Q47" cm="1">
        <f t="array" ref="Q47">[1]!PropsSI("D","T",J47+273.15,"P",101325,"Water")</f>
        <v>985.11185871458974</v>
      </c>
      <c r="R47" cm="1">
        <f t="array" ref="R47">[1]!PropsSI("D","T",K47+273.15,"P",101325,"Water")</f>
        <v>987.55063339615424</v>
      </c>
      <c r="S47">
        <f t="shared" si="1"/>
        <v>986.33124605537205</v>
      </c>
      <c r="T47" cm="1">
        <f t="array" ref="T47">[1]!PropsSI("H","T",J47+273.15,"P",101325,"Water")</f>
        <v>235312.67187538691</v>
      </c>
      <c r="U47" cm="1">
        <f t="array" ref="U47">[1]!PropsSI("H","T",K47+273.15,"P",101325,"Water")</f>
        <v>213862.78218849946</v>
      </c>
      <c r="V47">
        <f t="shared" si="2"/>
        <v>660.32482555079275</v>
      </c>
    </row>
    <row r="48" spans="1:22" x14ac:dyDescent="0.2">
      <c r="A48">
        <v>46122.812659722222</v>
      </c>
      <c r="B48">
        <v>20.359817</v>
      </c>
      <c r="C48">
        <v>20.520692</v>
      </c>
      <c r="D48">
        <v>20.118655</v>
      </c>
      <c r="E48">
        <v>20.163188999999999</v>
      </c>
      <c r="F48">
        <v>28.239346999999999</v>
      </c>
      <c r="G48">
        <v>25.856739999999999</v>
      </c>
      <c r="H48">
        <v>25.144486000000001</v>
      </c>
      <c r="I48">
        <v>22.670476000000001</v>
      </c>
      <c r="J48">
        <v>56.192934000000001</v>
      </c>
      <c r="K48">
        <v>51.069521999999999</v>
      </c>
      <c r="L48">
        <v>258.08570500000002</v>
      </c>
      <c r="M48">
        <v>-622.48897999999997</v>
      </c>
      <c r="N48">
        <v>1.8694649999999999</v>
      </c>
      <c r="O48">
        <v>11.318538999999999</v>
      </c>
      <c r="P48">
        <f t="shared" si="0"/>
        <v>3.1157749999999998E-5</v>
      </c>
      <c r="Q48" cm="1">
        <f t="array" ref="Q48">[1]!PropsSI("D","T",J48+273.15,"P",101325,"Water")</f>
        <v>985.11107666042346</v>
      </c>
      <c r="R48" cm="1">
        <f t="array" ref="R48">[1]!PropsSI("D","T",K48+273.15,"P",101325,"Water")</f>
        <v>987.54756791329703</v>
      </c>
      <c r="S48">
        <f t="shared" si="1"/>
        <v>986.32932228686025</v>
      </c>
      <c r="T48" cm="1">
        <f t="array" ref="T48">[1]!PropsSI("H","T",J48+273.15,"P",101325,"Water")</f>
        <v>235319.32766255154</v>
      </c>
      <c r="U48" cm="1">
        <f t="array" ref="U48">[1]!PropsSI("H","T",K48+273.15,"P",101325,"Water")</f>
        <v>213890.69472375864</v>
      </c>
      <c r="V48">
        <f t="shared" si="2"/>
        <v>658.54051406604765</v>
      </c>
    </row>
    <row r="49" spans="1:22" x14ac:dyDescent="0.2">
      <c r="A49">
        <v>44660.812718171503</v>
      </c>
      <c r="B49">
        <v>20.431177000000002</v>
      </c>
      <c r="C49">
        <v>20.387162</v>
      </c>
      <c r="D49">
        <v>20.174553</v>
      </c>
      <c r="E49">
        <v>20.137640999999999</v>
      </c>
      <c r="F49">
        <v>28.209978</v>
      </c>
      <c r="G49">
        <v>26.000457000000001</v>
      </c>
      <c r="H49">
        <v>24.637308000000001</v>
      </c>
      <c r="I49">
        <v>22.176068000000001</v>
      </c>
      <c r="J49">
        <v>56.192456999999997</v>
      </c>
      <c r="K49">
        <v>51.073019000000002</v>
      </c>
      <c r="L49">
        <v>266.30039499999998</v>
      </c>
      <c r="M49">
        <v>-622.49510199999997</v>
      </c>
      <c r="N49">
        <v>1.869116</v>
      </c>
      <c r="O49">
        <v>11.549262000000001</v>
      </c>
      <c r="P49">
        <f t="shared" si="0"/>
        <v>3.1151933333333336E-5</v>
      </c>
      <c r="Q49" cm="1">
        <f t="array" ref="Q49">[1]!PropsSI("D","T",J49+273.15,"P",101325,"Water")</f>
        <v>985.11131113084389</v>
      </c>
      <c r="R49" cm="1">
        <f t="array" ref="R49">[1]!PropsSI("D","T",K49+273.15,"P",101325,"Water")</f>
        <v>987.54596180649662</v>
      </c>
      <c r="S49">
        <f t="shared" si="1"/>
        <v>986.32863646867031</v>
      </c>
      <c r="T49" cm="1">
        <f t="array" ref="T49">[1]!PropsSI("H","T",J49+273.15,"P",101325,"Water")</f>
        <v>235317.33218129419</v>
      </c>
      <c r="U49" cm="1">
        <f t="array" ref="U49">[1]!PropsSI("H","T",K49+273.15,"P",101325,"Water")</f>
        <v>213905.31797045856</v>
      </c>
      <c r="V49">
        <f t="shared" si="2"/>
        <v>657.90648922972912</v>
      </c>
    </row>
    <row r="50" spans="1:22" x14ac:dyDescent="0.2">
      <c r="A50" t="s">
        <v>21</v>
      </c>
      <c r="B50">
        <v>20.245035000000001</v>
      </c>
      <c r="C50">
        <v>20.317968</v>
      </c>
      <c r="D50">
        <v>20.126957000000001</v>
      </c>
      <c r="E50">
        <v>20.185649999999999</v>
      </c>
      <c r="F50">
        <v>28.205845</v>
      </c>
      <c r="G50">
        <v>25.926855</v>
      </c>
      <c r="H50">
        <v>24.939751000000001</v>
      </c>
      <c r="I50">
        <v>22.352046000000001</v>
      </c>
      <c r="J50">
        <v>56.191023999999999</v>
      </c>
      <c r="K50">
        <v>51.072701000000002</v>
      </c>
      <c r="L50">
        <v>261.91163599999999</v>
      </c>
      <c r="M50">
        <v>-622.474695</v>
      </c>
      <c r="N50">
        <v>1.8699030000000001</v>
      </c>
      <c r="O50">
        <v>11.701121000000001</v>
      </c>
      <c r="P50">
        <f t="shared" si="0"/>
        <v>3.1165050000000001E-5</v>
      </c>
      <c r="Q50" cm="1">
        <f t="array" ref="Q50">[1]!PropsSI("D","T",J50+273.15,"P",101325,"Water")</f>
        <v>985.11201551677289</v>
      </c>
      <c r="R50" cm="1">
        <f t="array" ref="R50">[1]!PropsSI("D","T",K50+273.15,"P",101325,"Water")</f>
        <v>987.54610786123067</v>
      </c>
      <c r="S50">
        <f t="shared" si="1"/>
        <v>986.32906168900172</v>
      </c>
      <c r="T50" cm="1">
        <f t="array" ref="T50">[1]!PropsSI("H","T",J50+273.15,"P",101325,"Water")</f>
        <v>235311.33737140885</v>
      </c>
      <c r="U50" cm="1">
        <f t="array" ref="U50">[1]!PropsSI("H","T",K50+273.15,"P",101325,"Water")</f>
        <v>213903.98820410762</v>
      </c>
      <c r="V50">
        <f t="shared" si="2"/>
        <v>658.0403888268321</v>
      </c>
    </row>
    <row r="51" spans="1:22" x14ac:dyDescent="0.2">
      <c r="A51">
        <v>46122.812834490738</v>
      </c>
      <c r="B51">
        <v>20.410581000000001</v>
      </c>
      <c r="C51">
        <v>20.403419</v>
      </c>
      <c r="D51">
        <v>20.170380999999999</v>
      </c>
      <c r="E51">
        <v>20.233910000000002</v>
      </c>
      <c r="F51">
        <v>28.400344</v>
      </c>
      <c r="G51">
        <v>25.776926</v>
      </c>
      <c r="H51">
        <v>24.594225000000002</v>
      </c>
      <c r="I51">
        <v>22.457878999999998</v>
      </c>
      <c r="J51">
        <v>56.188478000000003</v>
      </c>
      <c r="K51">
        <v>51.071271000000003</v>
      </c>
      <c r="L51">
        <v>260.93495000000001</v>
      </c>
      <c r="M51">
        <v>-622.50857099999996</v>
      </c>
      <c r="N51">
        <v>1.870047</v>
      </c>
      <c r="O51">
        <v>11.661714</v>
      </c>
      <c r="P51">
        <f t="shared" si="0"/>
        <v>3.1167449999999999E-5</v>
      </c>
      <c r="Q51" cm="1">
        <f t="array" ref="Q51">[1]!PropsSI("D","T",J51+273.15,"P",101325,"Water")</f>
        <v>985.11326696275103</v>
      </c>
      <c r="R51" cm="1">
        <f t="array" ref="R51">[1]!PropsSI("D","T",K51+273.15,"P",101325,"Water")</f>
        <v>987.54676464016927</v>
      </c>
      <c r="S51">
        <f t="shared" si="1"/>
        <v>986.33001580146015</v>
      </c>
      <c r="T51" cm="1">
        <f t="array" ref="T51">[1]!PropsSI("H","T",J51+273.15,"P",101325,"Water")</f>
        <v>235300.68644101679</v>
      </c>
      <c r="U51" cm="1">
        <f t="array" ref="U51">[1]!PropsSI("H","T",K51+273.15,"P",101325,"Water")</f>
        <v>213898.0084374873</v>
      </c>
      <c r="V51">
        <f t="shared" si="2"/>
        <v>657.94810260601946</v>
      </c>
    </row>
    <row r="52" spans="1:22" x14ac:dyDescent="0.2">
      <c r="A52">
        <v>46122.812892939815</v>
      </c>
      <c r="B52">
        <v>20.303798</v>
      </c>
      <c r="C52">
        <v>20.305423999999999</v>
      </c>
      <c r="D52">
        <v>20.087952000000001</v>
      </c>
      <c r="E52">
        <v>20.221943</v>
      </c>
      <c r="F52">
        <v>28.209275000000002</v>
      </c>
      <c r="G52">
        <v>25.814620999999999</v>
      </c>
      <c r="H52">
        <v>25.027535</v>
      </c>
      <c r="I52">
        <v>22.715582999999999</v>
      </c>
      <c r="J52">
        <v>56.189273</v>
      </c>
      <c r="K52">
        <v>51.070317000000003</v>
      </c>
      <c r="L52">
        <v>241.30123900000001</v>
      </c>
      <c r="M52">
        <v>-622.47959300000002</v>
      </c>
      <c r="N52">
        <v>1.8721859999999999</v>
      </c>
      <c r="O52">
        <v>11.801347</v>
      </c>
      <c r="P52">
        <f t="shared" si="0"/>
        <v>3.1203099999999999E-5</v>
      </c>
      <c r="Q52" cm="1">
        <f t="array" ref="Q52">[1]!PropsSI("D","T",J52+273.15,"P",101325,"Water")</f>
        <v>985.11287619735162</v>
      </c>
      <c r="R52" cm="1">
        <f t="array" ref="R52">[1]!PropsSI("D","T",K52+273.15,"P",101325,"Water")</f>
        <v>987.54720279160495</v>
      </c>
      <c r="S52">
        <f t="shared" si="1"/>
        <v>986.33003949447834</v>
      </c>
      <c r="T52" cm="1">
        <f t="array" ref="T52">[1]!PropsSI("H","T",J52+273.15,"P",101325,"Water")</f>
        <v>235304.01224190518</v>
      </c>
      <c r="U52" cm="1">
        <f t="array" ref="U52">[1]!PropsSI("H","T",K52+273.15,"P",101325,"Water")</f>
        <v>213894.01913894893</v>
      </c>
      <c r="V52">
        <f t="shared" si="2"/>
        <v>658.92582718580127</v>
      </c>
    </row>
    <row r="53" spans="1:22" x14ac:dyDescent="0.2">
      <c r="A53">
        <v>46122.812950810185</v>
      </c>
      <c r="B53">
        <v>20.437536000000001</v>
      </c>
      <c r="C53">
        <v>20.337052</v>
      </c>
      <c r="D53">
        <v>20.118182999999998</v>
      </c>
      <c r="E53">
        <v>20.133312</v>
      </c>
      <c r="F53">
        <v>28.349066000000001</v>
      </c>
      <c r="G53">
        <v>25.853760000000001</v>
      </c>
      <c r="H53">
        <v>25.142185999999999</v>
      </c>
      <c r="I53">
        <v>22.540655999999998</v>
      </c>
      <c r="J53">
        <v>56.185453000000003</v>
      </c>
      <c r="K53">
        <v>51.070953000000003</v>
      </c>
      <c r="L53">
        <v>232.625347</v>
      </c>
      <c r="M53">
        <v>-622.48693900000001</v>
      </c>
      <c r="N53">
        <v>1.872341</v>
      </c>
      <c r="O53">
        <v>11.694436</v>
      </c>
      <c r="P53">
        <f t="shared" si="0"/>
        <v>3.1205683333333335E-5</v>
      </c>
      <c r="Q53" cm="1">
        <f t="array" ref="Q53">[1]!PropsSI("D","T",J53+273.15,"P",101325,"Water")</f>
        <v>985.11475380194668</v>
      </c>
      <c r="R53" cm="1">
        <f t="array" ref="R53">[1]!PropsSI("D","T",K53+273.15,"P",101325,"Water")</f>
        <v>987.54691069128592</v>
      </c>
      <c r="S53">
        <f t="shared" si="1"/>
        <v>986.3308322466163</v>
      </c>
      <c r="T53" cm="1">
        <f t="array" ref="T53">[1]!PropsSI("H","T",J53+273.15,"P",101325,"Water")</f>
        <v>235288.03166635687</v>
      </c>
      <c r="U53" cm="1">
        <f t="array" ref="U53">[1]!PropsSI("H","T",K53+273.15,"P",101325,"Water")</f>
        <v>213896.67867129485</v>
      </c>
      <c r="V53">
        <f t="shared" si="2"/>
        <v>658.40718364955171</v>
      </c>
    </row>
    <row r="54" spans="1:22" x14ac:dyDescent="0.2">
      <c r="A54">
        <v>46122.813008680554</v>
      </c>
      <c r="B54">
        <v>20.375080000000001</v>
      </c>
      <c r="C54">
        <v>20.412326</v>
      </c>
      <c r="D54">
        <v>20.146091999999999</v>
      </c>
      <c r="E54">
        <v>20.207114000000001</v>
      </c>
      <c r="F54">
        <v>28.330793</v>
      </c>
      <c r="G54">
        <v>25.791639</v>
      </c>
      <c r="H54">
        <v>24.762412000000001</v>
      </c>
      <c r="I54">
        <v>22.456301</v>
      </c>
      <c r="J54">
        <v>56.185612999999996</v>
      </c>
      <c r="K54">
        <v>51.066026000000001</v>
      </c>
      <c r="L54">
        <v>259.22932100000003</v>
      </c>
      <c r="M54">
        <v>-622.47755199999995</v>
      </c>
      <c r="N54">
        <v>1.8716280000000001</v>
      </c>
      <c r="O54">
        <v>11.125456</v>
      </c>
      <c r="P54">
        <f t="shared" si="0"/>
        <v>3.1193800000000006E-5</v>
      </c>
      <c r="Q54" cm="1">
        <f t="array" ref="Q54">[1]!PropsSI("D","T",J54+273.15,"P",101325,"Water")</f>
        <v>985.1146751605844</v>
      </c>
      <c r="R54" cm="1">
        <f t="array" ref="R54">[1]!PropsSI("D","T",K54+273.15,"P",101325,"Water")</f>
        <v>987.54917348159643</v>
      </c>
      <c r="S54">
        <f t="shared" si="1"/>
        <v>986.33192432109036</v>
      </c>
      <c r="T54" cm="1">
        <f t="array" ref="T54">[1]!PropsSI("H","T",J54+273.15,"P",101325,"Water")</f>
        <v>235288.70100972423</v>
      </c>
      <c r="U54" cm="1">
        <f t="array" ref="U54">[1]!PropsSI("H","T",K54+273.15,"P",101325,"Water")</f>
        <v>213876.07566237485</v>
      </c>
      <c r="V54">
        <f t="shared" si="2"/>
        <v>658.81168233789708</v>
      </c>
    </row>
    <row r="55" spans="1:22" x14ac:dyDescent="0.2">
      <c r="A55">
        <v>46122.813067129631</v>
      </c>
      <c r="B55">
        <v>20.301147</v>
      </c>
      <c r="C55">
        <v>20.302098999999998</v>
      </c>
      <c r="D55">
        <v>20.074645</v>
      </c>
      <c r="E55">
        <v>20.162134999999999</v>
      </c>
      <c r="F55">
        <v>28.088462</v>
      </c>
      <c r="G55">
        <v>25.767916</v>
      </c>
      <c r="H55">
        <v>24.667172000000001</v>
      </c>
      <c r="I55">
        <v>22.316768</v>
      </c>
      <c r="J55">
        <v>56.186248999999997</v>
      </c>
      <c r="K55">
        <v>51.066026000000001</v>
      </c>
      <c r="L55">
        <v>251.27053599999999</v>
      </c>
      <c r="M55">
        <v>-622.49959200000001</v>
      </c>
      <c r="N55">
        <v>1.8686780000000001</v>
      </c>
      <c r="O55">
        <v>11.562478</v>
      </c>
      <c r="P55">
        <f t="shared" si="0"/>
        <v>3.1144633333333333E-5</v>
      </c>
      <c r="Q55" cm="1">
        <f t="array" ref="Q55">[1]!PropsSI("D","T",J55+273.15,"P",101325,"Water")</f>
        <v>985.11436255978128</v>
      </c>
      <c r="R55" cm="1">
        <f t="array" ref="R55">[1]!PropsSI("D","T",K55+273.15,"P",101325,"Water")</f>
        <v>987.54917348159643</v>
      </c>
      <c r="S55">
        <f t="shared" si="1"/>
        <v>986.33176802068886</v>
      </c>
      <c r="T55" cm="1">
        <f t="array" ref="T55">[1]!PropsSI("H","T",J55+273.15,"P",101325,"Water")</f>
        <v>235291.36164966642</v>
      </c>
      <c r="U55" cm="1">
        <f t="array" ref="U55">[1]!PropsSI("H","T",K55+273.15,"P",101325,"Water")</f>
        <v>213876.07566237485</v>
      </c>
      <c r="V55">
        <f t="shared" si="2"/>
        <v>657.85491231019807</v>
      </c>
    </row>
    <row r="56" spans="1:22" x14ac:dyDescent="0.2">
      <c r="A56">
        <v>46122.813125000001</v>
      </c>
      <c r="B56">
        <v>20.326015999999999</v>
      </c>
      <c r="C56">
        <v>20.287289000000001</v>
      </c>
      <c r="D56">
        <v>20.101391</v>
      </c>
      <c r="E56">
        <v>20.120829000000001</v>
      </c>
      <c r="F56">
        <v>28.182676000000001</v>
      </c>
      <c r="G56">
        <v>25.538205999999999</v>
      </c>
      <c r="H56">
        <v>24.901209000000001</v>
      </c>
      <c r="I56">
        <v>22.246424999999999</v>
      </c>
      <c r="J56">
        <v>56.185293999999999</v>
      </c>
      <c r="K56">
        <v>51.066980000000001</v>
      </c>
      <c r="L56">
        <v>252.83127400000001</v>
      </c>
      <c r="M56">
        <v>-622.43714599999998</v>
      </c>
      <c r="N56">
        <v>1.871346</v>
      </c>
      <c r="O56">
        <v>11.670673000000001</v>
      </c>
      <c r="P56">
        <f t="shared" si="0"/>
        <v>3.1189100000000003E-5</v>
      </c>
      <c r="Q56" cm="1">
        <f t="array" ref="Q56">[1]!PropsSI("D","T",J56+273.15,"P",101325,"Water")</f>
        <v>985.11483195160963</v>
      </c>
      <c r="R56" cm="1">
        <f t="array" ref="R56">[1]!PropsSI("D","T",K56+273.15,"P",101325,"Water")</f>
        <v>987.54873535668617</v>
      </c>
      <c r="S56">
        <f t="shared" si="1"/>
        <v>986.3317836541479</v>
      </c>
      <c r="T56" cm="1">
        <f t="array" ref="T56">[1]!PropsSI("H","T",J56+273.15,"P",101325,"Water")</f>
        <v>235287.36650634202</v>
      </c>
      <c r="U56" cm="1">
        <f t="array" ref="U56">[1]!PropsSI("H","T",K56+273.15,"P",101325,"Water")</f>
        <v>213880.06495967973</v>
      </c>
      <c r="V56">
        <f t="shared" si="2"/>
        <v>658.54854958263502</v>
      </c>
    </row>
    <row r="57" spans="1:22" x14ac:dyDescent="0.2">
      <c r="A57">
        <v>46122.81318287037</v>
      </c>
      <c r="B57">
        <v>20.313829999999999</v>
      </c>
      <c r="C57">
        <v>20.268007999999998</v>
      </c>
      <c r="D57">
        <v>20.048915999999998</v>
      </c>
      <c r="E57">
        <v>20.163322999999998</v>
      </c>
      <c r="F57">
        <v>28.192744999999999</v>
      </c>
      <c r="G57">
        <v>25.708748</v>
      </c>
      <c r="H57">
        <v>24.958964999999999</v>
      </c>
      <c r="I57">
        <v>22.205745</v>
      </c>
      <c r="J57">
        <v>56.186248999999997</v>
      </c>
      <c r="K57">
        <v>51.066662000000001</v>
      </c>
      <c r="L57">
        <v>257.01677899999999</v>
      </c>
      <c r="M57">
        <v>-622.51224400000001</v>
      </c>
      <c r="N57">
        <v>1.874935</v>
      </c>
      <c r="O57">
        <v>11.797128000000001</v>
      </c>
      <c r="P57">
        <f t="shared" si="0"/>
        <v>3.1248916666666668E-5</v>
      </c>
      <c r="Q57" cm="1">
        <f t="array" ref="Q57">[1]!PropsSI("D","T",J57+273.15,"P",101325,"Water")</f>
        <v>985.11436255978128</v>
      </c>
      <c r="R57" cm="1">
        <f t="array" ref="R57">[1]!PropsSI("D","T",K57+273.15,"P",101325,"Water")</f>
        <v>987.54888139896286</v>
      </c>
      <c r="S57">
        <f t="shared" si="1"/>
        <v>986.33162197937213</v>
      </c>
      <c r="T57" cm="1">
        <f t="array" ref="T57">[1]!PropsSI("H","T",J57+273.15,"P",101325,"Water")</f>
        <v>235291.36164966642</v>
      </c>
      <c r="U57" cm="1">
        <f t="array" ref="U57">[1]!PropsSI("H","T",K57+273.15,"P",101325,"Water")</f>
        <v>213878.73519394352</v>
      </c>
      <c r="V57">
        <f t="shared" si="2"/>
        <v>659.97557576952215</v>
      </c>
    </row>
    <row r="58" spans="1:22" x14ac:dyDescent="0.2">
      <c r="A58">
        <v>46122.813241319447</v>
      </c>
      <c r="B58">
        <v>20.381436000000001</v>
      </c>
      <c r="C58">
        <v>20.403770000000002</v>
      </c>
      <c r="D58">
        <v>20.062556000000001</v>
      </c>
      <c r="E58">
        <v>20.205770000000001</v>
      </c>
      <c r="F58">
        <v>28.330369000000001</v>
      </c>
      <c r="G58">
        <v>25.816130999999999</v>
      </c>
      <c r="H58">
        <v>24.872945999999999</v>
      </c>
      <c r="I58">
        <v>22.698373</v>
      </c>
      <c r="J58">
        <v>56.189591999999998</v>
      </c>
      <c r="K58">
        <v>51.070475999999999</v>
      </c>
      <c r="L58">
        <v>273.42860999999999</v>
      </c>
      <c r="M58">
        <v>-622.46000200000003</v>
      </c>
      <c r="N58">
        <v>1.873899</v>
      </c>
      <c r="O58">
        <v>11.736193999999999</v>
      </c>
      <c r="P58">
        <f t="shared" si="0"/>
        <v>3.1231649999999998E-5</v>
      </c>
      <c r="Q58" cm="1">
        <f t="array" ref="Q58">[1]!PropsSI("D","T",J58+273.15,"P",101325,"Water")</f>
        <v>985.11271939860751</v>
      </c>
      <c r="R58" cm="1">
        <f t="array" ref="R58">[1]!PropsSI("D","T",K58+273.15,"P",101325,"Water")</f>
        <v>987.54712976676149</v>
      </c>
      <c r="S58">
        <f t="shared" si="1"/>
        <v>986.3299245826845</v>
      </c>
      <c r="T58" cm="1">
        <f t="array" ref="T58">[1]!PropsSI("H","T",J58+273.15,"P",101325,"Water")</f>
        <v>235305.34674565596</v>
      </c>
      <c r="U58" cm="1">
        <f t="array" ref="U58">[1]!PropsSI("H","T",K58+273.15,"P",101325,"Water")</f>
        <v>213894.68402205218</v>
      </c>
      <c r="V58">
        <f t="shared" si="2"/>
        <v>659.54927728555674</v>
      </c>
    </row>
    <row r="59" spans="1:22" x14ac:dyDescent="0.2">
      <c r="A59">
        <v>46122.813299189816</v>
      </c>
      <c r="B59">
        <v>20.332998</v>
      </c>
      <c r="C59">
        <v>20.407743</v>
      </c>
      <c r="D59">
        <v>20.101814000000001</v>
      </c>
      <c r="E59">
        <v>20.233594</v>
      </c>
      <c r="F59">
        <v>28.262588000000001</v>
      </c>
      <c r="G59">
        <v>25.748722999999998</v>
      </c>
      <c r="H59">
        <v>25.175758999999999</v>
      </c>
      <c r="I59">
        <v>22.500114</v>
      </c>
      <c r="J59">
        <v>56.189909999999998</v>
      </c>
      <c r="K59">
        <v>51.069204999999997</v>
      </c>
      <c r="L59">
        <v>252.18600000000001</v>
      </c>
      <c r="M59">
        <v>-622.47714399999995</v>
      </c>
      <c r="N59">
        <v>1.873858</v>
      </c>
      <c r="O59">
        <v>11.681512</v>
      </c>
      <c r="P59">
        <f t="shared" si="0"/>
        <v>3.1230966666666666E-5</v>
      </c>
      <c r="Q59" cm="1">
        <f t="array" ref="Q59">[1]!PropsSI("D","T",J59+273.15,"P",101325,"Water")</f>
        <v>985.11256309071632</v>
      </c>
      <c r="R59" cm="1">
        <f t="array" ref="R59">[1]!PropsSI("D","T",K59+273.15,"P",101325,"Water")</f>
        <v>987.54771350156091</v>
      </c>
      <c r="S59">
        <f t="shared" si="1"/>
        <v>986.33013829613856</v>
      </c>
      <c r="T59" cm="1">
        <f t="array" ref="T59">[1]!PropsSI("H","T",J59+273.15,"P",101325,"Water")</f>
        <v>235306.67706610673</v>
      </c>
      <c r="U59" cm="1">
        <f t="array" ref="U59">[1]!PropsSI("H","T",K59+273.15,"P",101325,"Water")</f>
        <v>213889.36913941157</v>
      </c>
      <c r="V59">
        <f t="shared" si="2"/>
        <v>659.73968869892599</v>
      </c>
    </row>
    <row r="60" spans="1:22" x14ac:dyDescent="0.2">
      <c r="A60">
        <v>46122.813357060186</v>
      </c>
      <c r="B60">
        <v>20.296845000000001</v>
      </c>
      <c r="C60">
        <v>20.328479999999999</v>
      </c>
      <c r="D60">
        <v>20.042057</v>
      </c>
      <c r="E60">
        <v>20.152858999999999</v>
      </c>
      <c r="F60">
        <v>28.240043</v>
      </c>
      <c r="G60">
        <v>25.779717000000002</v>
      </c>
      <c r="H60">
        <v>24.798141999999999</v>
      </c>
      <c r="I60">
        <v>22.286238999999998</v>
      </c>
      <c r="J60">
        <v>56.185772</v>
      </c>
      <c r="K60">
        <v>51.064278000000002</v>
      </c>
      <c r="L60">
        <v>247.17441400000001</v>
      </c>
      <c r="M60">
        <v>-622.48775599999999</v>
      </c>
      <c r="N60">
        <v>1.8721859999999999</v>
      </c>
      <c r="O60">
        <v>11.761813</v>
      </c>
      <c r="P60">
        <f t="shared" si="0"/>
        <v>3.1203099999999999E-5</v>
      </c>
      <c r="Q60" cm="1">
        <f t="array" ref="Q60">[1]!PropsSI("D","T",J60+273.15,"P",101325,"Water")</f>
        <v>985.11459701063757</v>
      </c>
      <c r="R60" cm="1">
        <f t="array" ref="R60">[1]!PropsSI("D","T",K60+273.15,"P",101325,"Water")</f>
        <v>987.54997623603481</v>
      </c>
      <c r="S60">
        <f t="shared" si="1"/>
        <v>986.33228662333613</v>
      </c>
      <c r="T60" cm="1">
        <f t="array" ref="T60">[1]!PropsSI("H","T",J60+273.15,"P",101325,"Water")</f>
        <v>235289.36616968276</v>
      </c>
      <c r="U60" cm="1">
        <f t="array" ref="U60">[1]!PropsSI("H","T",K60+273.15,"P",101325,"Water")</f>
        <v>213868.76613314141</v>
      </c>
      <c r="V60">
        <f t="shared" si="2"/>
        <v>659.25377401562139</v>
      </c>
    </row>
    <row r="61" spans="1:22" x14ac:dyDescent="0.2">
      <c r="A61">
        <v>46122.813415509256</v>
      </c>
      <c r="B61">
        <v>20.296417999999999</v>
      </c>
      <c r="C61">
        <v>20.290212</v>
      </c>
      <c r="D61">
        <v>20.073437999999999</v>
      </c>
      <c r="E61">
        <v>20.132681000000002</v>
      </c>
      <c r="F61">
        <v>28.130573999999999</v>
      </c>
      <c r="G61">
        <v>25.71255</v>
      </c>
      <c r="H61">
        <v>24.687633000000002</v>
      </c>
      <c r="I61">
        <v>22.309348</v>
      </c>
      <c r="J61">
        <v>56.185612999999996</v>
      </c>
      <c r="K61">
        <v>51.067774</v>
      </c>
      <c r="L61">
        <v>257.162486</v>
      </c>
      <c r="M61">
        <v>-622.49755100000004</v>
      </c>
      <c r="N61">
        <v>1.872735</v>
      </c>
      <c r="O61">
        <v>11.516933</v>
      </c>
      <c r="P61">
        <f t="shared" si="0"/>
        <v>3.1212250000000003E-5</v>
      </c>
      <c r="Q61" cm="1">
        <f t="array" ref="Q61">[1]!PropsSI("D","T",J61+273.15,"P",101325,"Water")</f>
        <v>985.1146751605844</v>
      </c>
      <c r="R61" cm="1">
        <f t="array" ref="R61">[1]!PropsSI("D","T",K61+273.15,"P",101325,"Water")</f>
        <v>987.54837070735209</v>
      </c>
      <c r="S61">
        <f t="shared" si="1"/>
        <v>986.33152293396824</v>
      </c>
      <c r="T61" cm="1">
        <f t="array" ref="T61">[1]!PropsSI("H","T",J61+273.15,"P",101325,"Water")</f>
        <v>235288.70100972423</v>
      </c>
      <c r="U61" cm="1">
        <f t="array" ref="U61">[1]!PropsSI("H","T",K61+273.15,"P",101325,"Water")</f>
        <v>213883.38519261871</v>
      </c>
      <c r="V61">
        <f t="shared" si="2"/>
        <v>658.976048798992</v>
      </c>
    </row>
    <row r="62" spans="1:22" x14ac:dyDescent="0.2">
      <c r="A62">
        <v>46122.813473379632</v>
      </c>
      <c r="B62">
        <v>20.207802999999998</v>
      </c>
      <c r="C62">
        <v>20.331199999999999</v>
      </c>
      <c r="D62">
        <v>20.141348000000001</v>
      </c>
      <c r="E62">
        <v>20.210460999999999</v>
      </c>
      <c r="F62">
        <v>28.124741</v>
      </c>
      <c r="G62">
        <v>25.655065</v>
      </c>
      <c r="H62">
        <v>24.648126999999999</v>
      </c>
      <c r="I62">
        <v>22.145375999999999</v>
      </c>
      <c r="J62">
        <v>56.18609</v>
      </c>
      <c r="K62">
        <v>51.062846999999998</v>
      </c>
      <c r="L62">
        <v>241.857946</v>
      </c>
      <c r="M62">
        <v>-622.47347100000002</v>
      </c>
      <c r="N62">
        <v>1.870989</v>
      </c>
      <c r="O62">
        <v>11.332656999999999</v>
      </c>
      <c r="P62">
        <f t="shared" si="0"/>
        <v>3.118315E-5</v>
      </c>
      <c r="Q62" cm="1">
        <f t="array" ref="Q62">[1]!PropsSI("D","T",J62+273.15,"P",101325,"Water")</f>
        <v>985.11444071021299</v>
      </c>
      <c r="R62" cm="1">
        <f t="array" ref="R62">[1]!PropsSI("D","T",K62+273.15,"P",101325,"Water")</f>
        <v>987.55063339615424</v>
      </c>
      <c r="S62">
        <f t="shared" si="1"/>
        <v>986.33253705318361</v>
      </c>
      <c r="T62" cm="1">
        <f t="array" ref="T62">[1]!PropsSI("H","T",J62+273.15,"P",101325,"Water")</f>
        <v>235290.69648965422</v>
      </c>
      <c r="U62" cm="1">
        <f t="array" ref="U62">[1]!PropsSI("H","T",K62+273.15,"P",101325,"Water")</f>
        <v>213862.78218849946</v>
      </c>
      <c r="V62">
        <f t="shared" si="2"/>
        <v>659.05740560724678</v>
      </c>
    </row>
    <row r="63" spans="1:22" x14ac:dyDescent="0.2">
      <c r="A63">
        <v>46122.813531828702</v>
      </c>
      <c r="B63">
        <v>20.406562999999998</v>
      </c>
      <c r="C63">
        <v>20.428222000000002</v>
      </c>
      <c r="D63">
        <v>20.066345999999999</v>
      </c>
      <c r="E63">
        <v>20.089818999999999</v>
      </c>
      <c r="F63">
        <v>28.301580000000001</v>
      </c>
      <c r="G63">
        <v>25.831976999999998</v>
      </c>
      <c r="H63">
        <v>24.936519000000001</v>
      </c>
      <c r="I63">
        <v>22.342034999999999</v>
      </c>
      <c r="J63">
        <v>56.182747999999997</v>
      </c>
      <c r="K63">
        <v>51.061098999999999</v>
      </c>
      <c r="L63">
        <v>274.76038</v>
      </c>
      <c r="M63">
        <v>-622.46938899999998</v>
      </c>
      <c r="N63">
        <v>1.8715999999999999</v>
      </c>
      <c r="O63">
        <v>11.650899000000001</v>
      </c>
      <c r="P63">
        <f t="shared" si="0"/>
        <v>3.1193333333333332E-5</v>
      </c>
      <c r="Q63" cm="1">
        <f t="array" ref="Q63">[1]!PropsSI("D","T",J63+273.15,"P",101325,"Water")</f>
        <v>985.11608330810941</v>
      </c>
      <c r="R63" cm="1">
        <f t="array" ref="R63">[1]!PropsSI("D","T",K63+273.15,"P",101325,"Water")</f>
        <v>987.55143611459062</v>
      </c>
      <c r="S63">
        <f t="shared" si="1"/>
        <v>986.33375971135001</v>
      </c>
      <c r="T63" cm="1">
        <f t="array" ref="T63">[1]!PropsSI("H","T",J63+273.15,"P",101325,"Water")</f>
        <v>235276.71558151123</v>
      </c>
      <c r="U63" cm="1">
        <f t="array" ref="U63">[1]!PropsSI("H","T",K63+273.15,"P",101325,"Water")</f>
        <v>213855.47266085428</v>
      </c>
      <c r="V63">
        <f t="shared" si="2"/>
        <v>659.06818947601312</v>
      </c>
    </row>
    <row r="64" spans="1:22" x14ac:dyDescent="0.2">
      <c r="A64">
        <v>46122.813589699072</v>
      </c>
      <c r="B64">
        <v>20.343440000000001</v>
      </c>
      <c r="C64">
        <v>20.592894999999999</v>
      </c>
      <c r="D64">
        <v>20.138863000000001</v>
      </c>
      <c r="E64">
        <v>20.212596000000001</v>
      </c>
      <c r="F64">
        <v>28.076006</v>
      </c>
      <c r="G64">
        <v>25.968975</v>
      </c>
      <c r="H64">
        <v>24.701851999999999</v>
      </c>
      <c r="I64">
        <v>22.609151000000001</v>
      </c>
      <c r="J64">
        <v>56.183861999999998</v>
      </c>
      <c r="K64">
        <v>51.059192000000003</v>
      </c>
      <c r="L64">
        <v>276.70477199999999</v>
      </c>
      <c r="M64">
        <v>-622.51550899999995</v>
      </c>
      <c r="N64">
        <v>1.8693090000000001</v>
      </c>
      <c r="O64">
        <v>11.765663999999999</v>
      </c>
      <c r="P64">
        <f t="shared" si="0"/>
        <v>3.1155150000000006E-5</v>
      </c>
      <c r="Q64" cm="1">
        <f t="array" ref="Q64">[1]!PropsSI("D","T",J64+273.15,"P",101325,"Water")</f>
        <v>985.11553578308872</v>
      </c>
      <c r="R64" cm="1">
        <f t="array" ref="R64">[1]!PropsSI("D","T",K64+273.15,"P",101325,"Water")</f>
        <v>987.55231182659179</v>
      </c>
      <c r="S64">
        <f t="shared" si="1"/>
        <v>986.3339238048402</v>
      </c>
      <c r="T64" cm="1">
        <f t="array" ref="T64">[1]!PropsSI("H","T",J64+273.15,"P",101325,"Water")</f>
        <v>235281.37588375914</v>
      </c>
      <c r="U64" cm="1">
        <f t="array" ref="U64">[1]!PropsSI("H","T",K64+273.15,"P",101325,"Water")</f>
        <v>213847.49825157478</v>
      </c>
      <c r="V64">
        <f t="shared" si="2"/>
        <v>658.64979948778773</v>
      </c>
    </row>
    <row r="65" spans="1:22" x14ac:dyDescent="0.2">
      <c r="A65">
        <v>46122.813647569441</v>
      </c>
      <c r="B65">
        <v>20.389012999999998</v>
      </c>
      <c r="C65">
        <v>20.581672999999999</v>
      </c>
      <c r="D65">
        <v>20.267144999999999</v>
      </c>
      <c r="E65">
        <v>20.316814000000001</v>
      </c>
      <c r="F65">
        <v>28.169405000000001</v>
      </c>
      <c r="G65">
        <v>25.746722999999999</v>
      </c>
      <c r="H65">
        <v>25.145565000000001</v>
      </c>
      <c r="I65">
        <v>22.508496000000001</v>
      </c>
      <c r="J65">
        <v>56.183861999999998</v>
      </c>
      <c r="K65">
        <v>51.066820999999997</v>
      </c>
      <c r="L65">
        <v>288.13440400000002</v>
      </c>
      <c r="M65">
        <v>-622.52612099999999</v>
      </c>
      <c r="N65">
        <v>1.8711040000000001</v>
      </c>
      <c r="O65">
        <v>11.643058</v>
      </c>
      <c r="P65">
        <f t="shared" si="0"/>
        <v>3.1185066666666667E-5</v>
      </c>
      <c r="Q65" cm="1">
        <f t="array" ref="Q65">[1]!PropsSI("D","T",J65+273.15,"P",101325,"Water")</f>
        <v>985.11553578308872</v>
      </c>
      <c r="R65" cm="1">
        <f t="array" ref="R65">[1]!PropsSI("D","T",K65+273.15,"P",101325,"Water")</f>
        <v>987.54880837791939</v>
      </c>
      <c r="S65">
        <f t="shared" si="1"/>
        <v>986.33217208050405</v>
      </c>
      <c r="T65" cm="1">
        <f t="array" ref="T65">[1]!PropsSI("H","T",J65+273.15,"P",101325,"Water")</f>
        <v>235281.37588375914</v>
      </c>
      <c r="U65" cm="1">
        <f t="array" ref="U65">[1]!PropsSI("H","T",K65+273.15,"P",101325,"Water")</f>
        <v>213879.40007676609</v>
      </c>
      <c r="V65">
        <f t="shared" si="2"/>
        <v>658.29983271509116</v>
      </c>
    </row>
    <row r="66" spans="1:22" x14ac:dyDescent="0.2">
      <c r="A66">
        <v>46122.813706018518</v>
      </c>
      <c r="B66">
        <v>20.274131000000001</v>
      </c>
      <c r="C66">
        <v>20.655097000000001</v>
      </c>
      <c r="D66">
        <v>20.222422999999999</v>
      </c>
      <c r="E66">
        <v>20.240159999999999</v>
      </c>
      <c r="F66">
        <v>28.159399000000001</v>
      </c>
      <c r="G66">
        <v>26.053986999999999</v>
      </c>
      <c r="H66">
        <v>24.759164999999999</v>
      </c>
      <c r="I66">
        <v>22.370183000000001</v>
      </c>
      <c r="J66">
        <v>56.183065999999997</v>
      </c>
      <c r="K66">
        <v>51.073971999999998</v>
      </c>
      <c r="L66">
        <v>245.83937900000001</v>
      </c>
      <c r="M66">
        <v>-622.49877600000002</v>
      </c>
      <c r="N66">
        <v>1.8756809999999999</v>
      </c>
      <c r="O66">
        <v>11.655588</v>
      </c>
      <c r="P66">
        <f t="shared" ref="P66:P129" si="3" xml:space="preserve"> N66*0.001/60</f>
        <v>3.1261350000000002E-5</v>
      </c>
      <c r="Q66" cm="1">
        <f t="array" ref="Q66">[1]!PropsSI("D","T",J66+273.15,"P",101325,"Water")</f>
        <v>985.11592701359632</v>
      </c>
      <c r="R66" cm="1">
        <f t="array" ref="R66">[1]!PropsSI("D","T",K66+273.15,"P",101325,"Water")</f>
        <v>987.54552409767325</v>
      </c>
      <c r="S66">
        <f t="shared" ref="S66:S129" si="4">(Q66+R66)/2</f>
        <v>986.33072555563479</v>
      </c>
      <c r="T66" cm="1">
        <f t="array" ref="T66">[1]!PropsSI("H","T",J66+273.15,"P",101325,"Water")</f>
        <v>235278.04590115181</v>
      </c>
      <c r="U66" cm="1">
        <f t="array" ref="U66">[1]!PropsSI("H","T",K66+273.15,"P",101325,"Water")</f>
        <v>213909.30308804865</v>
      </c>
      <c r="V66">
        <f t="shared" ref="V66:V129" si="5">S66*P66*(T66-U66)</f>
        <v>658.88445754591351</v>
      </c>
    </row>
    <row r="67" spans="1:22" x14ac:dyDescent="0.2">
      <c r="A67">
        <v>46122.813763888887</v>
      </c>
      <c r="B67">
        <v>20.283414</v>
      </c>
      <c r="C67">
        <v>20.552883000000001</v>
      </c>
      <c r="D67">
        <v>20.125544999999999</v>
      </c>
      <c r="E67">
        <v>20.221240000000002</v>
      </c>
      <c r="F67">
        <v>28.162984000000002</v>
      </c>
      <c r="G67">
        <v>25.74306</v>
      </c>
      <c r="H67">
        <v>25.064653</v>
      </c>
      <c r="I67">
        <v>22.397207000000002</v>
      </c>
      <c r="J67">
        <v>56.185135000000002</v>
      </c>
      <c r="K67">
        <v>51.073177999999999</v>
      </c>
      <c r="L67">
        <v>245.22553199999999</v>
      </c>
      <c r="M67">
        <v>-622.51020400000004</v>
      </c>
      <c r="N67">
        <v>1.8721730000000001</v>
      </c>
      <c r="O67">
        <v>11.477093999999999</v>
      </c>
      <c r="P67">
        <f t="shared" si="3"/>
        <v>3.1202883333333336E-5</v>
      </c>
      <c r="Q67" cm="1">
        <f t="array" ref="Q67">[1]!PropsSI("D","T",J67+273.15,"P",101325,"Water")</f>
        <v>985.11491010109273</v>
      </c>
      <c r="R67" cm="1">
        <f t="array" ref="R67">[1]!PropsSI("D","T",K67+273.15,"P",101325,"Water")</f>
        <v>987.54588877887079</v>
      </c>
      <c r="S67">
        <f t="shared" si="4"/>
        <v>986.33039943998176</v>
      </c>
      <c r="T67" cm="1">
        <f t="array" ref="T67">[1]!PropsSI("H","T",J67+273.15,"P",101325,"Water")</f>
        <v>235286.70134643678</v>
      </c>
      <c r="U67" cm="1">
        <f t="array" ref="U67">[1]!PropsSI("H","T",K67+273.15,"P",101325,"Water")</f>
        <v>213905.98285366126</v>
      </c>
      <c r="V67">
        <f t="shared" si="5"/>
        <v>658.02052651070665</v>
      </c>
    </row>
    <row r="68" spans="1:22" x14ac:dyDescent="0.2">
      <c r="A68">
        <v>46122.813822337965</v>
      </c>
      <c r="B68">
        <v>20.398644000000001</v>
      </c>
      <c r="C68">
        <v>20.670604000000001</v>
      </c>
      <c r="D68">
        <v>20.155062999999998</v>
      </c>
      <c r="E68">
        <v>20.260791999999999</v>
      </c>
      <c r="F68">
        <v>28.342165999999999</v>
      </c>
      <c r="G68">
        <v>25.777386</v>
      </c>
      <c r="H68">
        <v>24.757746000000001</v>
      </c>
      <c r="I68">
        <v>22.332802000000001</v>
      </c>
      <c r="J68">
        <v>56.184339000000001</v>
      </c>
      <c r="K68">
        <v>51.072541999999999</v>
      </c>
      <c r="L68">
        <v>257.23309399999999</v>
      </c>
      <c r="M68">
        <v>-622.45714499999997</v>
      </c>
      <c r="N68">
        <v>1.8692759999999999</v>
      </c>
      <c r="O68">
        <v>11.438729</v>
      </c>
      <c r="P68">
        <f t="shared" si="3"/>
        <v>3.1154600000000002E-5</v>
      </c>
      <c r="Q68" cm="1">
        <f t="array" ref="Q68">[1]!PropsSI("D","T",J68+273.15,"P",101325,"Water")</f>
        <v>985.11530133782253</v>
      </c>
      <c r="R68" cm="1">
        <f t="array" ref="R68">[1]!PropsSI("D","T",K68+273.15,"P",101325,"Water")</f>
        <v>987.54618088836287</v>
      </c>
      <c r="S68">
        <f t="shared" si="4"/>
        <v>986.3307411130927</v>
      </c>
      <c r="T68" cm="1">
        <f t="array" ref="T68">[1]!PropsSI("H","T",J68+273.15,"P",101325,"Water")</f>
        <v>235283.37136340907</v>
      </c>
      <c r="U68" cm="1">
        <f t="array" ref="U68">[1]!PropsSI("H","T",K68+273.15,"P",101325,"Water")</f>
        <v>213903.32332092078</v>
      </c>
      <c r="V68">
        <f t="shared" si="5"/>
        <v>656.98193122252974</v>
      </c>
    </row>
    <row r="69" spans="1:22" x14ac:dyDescent="0.2">
      <c r="A69">
        <v>46122.813880208334</v>
      </c>
      <c r="B69">
        <v>20.698993999999999</v>
      </c>
      <c r="C69">
        <v>21.046565999999999</v>
      </c>
      <c r="D69">
        <v>20.132097000000002</v>
      </c>
      <c r="E69">
        <v>20.448712</v>
      </c>
      <c r="F69">
        <v>28.407920000000001</v>
      </c>
      <c r="G69">
        <v>26.048929999999999</v>
      </c>
      <c r="H69">
        <v>24.864364999999999</v>
      </c>
      <c r="I69">
        <v>22.183465999999999</v>
      </c>
      <c r="J69">
        <v>56.185135000000002</v>
      </c>
      <c r="K69">
        <v>51.073653999999998</v>
      </c>
      <c r="L69">
        <v>282.50488999999999</v>
      </c>
      <c r="M69">
        <v>-622.49714300000005</v>
      </c>
      <c r="N69">
        <v>1.8738859999999999</v>
      </c>
      <c r="O69">
        <v>11.453571999999999</v>
      </c>
      <c r="P69">
        <f t="shared" si="3"/>
        <v>3.1231433333333334E-5</v>
      </c>
      <c r="Q69" cm="1">
        <f t="array" ref="Q69">[1]!PropsSI("D","T",J69+273.15,"P",101325,"Water")</f>
        <v>985.11491010109273</v>
      </c>
      <c r="R69" cm="1">
        <f t="array" ref="R69">[1]!PropsSI("D","T",K69+273.15,"P",101325,"Water")</f>
        <v>987.54567015436373</v>
      </c>
      <c r="S69">
        <f t="shared" si="4"/>
        <v>986.33029012772818</v>
      </c>
      <c r="T69" cm="1">
        <f t="array" ref="T69">[1]!PropsSI("H","T",J69+273.15,"P",101325,"Water")</f>
        <v>235286.70134643678</v>
      </c>
      <c r="U69" cm="1">
        <f t="array" ref="U69">[1]!PropsSI("H","T",K69+273.15,"P",101325,"Water")</f>
        <v>213907.97332156901</v>
      </c>
      <c r="V69">
        <f t="shared" si="5"/>
        <v>658.56121345346605</v>
      </c>
    </row>
    <row r="70" spans="1:22" x14ac:dyDescent="0.2">
      <c r="A70">
        <v>46122.813938657404</v>
      </c>
      <c r="B70">
        <v>20.514804999999999</v>
      </c>
      <c r="C70">
        <v>20.562481999999999</v>
      </c>
      <c r="D70">
        <v>20.148375000000001</v>
      </c>
      <c r="E70">
        <v>20.264510999999999</v>
      </c>
      <c r="F70">
        <v>28.246914</v>
      </c>
      <c r="G70">
        <v>25.920974000000001</v>
      </c>
      <c r="H70">
        <v>24.663167000000001</v>
      </c>
      <c r="I70">
        <v>22.345689</v>
      </c>
      <c r="J70">
        <v>56.183225</v>
      </c>
      <c r="K70">
        <v>51.067932999999996</v>
      </c>
      <c r="L70">
        <v>237.15613999999999</v>
      </c>
      <c r="M70">
        <v>-622.48530700000003</v>
      </c>
      <c r="N70">
        <v>1.8615349999999999</v>
      </c>
      <c r="O70">
        <v>11.438348</v>
      </c>
      <c r="P70">
        <f t="shared" si="3"/>
        <v>3.1025583333333333E-5</v>
      </c>
      <c r="Q70" cm="1">
        <f t="array" ref="Q70">[1]!PropsSI("D","T",J70+273.15,"P",101325,"Water")</f>
        <v>985.11584886611035</v>
      </c>
      <c r="R70" cm="1">
        <f t="array" ref="R70">[1]!PropsSI("D","T",K70+273.15,"P",101325,"Water")</f>
        <v>987.54829768515344</v>
      </c>
      <c r="S70">
        <f t="shared" si="4"/>
        <v>986.33207327563196</v>
      </c>
      <c r="T70" cm="1">
        <f t="array" ref="T70">[1]!PropsSI("H","T",J70+273.15,"P",101325,"Water")</f>
        <v>235278.71106095286</v>
      </c>
      <c r="U70" cm="1">
        <f t="array" ref="U70">[1]!PropsSI("H","T",K70+273.15,"P",101325,"Water")</f>
        <v>213884.05007556267</v>
      </c>
      <c r="V70">
        <f t="shared" si="5"/>
        <v>654.70931577758392</v>
      </c>
    </row>
    <row r="71" spans="1:22" x14ac:dyDescent="0.2">
      <c r="A71">
        <v>46122.813996527781</v>
      </c>
      <c r="B71">
        <v>20.470932000000001</v>
      </c>
      <c r="C71">
        <v>20.591866</v>
      </c>
      <c r="D71">
        <v>20.142941</v>
      </c>
      <c r="E71">
        <v>20.237997</v>
      </c>
      <c r="F71">
        <v>28.468779999999999</v>
      </c>
      <c r="G71">
        <v>25.858937999999998</v>
      </c>
      <c r="H71">
        <v>25.011693000000001</v>
      </c>
      <c r="I71">
        <v>22.614992000000001</v>
      </c>
      <c r="J71">
        <v>56.184497999999998</v>
      </c>
      <c r="K71">
        <v>51.071747000000002</v>
      </c>
      <c r="L71">
        <v>250.43465900000001</v>
      </c>
      <c r="M71">
        <v>-622.49102100000005</v>
      </c>
      <c r="N71">
        <v>1.8713740000000001</v>
      </c>
      <c r="O71">
        <v>11.64438</v>
      </c>
      <c r="P71">
        <f t="shared" si="3"/>
        <v>3.118956666666667E-5</v>
      </c>
      <c r="Q71" cm="1">
        <f t="array" ref="Q71">[1]!PropsSI("D","T",J71+273.15,"P",101325,"Water")</f>
        <v>985.11522318908067</v>
      </c>
      <c r="R71" cm="1">
        <f t="array" ref="R71">[1]!PropsSI("D","T",K71+273.15,"P",101325,"Water")</f>
        <v>987.54654602151061</v>
      </c>
      <c r="S71">
        <f t="shared" si="4"/>
        <v>986.33088460529564</v>
      </c>
      <c r="T71" cm="1">
        <f t="array" ref="T71">[1]!PropsSI("H","T",J71+273.15,"P",101325,"Water")</f>
        <v>235284.03652332051</v>
      </c>
      <c r="U71" cm="1">
        <f t="array" ref="U71">[1]!PropsSI("H","T",K71+273.15,"P",101325,"Water")</f>
        <v>213899.99890518814</v>
      </c>
      <c r="V71">
        <f t="shared" si="5"/>
        <v>657.84212917816228</v>
      </c>
    </row>
    <row r="72" spans="1:22" x14ac:dyDescent="0.2">
      <c r="A72">
        <v>46122.81405439815</v>
      </c>
      <c r="B72">
        <v>20.370155</v>
      </c>
      <c r="C72">
        <v>20.382833000000002</v>
      </c>
      <c r="D72">
        <v>20.170224000000001</v>
      </c>
      <c r="E72">
        <v>20.247309999999999</v>
      </c>
      <c r="F72">
        <v>28.199290999999999</v>
      </c>
      <c r="G72">
        <v>25.739053999999999</v>
      </c>
      <c r="H72">
        <v>24.685084</v>
      </c>
      <c r="I72">
        <v>22.452012</v>
      </c>
      <c r="J72">
        <v>56.183543</v>
      </c>
      <c r="K72">
        <v>51.073495999999999</v>
      </c>
      <c r="L72">
        <v>242.60648</v>
      </c>
      <c r="M72">
        <v>-622.531835</v>
      </c>
      <c r="N72">
        <v>1.8745050000000001</v>
      </c>
      <c r="O72">
        <v>11.746919999999999</v>
      </c>
      <c r="P72">
        <f t="shared" si="3"/>
        <v>3.124175E-5</v>
      </c>
      <c r="Q72" cm="1">
        <f t="array" ref="Q72">[1]!PropsSI("D","T",J72+273.15,"P",101325,"Water")</f>
        <v>985.11569257064707</v>
      </c>
      <c r="R72" cm="1">
        <f t="array" ref="R72">[1]!PropsSI("D","T",K72+273.15,"P",101325,"Water")</f>
        <v>987.54574272317905</v>
      </c>
      <c r="S72">
        <f t="shared" si="4"/>
        <v>986.33071764691306</v>
      </c>
      <c r="T72" cm="1">
        <f t="array" ref="T72">[1]!PropsSI("H","T",J72+273.15,"P",101325,"Water")</f>
        <v>235280.04138063089</v>
      </c>
      <c r="U72" cm="1">
        <f t="array" ref="U72">[1]!PropsSI("H","T",K72+273.15,"P",101325,"Water")</f>
        <v>213907.31262002236</v>
      </c>
      <c r="V72">
        <f t="shared" si="5"/>
        <v>658.59417574047336</v>
      </c>
    </row>
    <row r="73" spans="1:22" x14ac:dyDescent="0.2">
      <c r="A73">
        <v>46122.81411284722</v>
      </c>
      <c r="B73">
        <v>20.351006999999999</v>
      </c>
      <c r="C73">
        <v>20.312768999999999</v>
      </c>
      <c r="D73">
        <v>20.106438000000001</v>
      </c>
      <c r="E73">
        <v>20.256319000000001</v>
      </c>
      <c r="F73">
        <v>28.291433000000001</v>
      </c>
      <c r="G73">
        <v>25.830767000000002</v>
      </c>
      <c r="H73">
        <v>25.069624999999998</v>
      </c>
      <c r="I73">
        <v>22.501995999999998</v>
      </c>
      <c r="J73">
        <v>56.182747999999997</v>
      </c>
      <c r="K73">
        <v>51.069681000000003</v>
      </c>
      <c r="L73">
        <v>244.706783</v>
      </c>
      <c r="M73">
        <v>-622.46775700000001</v>
      </c>
      <c r="N73">
        <v>1.8727879999999999</v>
      </c>
      <c r="O73">
        <v>11.664306</v>
      </c>
      <c r="P73">
        <f t="shared" si="3"/>
        <v>3.1213133333333334E-5</v>
      </c>
      <c r="Q73" cm="1">
        <f t="array" ref="Q73">[1]!PropsSI("D","T",J73+273.15,"P",101325,"Water")</f>
        <v>985.11608330810941</v>
      </c>
      <c r="R73" cm="1">
        <f t="array" ref="R73">[1]!PropsSI("D","T",K73+273.15,"P",101325,"Water")</f>
        <v>987.54749488927337</v>
      </c>
      <c r="S73">
        <f t="shared" si="4"/>
        <v>986.33178909869139</v>
      </c>
      <c r="T73" cm="1">
        <f t="array" ref="T73">[1]!PropsSI("H","T",J73+273.15,"P",101325,"Water")</f>
        <v>235276.71558151123</v>
      </c>
      <c r="U73" cm="1">
        <f t="array" ref="U73">[1]!PropsSI("H","T",K73+273.15,"P",101325,"Water")</f>
        <v>213891.3596067894</v>
      </c>
      <c r="V73">
        <f t="shared" si="5"/>
        <v>658.38038241563549</v>
      </c>
    </row>
    <row r="74" spans="1:22" x14ac:dyDescent="0.2">
      <c r="A74">
        <v>46122.814171296297</v>
      </c>
      <c r="B74">
        <v>20.224080000000001</v>
      </c>
      <c r="C74">
        <v>20.394932000000001</v>
      </c>
      <c r="D74">
        <v>20.222246999999999</v>
      </c>
      <c r="E74">
        <v>20.317174000000001</v>
      </c>
      <c r="F74">
        <v>28.160829</v>
      </c>
      <c r="G74">
        <v>25.964911000000001</v>
      </c>
      <c r="H74">
        <v>25.089314000000002</v>
      </c>
      <c r="I74">
        <v>22.457032999999999</v>
      </c>
      <c r="J74">
        <v>56.182588000000003</v>
      </c>
      <c r="K74">
        <v>51.073971999999998</v>
      </c>
      <c r="L74">
        <v>255.48583500000001</v>
      </c>
      <c r="M74">
        <v>-622.48204199999998</v>
      </c>
      <c r="N74">
        <v>1.8706290000000001</v>
      </c>
      <c r="O74">
        <v>11.687968</v>
      </c>
      <c r="P74">
        <f t="shared" si="3"/>
        <v>3.117715E-5</v>
      </c>
      <c r="Q74" cm="1">
        <f t="array" ref="Q74">[1]!PropsSI("D","T",J74+273.15,"P",101325,"Water")</f>
        <v>985.1161619466244</v>
      </c>
      <c r="R74" cm="1">
        <f t="array" ref="R74">[1]!PropsSI("D","T",K74+273.15,"P",101325,"Water")</f>
        <v>987.54552409767325</v>
      </c>
      <c r="S74">
        <f t="shared" si="4"/>
        <v>986.33084302214888</v>
      </c>
      <c r="T74" cm="1">
        <f t="array" ref="T74">[1]!PropsSI("H","T",J74+273.15,"P",101325,"Water")</f>
        <v>235276.04623833785</v>
      </c>
      <c r="U74" cm="1">
        <f t="array" ref="U74">[1]!PropsSI("H","T",K74+273.15,"P",101325,"Water")</f>
        <v>213909.30308804865</v>
      </c>
      <c r="V74">
        <f t="shared" si="5"/>
        <v>657.04839047538326</v>
      </c>
    </row>
    <row r="75" spans="1:22" x14ac:dyDescent="0.2">
      <c r="A75">
        <v>46122.814229745367</v>
      </c>
      <c r="B75">
        <v>20.662801999999999</v>
      </c>
      <c r="C75">
        <v>20.457615000000001</v>
      </c>
      <c r="D75">
        <v>20.188822999999999</v>
      </c>
      <c r="E75">
        <v>20.307756999999999</v>
      </c>
      <c r="F75">
        <v>28.393803999999999</v>
      </c>
      <c r="G75">
        <v>25.588197000000001</v>
      </c>
      <c r="H75">
        <v>25.160592999999999</v>
      </c>
      <c r="I75">
        <v>22.386887000000002</v>
      </c>
      <c r="J75">
        <v>56.184657999999999</v>
      </c>
      <c r="K75">
        <v>51.076673999999997</v>
      </c>
      <c r="L75">
        <v>249.42777100000001</v>
      </c>
      <c r="M75">
        <v>-622.48897999999997</v>
      </c>
      <c r="N75">
        <v>1.8711199999999999</v>
      </c>
      <c r="O75">
        <v>11.70187</v>
      </c>
      <c r="P75">
        <f t="shared" si="3"/>
        <v>3.1185333333333334E-5</v>
      </c>
      <c r="Q75" cm="1">
        <f t="array" ref="Q75">[1]!PropsSI("D","T",J75+273.15,"P",101325,"Water")</f>
        <v>985.11514454870621</v>
      </c>
      <c r="R75" cm="1">
        <f t="array" ref="R75">[1]!PropsSI("D","T",K75+273.15,"P",101325,"Water")</f>
        <v>987.54428304856685</v>
      </c>
      <c r="S75">
        <f t="shared" si="4"/>
        <v>986.32971379863648</v>
      </c>
      <c r="T75" cm="1">
        <f t="array" ref="T75">[1]!PropsSI("H","T",J75+273.15,"P",101325,"Water")</f>
        <v>235284.70586661506</v>
      </c>
      <c r="U75" cm="1">
        <f t="array" ref="U75">[1]!PropsSI("H","T",K75+273.15,"P",101325,"Water")</f>
        <v>213920.60192253106</v>
      </c>
      <c r="V75">
        <f t="shared" si="5"/>
        <v>657.13891975537183</v>
      </c>
    </row>
    <row r="76" spans="1:22" x14ac:dyDescent="0.2">
      <c r="A76">
        <v>46122.814288194444</v>
      </c>
      <c r="B76">
        <v>20.452817</v>
      </c>
      <c r="C76">
        <v>20.382853000000001</v>
      </c>
      <c r="D76">
        <v>20.115461</v>
      </c>
      <c r="E76">
        <v>20.165541000000001</v>
      </c>
      <c r="F76">
        <v>28.415096999999999</v>
      </c>
      <c r="G76">
        <v>25.834394</v>
      </c>
      <c r="H76">
        <v>24.564133000000002</v>
      </c>
      <c r="I76">
        <v>22.071756000000001</v>
      </c>
      <c r="J76">
        <v>56.184975999999999</v>
      </c>
      <c r="K76">
        <v>51.078263</v>
      </c>
      <c r="L76">
        <v>280.09358200000003</v>
      </c>
      <c r="M76">
        <v>-622.455512</v>
      </c>
      <c r="N76">
        <v>1.8729769999999999</v>
      </c>
      <c r="O76">
        <v>11.63429</v>
      </c>
      <c r="P76">
        <f t="shared" si="3"/>
        <v>3.1216283333333331E-5</v>
      </c>
      <c r="Q76" cm="1">
        <f t="array" ref="Q76">[1]!PropsSI("D","T",J76+273.15,"P",101325,"Water")</f>
        <v>985.11498825045749</v>
      </c>
      <c r="R76" cm="1">
        <f t="array" ref="R76">[1]!PropsSI("D","T",K76+273.15,"P",101325,"Water")</f>
        <v>987.54355318675391</v>
      </c>
      <c r="S76">
        <f t="shared" si="4"/>
        <v>986.3292707186057</v>
      </c>
      <c r="T76" cm="1">
        <f t="array" ref="T76">[1]!PropsSI("H","T",J76+273.15,"P",101325,"Water")</f>
        <v>235286.03618644367</v>
      </c>
      <c r="U76" cm="1">
        <f t="array" ref="U76">[1]!PropsSI("H","T",K76+273.15,"P",101325,"Water")</f>
        <v>213927.2465748821</v>
      </c>
      <c r="V76">
        <f t="shared" si="5"/>
        <v>657.62717840390144</v>
      </c>
    </row>
    <row r="77" spans="1:22" x14ac:dyDescent="0.2">
      <c r="A77">
        <v>46122.814346643521</v>
      </c>
      <c r="B77">
        <v>20.369624000000002</v>
      </c>
      <c r="C77">
        <v>20.386021</v>
      </c>
      <c r="D77">
        <v>20.071967999999998</v>
      </c>
      <c r="E77">
        <v>20.186136999999999</v>
      </c>
      <c r="F77">
        <v>28.30667</v>
      </c>
      <c r="G77">
        <v>25.868599</v>
      </c>
      <c r="H77">
        <v>25.056221000000001</v>
      </c>
      <c r="I77">
        <v>22.422937999999998</v>
      </c>
      <c r="J77">
        <v>56.185772</v>
      </c>
      <c r="K77">
        <v>51.077469000000001</v>
      </c>
      <c r="L77">
        <v>263.258915</v>
      </c>
      <c r="M77">
        <v>-622.47551099999998</v>
      </c>
      <c r="N77">
        <v>1.871801</v>
      </c>
      <c r="O77">
        <v>11.724883999999999</v>
      </c>
      <c r="P77">
        <f t="shared" si="3"/>
        <v>3.1196683333333336E-5</v>
      </c>
      <c r="Q77" cm="1">
        <f t="array" ref="Q77">[1]!PropsSI("D","T",J77+273.15,"P",101325,"Water")</f>
        <v>985.11459701063757</v>
      </c>
      <c r="R77" cm="1">
        <f t="array" ref="R77">[1]!PropsSI("D","T",K77+273.15,"P",101325,"Water")</f>
        <v>987.5439178900408</v>
      </c>
      <c r="S77">
        <f t="shared" si="4"/>
        <v>986.32925745033913</v>
      </c>
      <c r="T77" cm="1">
        <f t="array" ref="T77">[1]!PropsSI("H","T",J77+273.15,"P",101325,"Water")</f>
        <v>235289.36616968276</v>
      </c>
      <c r="U77" cm="1">
        <f t="array" ref="U77">[1]!PropsSI("H","T",K77+273.15,"P",101325,"Water")</f>
        <v>213923.92633941406</v>
      </c>
      <c r="V77">
        <f t="shared" si="5"/>
        <v>657.41888886476193</v>
      </c>
    </row>
    <row r="78" spans="1:22" x14ac:dyDescent="0.2">
      <c r="A78">
        <v>46122.814404513891</v>
      </c>
      <c r="B78">
        <v>20.282603999999999</v>
      </c>
      <c r="C78">
        <v>20.290444999999998</v>
      </c>
      <c r="D78">
        <v>20.137972999999999</v>
      </c>
      <c r="E78">
        <v>20.243649000000001</v>
      </c>
      <c r="F78">
        <v>28.131948999999999</v>
      </c>
      <c r="G78">
        <v>25.812217</v>
      </c>
      <c r="H78">
        <v>24.758520000000001</v>
      </c>
      <c r="I78">
        <v>22.441089000000002</v>
      </c>
      <c r="J78">
        <v>56.182428999999999</v>
      </c>
      <c r="K78">
        <v>51.041868999999998</v>
      </c>
      <c r="L78">
        <v>243.18889899999999</v>
      </c>
      <c r="M78">
        <v>-622.519183</v>
      </c>
      <c r="N78">
        <v>1.875075</v>
      </c>
      <c r="O78">
        <v>11.70506</v>
      </c>
      <c r="P78">
        <f t="shared" si="3"/>
        <v>3.125125E-5</v>
      </c>
      <c r="Q78" cm="1">
        <f t="array" ref="Q78">[1]!PropsSI("D","T",J78+273.15,"P",101325,"Water")</f>
        <v>985.1162400934935</v>
      </c>
      <c r="R78" cm="1">
        <f t="array" ref="R78">[1]!PropsSI("D","T",K78+273.15,"P",101325,"Water")</f>
        <v>987.560265628715</v>
      </c>
      <c r="S78">
        <f t="shared" si="4"/>
        <v>986.33825286110425</v>
      </c>
      <c r="T78" cm="1">
        <f t="array" ref="T78">[1]!PropsSI("H","T",J78+273.15,"P",101325,"Water")</f>
        <v>235275.38107852646</v>
      </c>
      <c r="U78" cm="1">
        <f t="array" ref="U78">[1]!PropsSI("H","T",K78+273.15,"P",101325,"Water")</f>
        <v>213775.05955415239</v>
      </c>
      <c r="V78">
        <f t="shared" si="5"/>
        <v>662.73243224643272</v>
      </c>
    </row>
    <row r="79" spans="1:22" x14ac:dyDescent="0.2">
      <c r="A79">
        <v>46122.81446238426</v>
      </c>
      <c r="B79">
        <v>20.573028999999998</v>
      </c>
      <c r="C79">
        <v>20.578899</v>
      </c>
      <c r="D79">
        <v>20.121151999999999</v>
      </c>
      <c r="E79">
        <v>20.287420999999998</v>
      </c>
      <c r="F79">
        <v>28.266323</v>
      </c>
      <c r="G79">
        <v>25.76868</v>
      </c>
      <c r="H79">
        <v>24.636835999999999</v>
      </c>
      <c r="I79">
        <v>22.079252</v>
      </c>
      <c r="J79">
        <v>56.181314999999998</v>
      </c>
      <c r="K79">
        <v>51.04918</v>
      </c>
      <c r="L79">
        <v>251.027691</v>
      </c>
      <c r="M79">
        <v>-622.51877500000001</v>
      </c>
      <c r="N79">
        <v>1.86876</v>
      </c>
      <c r="O79">
        <v>11.665475000000001</v>
      </c>
      <c r="P79">
        <f t="shared" si="3"/>
        <v>3.1145999999999996E-5</v>
      </c>
      <c r="Q79" cm="1">
        <f t="array" ref="Q79">[1]!PropsSI("D","T",J79+273.15,"P",101325,"Water")</f>
        <v>985.11678760873565</v>
      </c>
      <c r="R79" cm="1">
        <f t="array" ref="R79">[1]!PropsSI("D","T",K79+273.15,"P",101325,"Water")</f>
        <v>987.55690904275104</v>
      </c>
      <c r="S79">
        <f t="shared" si="4"/>
        <v>986.3368483257434</v>
      </c>
      <c r="T79" cm="1">
        <f t="array" ref="T79">[1]!PropsSI("H","T",J79+273.15,"P",101325,"Water")</f>
        <v>235270.72077690944</v>
      </c>
      <c r="U79" cm="1">
        <f t="array" ref="U79">[1]!PropsSI("H","T",K79+273.15,"P",101325,"Water")</f>
        <v>213805.63157557417</v>
      </c>
      <c r="V79">
        <f t="shared" si="5"/>
        <v>659.41714541920919</v>
      </c>
    </row>
    <row r="80" spans="1:22" x14ac:dyDescent="0.2">
      <c r="A80">
        <v>46122.81452083333</v>
      </c>
      <c r="B80">
        <v>20.386095000000001</v>
      </c>
      <c r="C80">
        <v>20.393532</v>
      </c>
      <c r="D80">
        <v>20.083193000000001</v>
      </c>
      <c r="E80">
        <v>20.177488</v>
      </c>
      <c r="F80">
        <v>28.292090000000002</v>
      </c>
      <c r="G80">
        <v>25.828451000000001</v>
      </c>
      <c r="H80">
        <v>24.897452000000001</v>
      </c>
      <c r="I80">
        <v>22.459641000000001</v>
      </c>
      <c r="J80">
        <v>56.181632999999998</v>
      </c>
      <c r="K80">
        <v>51.059669</v>
      </c>
      <c r="L80">
        <v>258.33303899999999</v>
      </c>
      <c r="M80">
        <v>-622.48000100000002</v>
      </c>
      <c r="N80">
        <v>1.8725750000000001</v>
      </c>
      <c r="O80">
        <v>11.677662</v>
      </c>
      <c r="P80">
        <f t="shared" si="3"/>
        <v>3.1209583333333337E-5</v>
      </c>
      <c r="Q80" cm="1">
        <f t="array" ref="Q80">[1]!PropsSI("D","T",J80+273.15,"P",101325,"Water")</f>
        <v>985.1166313170055</v>
      </c>
      <c r="R80" cm="1">
        <f t="array" ref="R80">[1]!PropsSI("D","T",K80+273.15,"P",101325,"Water")</f>
        <v>987.55209278600262</v>
      </c>
      <c r="S80">
        <f t="shared" si="4"/>
        <v>986.33436205150406</v>
      </c>
      <c r="T80" cm="1">
        <f t="array" ref="T80">[1]!PropsSI("H","T",J80+273.15,"P",101325,"Water")</f>
        <v>235272.05109633776</v>
      </c>
      <c r="U80" cm="1">
        <f t="array" ref="U80">[1]!PropsSI("H","T",K80+273.15,"P",101325,"Water")</f>
        <v>213849.4928992521</v>
      </c>
      <c r="V80">
        <f t="shared" si="5"/>
        <v>659.45241847960961</v>
      </c>
    </row>
    <row r="81" spans="1:22" x14ac:dyDescent="0.2">
      <c r="A81">
        <v>46122.814578703707</v>
      </c>
      <c r="B81">
        <v>20.549143000000001</v>
      </c>
      <c r="C81">
        <v>20.387142000000001</v>
      </c>
      <c r="D81">
        <v>20.061018000000001</v>
      </c>
      <c r="E81">
        <v>20.172312999999999</v>
      </c>
      <c r="F81">
        <v>28.241572000000001</v>
      </c>
      <c r="G81">
        <v>25.631506999999999</v>
      </c>
      <c r="H81">
        <v>24.719657999999999</v>
      </c>
      <c r="I81">
        <v>22.158208999999999</v>
      </c>
      <c r="J81">
        <v>56.183543</v>
      </c>
      <c r="K81">
        <v>51.060623</v>
      </c>
      <c r="L81">
        <v>267.05015400000002</v>
      </c>
      <c r="M81">
        <v>-622.48857199999998</v>
      </c>
      <c r="N81">
        <v>1.8714360000000001</v>
      </c>
      <c r="O81">
        <v>11.780671999999999</v>
      </c>
      <c r="P81">
        <f t="shared" si="3"/>
        <v>3.1190600000000006E-5</v>
      </c>
      <c r="Q81" cm="1">
        <f t="array" ref="Q81">[1]!PropsSI("D","T",J81+273.15,"P",101325,"Water")</f>
        <v>985.11569257064707</v>
      </c>
      <c r="R81" cm="1">
        <f t="array" ref="R81">[1]!PropsSI("D","T",K81+273.15,"P",101325,"Water")</f>
        <v>987.55165470039049</v>
      </c>
      <c r="S81">
        <f t="shared" si="4"/>
        <v>986.33367363551883</v>
      </c>
      <c r="T81" cm="1">
        <f t="array" ref="T81">[1]!PropsSI("H","T",J81+273.15,"P",101325,"Water")</f>
        <v>235280.04138063089</v>
      </c>
      <c r="U81" cm="1">
        <f t="array" ref="U81">[1]!PropsSI("H","T",K81+273.15,"P",101325,"Water")</f>
        <v>213853.48219467374</v>
      </c>
      <c r="V81">
        <f t="shared" si="5"/>
        <v>659.17393213367336</v>
      </c>
    </row>
    <row r="82" spans="1:22" x14ac:dyDescent="0.2">
      <c r="A82">
        <v>46122.814636574076</v>
      </c>
      <c r="B82">
        <v>20.488614999999999</v>
      </c>
      <c r="C82">
        <v>20.309467999999999</v>
      </c>
      <c r="D82">
        <v>20.133780000000002</v>
      </c>
      <c r="E82">
        <v>20.255120000000002</v>
      </c>
      <c r="F82">
        <v>28.389195000000001</v>
      </c>
      <c r="G82">
        <v>25.739053999999999</v>
      </c>
      <c r="H82">
        <v>24.720217000000002</v>
      </c>
      <c r="I82">
        <v>22.185189000000001</v>
      </c>
      <c r="J82">
        <v>56.184975999999999</v>
      </c>
      <c r="K82">
        <v>51.064278000000002</v>
      </c>
      <c r="L82">
        <v>265.7192</v>
      </c>
      <c r="M82">
        <v>-622.48897999999997</v>
      </c>
      <c r="N82">
        <v>1.8744350000000001</v>
      </c>
      <c r="O82">
        <v>11.623500999999999</v>
      </c>
      <c r="P82">
        <f t="shared" si="3"/>
        <v>3.1240583333333337E-5</v>
      </c>
      <c r="Q82" cm="1">
        <f t="array" ref="Q82">[1]!PropsSI("D","T",J82+273.15,"P",101325,"Water")</f>
        <v>985.11498825045749</v>
      </c>
      <c r="R82" cm="1">
        <f t="array" ref="R82">[1]!PropsSI("D","T",K82+273.15,"P",101325,"Water")</f>
        <v>987.54997623603481</v>
      </c>
      <c r="S82">
        <f t="shared" si="4"/>
        <v>986.3324822432462</v>
      </c>
      <c r="T82" cm="1">
        <f t="array" ref="T82">[1]!PropsSI("H","T",J82+273.15,"P",101325,"Water")</f>
        <v>235286.03618644367</v>
      </c>
      <c r="U82" cm="1">
        <f t="array" ref="U82">[1]!PropsSI("H","T",K82+273.15,"P",101325,"Water")</f>
        <v>213868.76613314141</v>
      </c>
      <c r="V82">
        <f t="shared" si="5"/>
        <v>659.9432376169276</v>
      </c>
    </row>
    <row r="83" spans="1:22" x14ac:dyDescent="0.2">
      <c r="A83">
        <v>46122.814694444445</v>
      </c>
      <c r="B83">
        <v>20.511644</v>
      </c>
      <c r="C83">
        <v>20.492494000000001</v>
      </c>
      <c r="D83">
        <v>20.115760000000002</v>
      </c>
      <c r="E83">
        <v>20.213854000000001</v>
      </c>
      <c r="F83">
        <v>28.385386</v>
      </c>
      <c r="G83">
        <v>25.815487999999998</v>
      </c>
      <c r="H83">
        <v>24.930986000000001</v>
      </c>
      <c r="I83">
        <v>22.428322000000001</v>
      </c>
      <c r="J83">
        <v>56.185453000000003</v>
      </c>
      <c r="K83">
        <v>51.067932999999996</v>
      </c>
      <c r="L83">
        <v>263.67073099999999</v>
      </c>
      <c r="M83">
        <v>-622.49632699999995</v>
      </c>
      <c r="N83">
        <v>1.87453</v>
      </c>
      <c r="O83">
        <v>11.715595</v>
      </c>
      <c r="P83">
        <f t="shared" si="3"/>
        <v>3.124216666666667E-5</v>
      </c>
      <c r="Q83" cm="1">
        <f t="array" ref="Q83">[1]!PropsSI("D","T",J83+273.15,"P",101325,"Water")</f>
        <v>985.11475380194668</v>
      </c>
      <c r="R83" cm="1">
        <f t="array" ref="R83">[1]!PropsSI("D","T",K83+273.15,"P",101325,"Water")</f>
        <v>987.54829768515344</v>
      </c>
      <c r="S83">
        <f t="shared" si="4"/>
        <v>986.33152574355006</v>
      </c>
      <c r="T83" cm="1">
        <f t="array" ref="T83">[1]!PropsSI("H","T",J83+273.15,"P",101325,"Water")</f>
        <v>235288.03166635687</v>
      </c>
      <c r="U83" cm="1">
        <f t="array" ref="U83">[1]!PropsSI("H","T",K83+273.15,"P",101325,"Water")</f>
        <v>213884.05007556267</v>
      </c>
      <c r="V83">
        <f t="shared" si="5"/>
        <v>659.56655905308833</v>
      </c>
    </row>
    <row r="84" spans="1:22" x14ac:dyDescent="0.2">
      <c r="A84">
        <v>46122.814752893515</v>
      </c>
      <c r="B84">
        <v>20.408614</v>
      </c>
      <c r="C84">
        <v>20.347142999999999</v>
      </c>
      <c r="D84">
        <v>20.057701000000002</v>
      </c>
      <c r="E84">
        <v>20.208086999999999</v>
      </c>
      <c r="F84">
        <v>28.273119999999999</v>
      </c>
      <c r="G84">
        <v>25.943463000000001</v>
      </c>
      <c r="H84">
        <v>24.640678000000001</v>
      </c>
      <c r="I84">
        <v>22.312728</v>
      </c>
      <c r="J84">
        <v>56.184179999999998</v>
      </c>
      <c r="K84">
        <v>51.066820999999997</v>
      </c>
      <c r="L84">
        <v>257.02820700000001</v>
      </c>
      <c r="M84">
        <v>-622.47347100000002</v>
      </c>
      <c r="N84">
        <v>1.8716489999999999</v>
      </c>
      <c r="O84">
        <v>11.610018</v>
      </c>
      <c r="P84">
        <f t="shared" si="3"/>
        <v>3.1194149999999997E-5</v>
      </c>
      <c r="Q84" cm="1">
        <f t="array" ref="Q84">[1]!PropsSI("D","T",J84+273.15,"P",101325,"Water")</f>
        <v>985.11537948640216</v>
      </c>
      <c r="R84" cm="1">
        <f t="array" ref="R84">[1]!PropsSI("D","T",K84+273.15,"P",101325,"Water")</f>
        <v>987.54880837791939</v>
      </c>
      <c r="S84">
        <f t="shared" si="4"/>
        <v>986.33209393216077</v>
      </c>
      <c r="T84" cm="1">
        <f t="array" ref="T84">[1]!PropsSI("H","T",J84+273.15,"P",101325,"Water")</f>
        <v>235282.70620352728</v>
      </c>
      <c r="U84" cm="1">
        <f t="array" ref="U84">[1]!PropsSI("H","T",K84+273.15,"P",101325,"Water")</f>
        <v>213879.40007676609</v>
      </c>
      <c r="V84">
        <f t="shared" si="5"/>
        <v>658.53245577994551</v>
      </c>
    </row>
    <row r="85" spans="1:22" x14ac:dyDescent="0.2">
      <c r="A85">
        <v>46122.814810763892</v>
      </c>
      <c r="B85">
        <v>20.370259000000001</v>
      </c>
      <c r="C85">
        <v>20.356005</v>
      </c>
      <c r="D85">
        <v>20.102080000000001</v>
      </c>
      <c r="E85">
        <v>20.261196000000002</v>
      </c>
      <c r="F85">
        <v>28.226655000000001</v>
      </c>
      <c r="G85">
        <v>25.83859</v>
      </c>
      <c r="H85">
        <v>24.862231000000001</v>
      </c>
      <c r="I85">
        <v>22.372695</v>
      </c>
      <c r="J85">
        <v>56.183065999999997</v>
      </c>
      <c r="K85">
        <v>51.066026000000001</v>
      </c>
      <c r="L85">
        <v>270.955264</v>
      </c>
      <c r="M85">
        <v>-622.48897999999997</v>
      </c>
      <c r="N85">
        <v>1.8717349999999999</v>
      </c>
      <c r="O85">
        <v>11.482597</v>
      </c>
      <c r="P85">
        <f t="shared" si="3"/>
        <v>3.1195583333333333E-5</v>
      </c>
      <c r="Q85" cm="1">
        <f t="array" ref="Q85">[1]!PropsSI("D","T",J85+273.15,"P",101325,"Water")</f>
        <v>985.11592701359632</v>
      </c>
      <c r="R85" cm="1">
        <f t="array" ref="R85">[1]!PropsSI("D","T",K85+273.15,"P",101325,"Water")</f>
        <v>987.54917348159643</v>
      </c>
      <c r="S85">
        <f t="shared" si="4"/>
        <v>986.33255024759637</v>
      </c>
      <c r="T85" cm="1">
        <f t="array" ref="T85">[1]!PropsSI("H","T",J85+273.15,"P",101325,"Water")</f>
        <v>235278.04590115181</v>
      </c>
      <c r="U85" cm="1">
        <f t="array" ref="U85">[1]!PropsSI("H","T",K85+273.15,"P",101325,"Water")</f>
        <v>213876.07566237485</v>
      </c>
      <c r="V85">
        <f t="shared" si="5"/>
        <v>658.52191499337493</v>
      </c>
    </row>
    <row r="86" spans="1:22" x14ac:dyDescent="0.2">
      <c r="A86">
        <v>46122.814869212962</v>
      </c>
      <c r="B86">
        <v>20.248843000000001</v>
      </c>
      <c r="C86">
        <v>20.306189</v>
      </c>
      <c r="D86">
        <v>20.062018999999999</v>
      </c>
      <c r="E86">
        <v>20.221091000000001</v>
      </c>
      <c r="F86">
        <v>28.226983000000001</v>
      </c>
      <c r="G86">
        <v>25.573965000000001</v>
      </c>
      <c r="H86">
        <v>24.765355</v>
      </c>
      <c r="I86">
        <v>22.465060000000001</v>
      </c>
      <c r="J86">
        <v>56.184021000000001</v>
      </c>
      <c r="K86">
        <v>51.062846999999998</v>
      </c>
      <c r="L86">
        <v>239.57153</v>
      </c>
      <c r="M86">
        <v>-622.49591899999996</v>
      </c>
      <c r="N86">
        <v>1.8707229999999999</v>
      </c>
      <c r="O86">
        <v>11.69755</v>
      </c>
      <c r="P86">
        <f t="shared" si="3"/>
        <v>3.1178716666666663E-5</v>
      </c>
      <c r="Q86" cm="1">
        <f t="array" ref="Q86">[1]!PropsSI("D","T",J86+273.15,"P",101325,"Water")</f>
        <v>985.11545763481092</v>
      </c>
      <c r="R86" cm="1">
        <f t="array" ref="R86">[1]!PropsSI("D","T",K86+273.15,"P",101325,"Water")</f>
        <v>987.55063339615424</v>
      </c>
      <c r="S86">
        <f t="shared" si="4"/>
        <v>986.33304551548258</v>
      </c>
      <c r="T86" cm="1">
        <f t="array" ref="T86">[1]!PropsSI("H","T",J86+273.15,"P",101325,"Water")</f>
        <v>235282.04104363831</v>
      </c>
      <c r="U86" cm="1">
        <f t="array" ref="U86">[1]!PropsSI("H","T",K86+273.15,"P",101325,"Water")</f>
        <v>213862.78218849946</v>
      </c>
      <c r="V86">
        <f t="shared" si="5"/>
        <v>658.69786913399832</v>
      </c>
    </row>
    <row r="87" spans="1:22" x14ac:dyDescent="0.2">
      <c r="A87">
        <v>46122.814927083331</v>
      </c>
      <c r="B87">
        <v>20.22738</v>
      </c>
      <c r="C87">
        <v>20.277940000000001</v>
      </c>
      <c r="D87">
        <v>20.102954</v>
      </c>
      <c r="E87">
        <v>20.188085000000001</v>
      </c>
      <c r="F87">
        <v>28.201401000000001</v>
      </c>
      <c r="G87">
        <v>25.732243</v>
      </c>
      <c r="H87">
        <v>24.816098</v>
      </c>
      <c r="I87">
        <v>22.206644000000001</v>
      </c>
      <c r="J87">
        <v>56.182428999999999</v>
      </c>
      <c r="K87">
        <v>51.059669</v>
      </c>
      <c r="L87">
        <v>255.36747299999999</v>
      </c>
      <c r="M87">
        <v>-622.47796000000005</v>
      </c>
      <c r="N87">
        <v>1.8696330000000001</v>
      </c>
      <c r="O87">
        <v>11.760465999999999</v>
      </c>
      <c r="P87">
        <f t="shared" si="3"/>
        <v>3.1160550000000004E-5</v>
      </c>
      <c r="Q87" cm="1">
        <f t="array" ref="Q87">[1]!PropsSI("D","T",J87+273.15,"P",101325,"Water")</f>
        <v>985.1162400934935</v>
      </c>
      <c r="R87" cm="1">
        <f t="array" ref="R87">[1]!PropsSI("D","T",K87+273.15,"P",101325,"Water")</f>
        <v>987.55209278600262</v>
      </c>
      <c r="S87">
        <f t="shared" si="4"/>
        <v>986.33416643974806</v>
      </c>
      <c r="T87" cm="1">
        <f t="array" ref="T87">[1]!PropsSI("H","T",J87+273.15,"P",101325,"Water")</f>
        <v>235275.38107852646</v>
      </c>
      <c r="U87" cm="1">
        <f t="array" ref="U87">[1]!PropsSI("H","T",K87+273.15,"P",101325,"Water")</f>
        <v>213849.4928992521</v>
      </c>
      <c r="V87">
        <f t="shared" si="5"/>
        <v>658.51856916987322</v>
      </c>
    </row>
    <row r="88" spans="1:22" x14ac:dyDescent="0.2">
      <c r="A88">
        <v>46122.814985532408</v>
      </c>
      <c r="B88">
        <v>20.196770000000001</v>
      </c>
      <c r="C88">
        <v>20.280325999999999</v>
      </c>
      <c r="D88">
        <v>20.064482000000002</v>
      </c>
      <c r="E88">
        <v>20.203541000000001</v>
      </c>
      <c r="F88">
        <v>27.990673999999999</v>
      </c>
      <c r="G88">
        <v>25.515573</v>
      </c>
      <c r="H88">
        <v>24.783377000000002</v>
      </c>
      <c r="I88">
        <v>22.176742000000001</v>
      </c>
      <c r="J88">
        <v>56.184817000000002</v>
      </c>
      <c r="K88">
        <v>51.061416999999999</v>
      </c>
      <c r="L88">
        <v>247.761324</v>
      </c>
      <c r="M88">
        <v>-622.487348</v>
      </c>
      <c r="N88">
        <v>1.872341</v>
      </c>
      <c r="O88">
        <v>11.764799</v>
      </c>
      <c r="P88">
        <f t="shared" si="3"/>
        <v>3.1205683333333335E-5</v>
      </c>
      <c r="Q88" cm="1">
        <f t="array" ref="Q88">[1]!PropsSI("D","T",J88+273.15,"P",101325,"Water")</f>
        <v>985.11506639966103</v>
      </c>
      <c r="R88" cm="1">
        <f t="array" ref="R88">[1]!PropsSI("D","T",K88+273.15,"P",101325,"Water")</f>
        <v>987.55129008376002</v>
      </c>
      <c r="S88">
        <f t="shared" si="4"/>
        <v>986.33317824171058</v>
      </c>
      <c r="T88" cm="1">
        <f t="array" ref="T88">[1]!PropsSI("H","T",J88+273.15,"P",101325,"Water")</f>
        <v>235285.3710265166</v>
      </c>
      <c r="U88" cm="1">
        <f t="array" ref="U88">[1]!PropsSI("H","T",K88+273.15,"P",101325,"Water")</f>
        <v>213856.80242612865</v>
      </c>
      <c r="V88">
        <f t="shared" si="5"/>
        <v>659.55421626586667</v>
      </c>
    </row>
    <row r="89" spans="1:22" x14ac:dyDescent="0.2">
      <c r="A89">
        <v>46122.815043402778</v>
      </c>
      <c r="B89">
        <v>20.326378999999999</v>
      </c>
      <c r="C89">
        <v>20.309242000000001</v>
      </c>
      <c r="D89">
        <v>20.072732999999999</v>
      </c>
      <c r="E89">
        <v>20.269600000000001</v>
      </c>
      <c r="F89">
        <v>28.187155000000001</v>
      </c>
      <c r="G89">
        <v>25.897922999999999</v>
      </c>
      <c r="H89">
        <v>24.711282000000001</v>
      </c>
      <c r="I89">
        <v>22.601572999999998</v>
      </c>
      <c r="J89">
        <v>56.182907</v>
      </c>
      <c r="K89">
        <v>51.058079999999997</v>
      </c>
      <c r="L89">
        <v>263.58910300000002</v>
      </c>
      <c r="M89">
        <v>-622.50897899999995</v>
      </c>
      <c r="N89">
        <v>1.872403</v>
      </c>
      <c r="O89">
        <v>11.617400999999999</v>
      </c>
      <c r="P89">
        <f t="shared" si="3"/>
        <v>3.1206716666666671E-5</v>
      </c>
      <c r="Q89" cm="1">
        <f t="array" ref="Q89">[1]!PropsSI("D","T",J89+273.15,"P",101325,"Water")</f>
        <v>985.11600516092381</v>
      </c>
      <c r="R89" cm="1">
        <f t="array" ref="R89">[1]!PropsSI("D","T",K89+273.15,"P",101325,"Water")</f>
        <v>987.55282245640535</v>
      </c>
      <c r="S89">
        <f t="shared" si="4"/>
        <v>986.33441380866452</v>
      </c>
      <c r="T89" cm="1">
        <f t="array" ref="T89">[1]!PropsSI("H","T",J89+273.15,"P",101325,"Water")</f>
        <v>235277.38074134325</v>
      </c>
      <c r="U89" cm="1">
        <f t="array" ref="U89">[1]!PropsSI("H","T",K89+273.15,"P",101325,"Water")</f>
        <v>213842.84825573963</v>
      </c>
      <c r="V89">
        <f t="shared" si="5"/>
        <v>659.76045266927417</v>
      </c>
    </row>
    <row r="90" spans="1:22" x14ac:dyDescent="0.2">
      <c r="A90">
        <v>46122.815101851855</v>
      </c>
      <c r="B90">
        <v>20.489633999999999</v>
      </c>
      <c r="C90">
        <v>20.442578000000001</v>
      </c>
      <c r="D90">
        <v>20.150575</v>
      </c>
      <c r="E90">
        <v>20.246931</v>
      </c>
      <c r="F90">
        <v>28.354917</v>
      </c>
      <c r="G90">
        <v>25.718789000000001</v>
      </c>
      <c r="H90">
        <v>24.681709999999999</v>
      </c>
      <c r="I90">
        <v>22.314886999999999</v>
      </c>
      <c r="J90">
        <v>56.180678</v>
      </c>
      <c r="K90">
        <v>51.060623</v>
      </c>
      <c r="L90">
        <v>262.99566299999998</v>
      </c>
      <c r="M90">
        <v>-622.46979699999997</v>
      </c>
      <c r="N90">
        <v>1.8694200000000001</v>
      </c>
      <c r="O90">
        <v>11.723231999999999</v>
      </c>
      <c r="P90">
        <f t="shared" si="3"/>
        <v>3.1157E-5</v>
      </c>
      <c r="Q90" cm="1">
        <f t="array" ref="Q90">[1]!PropsSI("D","T",J90+273.15,"P",101325,"Water")</f>
        <v>985.1171006817865</v>
      </c>
      <c r="R90" cm="1">
        <f t="array" ref="R90">[1]!PropsSI("D","T",K90+273.15,"P",101325,"Water")</f>
        <v>987.55165470039049</v>
      </c>
      <c r="S90">
        <f t="shared" si="4"/>
        <v>986.33437769108855</v>
      </c>
      <c r="T90" cm="1">
        <f t="array" ref="T90">[1]!PropsSI("H","T",J90+273.15,"P",101325,"Water")</f>
        <v>235268.05595470945</v>
      </c>
      <c r="U90" cm="1">
        <f t="array" ref="U90">[1]!PropsSI("H","T",K90+273.15,"P",101325,"Water")</f>
        <v>213853.48219467374</v>
      </c>
      <c r="V90">
        <f t="shared" si="5"/>
        <v>658.09598183131743</v>
      </c>
    </row>
    <row r="91" spans="1:22" x14ac:dyDescent="0.2">
      <c r="A91">
        <v>46122.815159722224</v>
      </c>
      <c r="B91">
        <v>20.642865</v>
      </c>
      <c r="C91">
        <v>20.510501999999999</v>
      </c>
      <c r="D91">
        <v>20.232420000000001</v>
      </c>
      <c r="E91">
        <v>20.250513999999999</v>
      </c>
      <c r="F91">
        <v>28.382539999999999</v>
      </c>
      <c r="G91">
        <v>25.949331000000001</v>
      </c>
      <c r="H91">
        <v>24.803887</v>
      </c>
      <c r="I91">
        <v>22.531654</v>
      </c>
      <c r="J91">
        <v>56.181156000000001</v>
      </c>
      <c r="K91">
        <v>51.058239</v>
      </c>
      <c r="L91">
        <v>260.53374500000001</v>
      </c>
      <c r="M91">
        <v>-622.49795900000004</v>
      </c>
      <c r="N91">
        <v>1.872903</v>
      </c>
      <c r="O91">
        <v>11.615240999999999</v>
      </c>
      <c r="P91">
        <f t="shared" si="3"/>
        <v>3.1215050000000002E-5</v>
      </c>
      <c r="Q91" cm="1">
        <f t="array" ref="Q91">[1]!PropsSI("D","T",J91+273.15,"P",101325,"Water")</f>
        <v>985.11686575437432</v>
      </c>
      <c r="R91" cm="1">
        <f t="array" ref="R91">[1]!PropsSI("D","T",K91+273.15,"P",101325,"Water")</f>
        <v>987.55274944416965</v>
      </c>
      <c r="S91">
        <f t="shared" si="4"/>
        <v>986.33480759927193</v>
      </c>
      <c r="T91" cm="1">
        <f t="array" ref="T91">[1]!PropsSI("H","T",J91+273.15,"P",101325,"Water")</f>
        <v>235270.05561717565</v>
      </c>
      <c r="U91" cm="1">
        <f t="array" ref="U91">[1]!PropsSI("H","T",K91+273.15,"P",101325,"Water")</f>
        <v>213843.51313822527</v>
      </c>
      <c r="V91">
        <f t="shared" si="5"/>
        <v>659.69089604602118</v>
      </c>
    </row>
    <row r="92" spans="1:22" x14ac:dyDescent="0.2">
      <c r="A92">
        <v>46122.815217592593</v>
      </c>
      <c r="B92">
        <v>20.681206</v>
      </c>
      <c r="C92">
        <v>20.579630999999999</v>
      </c>
      <c r="D92">
        <v>20.082419999999999</v>
      </c>
      <c r="E92">
        <v>20.103200999999999</v>
      </c>
      <c r="F92">
        <v>28.429908999999999</v>
      </c>
      <c r="G92">
        <v>25.673615999999999</v>
      </c>
      <c r="H92">
        <v>24.626963</v>
      </c>
      <c r="I92">
        <v>22.403919999999999</v>
      </c>
      <c r="J92">
        <v>56.182907</v>
      </c>
      <c r="K92">
        <v>51.06841</v>
      </c>
      <c r="L92">
        <v>256.862909</v>
      </c>
      <c r="M92">
        <v>-622.50163299999997</v>
      </c>
      <c r="N92">
        <v>1.871108</v>
      </c>
      <c r="O92">
        <v>11.740311</v>
      </c>
      <c r="P92">
        <f t="shared" si="3"/>
        <v>3.1185133333333334E-5</v>
      </c>
      <c r="Q92" cm="1">
        <f t="array" ref="Q92">[1]!PropsSI("D","T",J92+273.15,"P",101325,"Water")</f>
        <v>985.11600516092381</v>
      </c>
      <c r="R92" cm="1">
        <f t="array" ref="R92">[1]!PropsSI("D","T",K92+273.15,"P",101325,"Water")</f>
        <v>987.54807861753022</v>
      </c>
      <c r="S92">
        <f t="shared" si="4"/>
        <v>986.33204188922696</v>
      </c>
      <c r="T92" cm="1">
        <f t="array" ref="T92">[1]!PropsSI("H","T",J92+273.15,"P",101325,"Water")</f>
        <v>235277.38074134325</v>
      </c>
      <c r="U92" cm="1">
        <f t="array" ref="U92">[1]!PropsSI("H","T",K92+273.15,"P",101325,"Water")</f>
        <v>213886.0447244375</v>
      </c>
      <c r="V92">
        <f t="shared" si="5"/>
        <v>657.97388492024834</v>
      </c>
    </row>
    <row r="93" spans="1:22" x14ac:dyDescent="0.2">
      <c r="A93">
        <v>46122.815276041663</v>
      </c>
      <c r="B93">
        <v>20.377099000000001</v>
      </c>
      <c r="C93">
        <v>20.367198999999999</v>
      </c>
      <c r="D93">
        <v>20.112112</v>
      </c>
      <c r="E93">
        <v>20.115817</v>
      </c>
      <c r="F93">
        <v>28.274353999999999</v>
      </c>
      <c r="G93">
        <v>25.736462</v>
      </c>
      <c r="H93">
        <v>24.861822</v>
      </c>
      <c r="I93">
        <v>22.650700000000001</v>
      </c>
      <c r="J93">
        <v>56.184657999999999</v>
      </c>
      <c r="K93">
        <v>51.072701000000002</v>
      </c>
      <c r="L93">
        <v>249.74163300000001</v>
      </c>
      <c r="M93">
        <v>-622.50979500000005</v>
      </c>
      <c r="N93">
        <v>1.8716649999999999</v>
      </c>
      <c r="O93">
        <v>12.075036000000001</v>
      </c>
      <c r="P93">
        <f t="shared" si="3"/>
        <v>3.1194416666666664E-5</v>
      </c>
      <c r="Q93" cm="1">
        <f t="array" ref="Q93">[1]!PropsSI("D","T",J93+273.15,"P",101325,"Water")</f>
        <v>985.11514454870621</v>
      </c>
      <c r="R93" cm="1">
        <f t="array" ref="R93">[1]!PropsSI("D","T",K93+273.15,"P",101325,"Water")</f>
        <v>987.54610786123067</v>
      </c>
      <c r="S93">
        <f t="shared" si="4"/>
        <v>986.33062620496844</v>
      </c>
      <c r="T93" cm="1">
        <f t="array" ref="T93">[1]!PropsSI("H","T",J93+273.15,"P",101325,"Water")</f>
        <v>235284.70586661506</v>
      </c>
      <c r="U93" cm="1">
        <f t="array" ref="U93">[1]!PropsSI("H","T",K93+273.15,"P",101325,"Water")</f>
        <v>213903.98820410762</v>
      </c>
      <c r="V93">
        <f t="shared" si="5"/>
        <v>657.8421033091937</v>
      </c>
    </row>
    <row r="94" spans="1:22" x14ac:dyDescent="0.2">
      <c r="A94">
        <v>46122.81533391204</v>
      </c>
      <c r="B94">
        <v>20.603020999999998</v>
      </c>
      <c r="C94">
        <v>20.277132000000002</v>
      </c>
      <c r="D94">
        <v>20.178052999999998</v>
      </c>
      <c r="E94">
        <v>20.193718000000001</v>
      </c>
      <c r="F94">
        <v>28.381802</v>
      </c>
      <c r="G94">
        <v>25.918196999999999</v>
      </c>
      <c r="H94">
        <v>24.651612</v>
      </c>
      <c r="I94">
        <v>22.167524</v>
      </c>
      <c r="J94">
        <v>56.184657999999999</v>
      </c>
      <c r="K94">
        <v>51.070157999999999</v>
      </c>
      <c r="L94">
        <v>243.75172800000001</v>
      </c>
      <c r="M94">
        <v>-622.48897999999997</v>
      </c>
      <c r="N94">
        <v>1.8708990000000001</v>
      </c>
      <c r="O94">
        <v>11.591808</v>
      </c>
      <c r="P94">
        <f t="shared" si="3"/>
        <v>3.1181650000000003E-5</v>
      </c>
      <c r="Q94" cm="1">
        <f t="array" ref="Q94">[1]!PropsSI("D","T",J94+273.15,"P",101325,"Water")</f>
        <v>985.11514454870621</v>
      </c>
      <c r="R94" cm="1">
        <f t="array" ref="R94">[1]!PropsSI("D","T",K94+273.15,"P",101325,"Water")</f>
        <v>987.54727581627412</v>
      </c>
      <c r="S94">
        <f t="shared" si="4"/>
        <v>986.33121018249017</v>
      </c>
      <c r="T94" cm="1">
        <f t="array" ref="T94">[1]!PropsSI("H","T",J94+273.15,"P",101325,"Water")</f>
        <v>235284.70586661506</v>
      </c>
      <c r="U94" cm="1">
        <f t="array" ref="U94">[1]!PropsSI("H","T",K94+273.15,"P",101325,"Water")</f>
        <v>213893.35425592473</v>
      </c>
      <c r="V94">
        <f t="shared" si="5"/>
        <v>657.90031504008266</v>
      </c>
    </row>
    <row r="95" spans="1:22" x14ac:dyDescent="0.2">
      <c r="A95">
        <v>46122.815391782409</v>
      </c>
      <c r="B95">
        <v>20.524504</v>
      </c>
      <c r="C95">
        <v>20.488997000000001</v>
      </c>
      <c r="D95">
        <v>20.091833999999999</v>
      </c>
      <c r="E95">
        <v>20.212001000000001</v>
      </c>
      <c r="F95">
        <v>28.374606</v>
      </c>
      <c r="G95">
        <v>25.955812999999999</v>
      </c>
      <c r="H95">
        <v>24.902087999999999</v>
      </c>
      <c r="I95">
        <v>22.188355000000001</v>
      </c>
      <c r="J95">
        <v>56.186248999999997</v>
      </c>
      <c r="K95">
        <v>51.072859999999999</v>
      </c>
      <c r="L95">
        <v>262.57486799999998</v>
      </c>
      <c r="M95">
        <v>-622.48326599999996</v>
      </c>
      <c r="N95">
        <v>1.8714440000000001</v>
      </c>
      <c r="O95">
        <v>11.702658</v>
      </c>
      <c r="P95">
        <f t="shared" si="3"/>
        <v>3.1190733333333333E-5</v>
      </c>
      <c r="Q95" cm="1">
        <f t="array" ref="Q95">[1]!PropsSI("D","T",J95+273.15,"P",101325,"Water")</f>
        <v>985.11436255978128</v>
      </c>
      <c r="R95" cm="1">
        <f t="array" ref="R95">[1]!PropsSI("D","T",K95+273.15,"P",101325,"Water")</f>
        <v>987.54603483395715</v>
      </c>
      <c r="S95">
        <f t="shared" si="4"/>
        <v>986.33019869686927</v>
      </c>
      <c r="T95" cm="1">
        <f t="array" ref="T95">[1]!PropsSI("H","T",J95+273.15,"P",101325,"Water")</f>
        <v>235291.36164966642</v>
      </c>
      <c r="U95" cm="1">
        <f t="array" ref="U95">[1]!PropsSI("H","T",K95+273.15,"P",101325,"Water")</f>
        <v>213904.65308725633</v>
      </c>
      <c r="V95">
        <f t="shared" si="5"/>
        <v>657.9484486117326</v>
      </c>
    </row>
    <row r="96" spans="1:22" x14ac:dyDescent="0.2">
      <c r="A96">
        <v>46122.815450231479</v>
      </c>
      <c r="B96">
        <v>20.309652</v>
      </c>
      <c r="C96">
        <v>20.444953000000002</v>
      </c>
      <c r="D96">
        <v>20.113719</v>
      </c>
      <c r="E96">
        <v>20.270876000000001</v>
      </c>
      <c r="F96">
        <v>28.229894000000002</v>
      </c>
      <c r="G96">
        <v>25.708783</v>
      </c>
      <c r="H96">
        <v>24.871662000000001</v>
      </c>
      <c r="I96">
        <v>21.960075</v>
      </c>
      <c r="J96">
        <v>56.184339000000001</v>
      </c>
      <c r="K96">
        <v>51.071747000000002</v>
      </c>
      <c r="L96">
        <v>259.418699</v>
      </c>
      <c r="M96">
        <v>-622.50449000000003</v>
      </c>
      <c r="N96">
        <v>1.872153</v>
      </c>
      <c r="O96">
        <v>11.68291</v>
      </c>
      <c r="P96">
        <f t="shared" si="3"/>
        <v>3.1202550000000002E-5</v>
      </c>
      <c r="Q96" cm="1">
        <f t="array" ref="Q96">[1]!PropsSI("D","T",J96+273.15,"P",101325,"Water")</f>
        <v>985.11530133782253</v>
      </c>
      <c r="R96" cm="1">
        <f t="array" ref="R96">[1]!PropsSI("D","T",K96+273.15,"P",101325,"Water")</f>
        <v>987.54654602151061</v>
      </c>
      <c r="S96">
        <f t="shared" si="4"/>
        <v>986.33092367966651</v>
      </c>
      <c r="T96" cm="1">
        <f t="array" ref="T96">[1]!PropsSI("H","T",J96+273.15,"P",101325,"Water")</f>
        <v>235283.37136340907</v>
      </c>
      <c r="U96" cm="1">
        <f t="array" ref="U96">[1]!PropsSI("H","T",K96+273.15,"P",101325,"Water")</f>
        <v>213899.99890518814</v>
      </c>
      <c r="V96">
        <f t="shared" si="5"/>
        <v>658.09552531067141</v>
      </c>
    </row>
    <row r="97" spans="1:22" x14ac:dyDescent="0.2">
      <c r="A97">
        <v>46122.815508680556</v>
      </c>
      <c r="B97">
        <v>20.268076000000001</v>
      </c>
      <c r="C97">
        <v>20.348707999999998</v>
      </c>
      <c r="D97">
        <v>20.149104000000001</v>
      </c>
      <c r="E97">
        <v>20.290043000000001</v>
      </c>
      <c r="F97">
        <v>28.257940999999999</v>
      </c>
      <c r="G97">
        <v>25.766717</v>
      </c>
      <c r="H97">
        <v>24.742688999999999</v>
      </c>
      <c r="I97">
        <v>21.984442000000001</v>
      </c>
      <c r="J97">
        <v>56.184657999999999</v>
      </c>
      <c r="K97">
        <v>51.072541999999999</v>
      </c>
      <c r="L97">
        <v>248.966161</v>
      </c>
      <c r="M97">
        <v>-622.474287</v>
      </c>
      <c r="N97">
        <v>1.871723</v>
      </c>
      <c r="O97">
        <v>11.567129</v>
      </c>
      <c r="P97">
        <f t="shared" si="3"/>
        <v>3.1195383333333333E-5</v>
      </c>
      <c r="Q97" cm="1">
        <f t="array" ref="Q97">[1]!PropsSI("D","T",J97+273.15,"P",101325,"Water")</f>
        <v>985.11514454870621</v>
      </c>
      <c r="R97" cm="1">
        <f t="array" ref="R97">[1]!PropsSI("D","T",K97+273.15,"P",101325,"Water")</f>
        <v>987.54618088836287</v>
      </c>
      <c r="S97">
        <f t="shared" si="4"/>
        <v>986.33066271853454</v>
      </c>
      <c r="T97" cm="1">
        <f t="array" ref="T97">[1]!PropsSI("H","T",J97+273.15,"P",101325,"Water")</f>
        <v>235284.70586661506</v>
      </c>
      <c r="U97" cm="1">
        <f t="array" ref="U97">[1]!PropsSI("H","T",K97+273.15,"P",101325,"Water")</f>
        <v>213903.32332092078</v>
      </c>
      <c r="V97">
        <f t="shared" si="5"/>
        <v>657.88297093733945</v>
      </c>
    </row>
    <row r="98" spans="1:22" x14ac:dyDescent="0.2">
      <c r="A98">
        <v>46122.815566550926</v>
      </c>
      <c r="B98">
        <v>20.322237999999999</v>
      </c>
      <c r="C98">
        <v>20.292134000000001</v>
      </c>
      <c r="D98">
        <v>20.184463000000001</v>
      </c>
      <c r="E98">
        <v>20.262321</v>
      </c>
      <c r="F98">
        <v>28.254809000000002</v>
      </c>
      <c r="G98">
        <v>25.855938999999999</v>
      </c>
      <c r="H98">
        <v>24.668574</v>
      </c>
      <c r="I98">
        <v>22.349129000000001</v>
      </c>
      <c r="J98">
        <v>56.184817000000002</v>
      </c>
      <c r="K98">
        <v>51.069204999999997</v>
      </c>
      <c r="L98">
        <v>268.57497499999999</v>
      </c>
      <c r="M98">
        <v>-622.50571400000001</v>
      </c>
      <c r="N98">
        <v>1.8721159999999999</v>
      </c>
      <c r="O98">
        <v>11.599242</v>
      </c>
      <c r="P98">
        <f t="shared" si="3"/>
        <v>3.120193333333333E-5</v>
      </c>
      <c r="Q98" cm="1">
        <f t="array" ref="Q98">[1]!PropsSI("D","T",J98+273.15,"P",101325,"Water")</f>
        <v>985.11506639966103</v>
      </c>
      <c r="R98" cm="1">
        <f t="array" ref="R98">[1]!PropsSI("D","T",K98+273.15,"P",101325,"Water")</f>
        <v>987.54771350156091</v>
      </c>
      <c r="S98">
        <f t="shared" si="4"/>
        <v>986.33138995061097</v>
      </c>
      <c r="T98" cm="1">
        <f t="array" ref="T98">[1]!PropsSI("H","T",J98+273.15,"P",101325,"Water")</f>
        <v>235285.3710265166</v>
      </c>
      <c r="U98" cm="1">
        <f t="array" ref="U98">[1]!PropsSI("H","T",K98+273.15,"P",101325,"Water")</f>
        <v>213889.36913941157</v>
      </c>
      <c r="V98">
        <f t="shared" si="5"/>
        <v>658.47150655100154</v>
      </c>
    </row>
    <row r="99" spans="1:22" x14ac:dyDescent="0.2">
      <c r="A99">
        <v>46122.815624421295</v>
      </c>
      <c r="B99">
        <v>20.270633</v>
      </c>
      <c r="C99">
        <v>20.435517000000001</v>
      </c>
      <c r="D99">
        <v>20.140961000000001</v>
      </c>
      <c r="E99">
        <v>20.28566</v>
      </c>
      <c r="F99">
        <v>28.075557</v>
      </c>
      <c r="G99">
        <v>25.708635000000001</v>
      </c>
      <c r="H99">
        <v>24.611336999999999</v>
      </c>
      <c r="I99">
        <v>22.270078999999999</v>
      </c>
      <c r="J99">
        <v>56.188796000000004</v>
      </c>
      <c r="K99">
        <v>51.071905999999998</v>
      </c>
      <c r="L99">
        <v>250.75668400000001</v>
      </c>
      <c r="M99">
        <v>-622.47755199999995</v>
      </c>
      <c r="N99">
        <v>1.873059</v>
      </c>
      <c r="O99">
        <v>11.465859999999999</v>
      </c>
      <c r="P99">
        <f t="shared" si="3"/>
        <v>3.1217650000000001E-5</v>
      </c>
      <c r="Q99" cm="1">
        <f t="array" ref="Q99">[1]!PropsSI("D","T",J99+273.15,"P",101325,"Water")</f>
        <v>985.11311065706923</v>
      </c>
      <c r="R99" cm="1">
        <f t="array" ref="R99">[1]!PropsSI("D","T",K99+273.15,"P",101325,"Water")</f>
        <v>987.54647299520173</v>
      </c>
      <c r="S99">
        <f t="shared" si="4"/>
        <v>986.32979182613553</v>
      </c>
      <c r="T99" cm="1">
        <f t="array" ref="T99">[1]!PropsSI("H","T",J99+273.15,"P",101325,"Water")</f>
        <v>235302.01676129599</v>
      </c>
      <c r="U99" cm="1">
        <f t="array" ref="U99">[1]!PropsSI("H","T",K99+273.15,"P",101325,"Water")</f>
        <v>213900.66378831965</v>
      </c>
      <c r="V99">
        <f t="shared" si="5"/>
        <v>658.96688128536152</v>
      </c>
    </row>
    <row r="100" spans="1:22" x14ac:dyDescent="0.2">
      <c r="A100">
        <v>46122.815682870372</v>
      </c>
      <c r="B100">
        <v>20.425802000000001</v>
      </c>
      <c r="C100">
        <v>20.317986000000001</v>
      </c>
      <c r="D100">
        <v>20.176186999999999</v>
      </c>
      <c r="E100">
        <v>20.218751000000001</v>
      </c>
      <c r="F100">
        <v>28.122928000000002</v>
      </c>
      <c r="G100">
        <v>25.714065000000002</v>
      </c>
      <c r="H100">
        <v>24.733443999999999</v>
      </c>
      <c r="I100">
        <v>22.513521999999998</v>
      </c>
      <c r="J100">
        <v>56.187840999999999</v>
      </c>
      <c r="K100">
        <v>51.069521999999999</v>
      </c>
      <c r="L100">
        <v>287.30301700000001</v>
      </c>
      <c r="M100">
        <v>-622.474695</v>
      </c>
      <c r="N100">
        <v>1.87246</v>
      </c>
      <c r="O100">
        <v>11.587562999999999</v>
      </c>
      <c r="P100">
        <f t="shared" si="3"/>
        <v>3.1207666666666669E-5</v>
      </c>
      <c r="Q100" cm="1">
        <f t="array" ref="Q100">[1]!PropsSI("D","T",J100+273.15,"P",101325,"Water")</f>
        <v>985.11358006380567</v>
      </c>
      <c r="R100" cm="1">
        <f t="array" ref="R100">[1]!PropsSI("D","T",K100+273.15,"P",101325,"Water")</f>
        <v>987.54756791329703</v>
      </c>
      <c r="S100">
        <f t="shared" si="4"/>
        <v>986.33057398855135</v>
      </c>
      <c r="T100" cm="1">
        <f t="array" ref="T100">[1]!PropsSI("H","T",J100+273.15,"P",101325,"Water")</f>
        <v>235298.02161711082</v>
      </c>
      <c r="U100" cm="1">
        <f t="array" ref="U100">[1]!PropsSI("H","T",K100+273.15,"P",101325,"Water")</f>
        <v>213890.69472375864</v>
      </c>
      <c r="V100">
        <f t="shared" si="5"/>
        <v>658.94055126965907</v>
      </c>
    </row>
    <row r="101" spans="1:22" x14ac:dyDescent="0.2">
      <c r="A101">
        <v>46122.815740740742</v>
      </c>
      <c r="B101">
        <v>20.362247</v>
      </c>
      <c r="C101">
        <v>20.362687000000001</v>
      </c>
      <c r="D101">
        <v>20.138010000000001</v>
      </c>
      <c r="E101">
        <v>20.253333999999999</v>
      </c>
      <c r="F101">
        <v>28.227291999999998</v>
      </c>
      <c r="G101">
        <v>25.890426000000001</v>
      </c>
      <c r="H101">
        <v>24.695734999999999</v>
      </c>
      <c r="I101">
        <v>22.316521000000002</v>
      </c>
      <c r="J101">
        <v>56.185612999999996</v>
      </c>
      <c r="K101">
        <v>51.069046</v>
      </c>
      <c r="L101">
        <v>266.624053</v>
      </c>
      <c r="M101">
        <v>-622.474287</v>
      </c>
      <c r="N101">
        <v>1.871874</v>
      </c>
      <c r="O101">
        <v>11.916848999999999</v>
      </c>
      <c r="P101">
        <f t="shared" si="3"/>
        <v>3.1197900000000002E-5</v>
      </c>
      <c r="Q101" cm="1">
        <f t="array" ref="Q101">[1]!PropsSI("D","T",J101+273.15,"P",101325,"Water")</f>
        <v>985.1146751605844</v>
      </c>
      <c r="R101" cm="1">
        <f t="array" ref="R101">[1]!PropsSI("D","T",K101+273.15,"P",101325,"Water")</f>
        <v>987.54778652507503</v>
      </c>
      <c r="S101">
        <f t="shared" si="4"/>
        <v>986.33123084282965</v>
      </c>
      <c r="T101" cm="1">
        <f t="array" ref="T101">[1]!PropsSI("H","T",J101+273.15,"P",101325,"Water")</f>
        <v>235288.70100972423</v>
      </c>
      <c r="U101" cm="1">
        <f t="array" ref="U101">[1]!PropsSI("H","T",K101+273.15,"P",101325,"Water")</f>
        <v>213888.7042564255</v>
      </c>
      <c r="V101">
        <f t="shared" si="5"/>
        <v>658.50921057787832</v>
      </c>
    </row>
    <row r="102" spans="1:22" x14ac:dyDescent="0.2">
      <c r="A102">
        <v>46122.815798611111</v>
      </c>
      <c r="B102">
        <v>20.487674999999999</v>
      </c>
      <c r="C102">
        <v>20.517242</v>
      </c>
      <c r="D102">
        <v>20.260514000000001</v>
      </c>
      <c r="E102">
        <v>20.349302999999999</v>
      </c>
      <c r="F102">
        <v>28.213949</v>
      </c>
      <c r="G102">
        <v>25.890827999999999</v>
      </c>
      <c r="H102">
        <v>25.354202000000001</v>
      </c>
      <c r="I102">
        <v>22.515018000000001</v>
      </c>
      <c r="J102">
        <v>56.185453000000003</v>
      </c>
      <c r="K102">
        <v>51.060146000000003</v>
      </c>
      <c r="L102">
        <v>264.71965799999998</v>
      </c>
      <c r="M102">
        <v>-622.45102299999996</v>
      </c>
      <c r="N102">
        <v>1.8696900000000001</v>
      </c>
      <c r="O102">
        <v>11.654279000000001</v>
      </c>
      <c r="P102">
        <f t="shared" si="3"/>
        <v>3.1161500000000003E-5</v>
      </c>
      <c r="Q102" cm="1">
        <f t="array" ref="Q102">[1]!PropsSI("D","T",J102+273.15,"P",101325,"Water")</f>
        <v>985.11475380194668</v>
      </c>
      <c r="R102" cm="1">
        <f t="array" ref="R102">[1]!PropsSI("D","T",K102+273.15,"P",101325,"Water")</f>
        <v>987.55187374393051</v>
      </c>
      <c r="S102">
        <f t="shared" si="4"/>
        <v>986.3333137729386</v>
      </c>
      <c r="T102" cm="1">
        <f t="array" ref="T102">[1]!PropsSI("H","T",J102+273.15,"P",101325,"Water")</f>
        <v>235288.03166635687</v>
      </c>
      <c r="U102" cm="1">
        <f t="array" ref="U102">[1]!PropsSI("H","T",K102+273.15,"P",101325,"Water")</f>
        <v>213851.48754690593</v>
      </c>
      <c r="V102">
        <f t="shared" si="5"/>
        <v>658.86559329445731</v>
      </c>
    </row>
    <row r="103" spans="1:22" x14ac:dyDescent="0.2">
      <c r="A103">
        <v>46122.81585648148</v>
      </c>
      <c r="B103">
        <v>20.342057</v>
      </c>
      <c r="C103">
        <v>20.650713</v>
      </c>
      <c r="D103">
        <v>20.220127999999999</v>
      </c>
      <c r="E103">
        <v>20.388584999999999</v>
      </c>
      <c r="F103">
        <v>28.197685</v>
      </c>
      <c r="G103">
        <v>26.055841000000001</v>
      </c>
      <c r="H103">
        <v>24.770654</v>
      </c>
      <c r="I103">
        <v>22.319794999999999</v>
      </c>
      <c r="J103">
        <v>56.185772</v>
      </c>
      <c r="K103">
        <v>51.068568999999997</v>
      </c>
      <c r="L103">
        <v>260.27579900000001</v>
      </c>
      <c r="M103">
        <v>-622.50775499999997</v>
      </c>
      <c r="N103">
        <v>1.8724639999999999</v>
      </c>
      <c r="O103">
        <v>11.808413</v>
      </c>
      <c r="P103">
        <f t="shared" si="3"/>
        <v>3.1207733333333329E-5</v>
      </c>
      <c r="Q103" cm="1">
        <f t="array" ref="Q103">[1]!PropsSI("D","T",J103+273.15,"P",101325,"Water")</f>
        <v>985.11459701063757</v>
      </c>
      <c r="R103" cm="1">
        <f t="array" ref="R103">[1]!PropsSI("D","T",K103+273.15,"P",101325,"Water")</f>
        <v>987.5480055946515</v>
      </c>
      <c r="S103">
        <f t="shared" si="4"/>
        <v>986.33130130264453</v>
      </c>
      <c r="T103" cm="1">
        <f t="array" ref="T103">[1]!PropsSI("H","T",J103+273.15,"P",101325,"Water")</f>
        <v>235289.36616968276</v>
      </c>
      <c r="U103" cm="1">
        <f t="array" ref="U103">[1]!PropsSI("H","T",K103+273.15,"P",101325,"Water")</f>
        <v>213886.709607428</v>
      </c>
      <c r="V103">
        <f t="shared" si="5"/>
        <v>658.79868658762268</v>
      </c>
    </row>
    <row r="104" spans="1:22" x14ac:dyDescent="0.2">
      <c r="A104">
        <v>46122.815914930557</v>
      </c>
      <c r="B104">
        <v>20.415253</v>
      </c>
      <c r="C104">
        <v>20.532017</v>
      </c>
      <c r="D104">
        <v>20.178726999999999</v>
      </c>
      <c r="E104">
        <v>20.32694</v>
      </c>
      <c r="F104">
        <v>28.346505000000001</v>
      </c>
      <c r="G104">
        <v>26.018508000000001</v>
      </c>
      <c r="H104">
        <v>24.82376</v>
      </c>
      <c r="I104">
        <v>22.514220999999999</v>
      </c>
      <c r="J104">
        <v>56.185293999999999</v>
      </c>
      <c r="K104">
        <v>51.073653999999998</v>
      </c>
      <c r="L104">
        <v>244.243132</v>
      </c>
      <c r="M104">
        <v>-622.49714300000005</v>
      </c>
      <c r="N104">
        <v>1.8724149999999999</v>
      </c>
      <c r="O104">
        <v>11.704399</v>
      </c>
      <c r="P104">
        <f t="shared" si="3"/>
        <v>3.1206916666666664E-5</v>
      </c>
      <c r="Q104" cm="1">
        <f t="array" ref="Q104">[1]!PropsSI("D","T",J104+273.15,"P",101325,"Water")</f>
        <v>985.11483195160963</v>
      </c>
      <c r="R104" cm="1">
        <f t="array" ref="R104">[1]!PropsSI("D","T",K104+273.15,"P",101325,"Water")</f>
        <v>987.54567015436373</v>
      </c>
      <c r="S104">
        <f t="shared" si="4"/>
        <v>986.33025105298668</v>
      </c>
      <c r="T104" cm="1">
        <f t="array" ref="T104">[1]!PropsSI("H","T",J104+273.15,"P",101325,"Water")</f>
        <v>235287.36650634202</v>
      </c>
      <c r="U104" cm="1">
        <f t="array" ref="U104">[1]!PropsSI("H","T",K104+273.15,"P",101325,"Water")</f>
        <v>213907.97332156901</v>
      </c>
      <c r="V104">
        <f t="shared" si="5"/>
        <v>658.06469084956473</v>
      </c>
    </row>
    <row r="105" spans="1:22" x14ac:dyDescent="0.2">
      <c r="A105">
        <v>46122.815973379627</v>
      </c>
      <c r="B105">
        <v>20.460932</v>
      </c>
      <c r="C105">
        <v>20.774827999999999</v>
      </c>
      <c r="D105">
        <v>20.203592</v>
      </c>
      <c r="E105">
        <v>20.244955000000001</v>
      </c>
      <c r="F105">
        <v>28.275749000000001</v>
      </c>
      <c r="G105">
        <v>26.272867000000002</v>
      </c>
      <c r="H105">
        <v>24.898979000000001</v>
      </c>
      <c r="I105">
        <v>22.221755999999999</v>
      </c>
      <c r="J105">
        <v>56.186568000000001</v>
      </c>
      <c r="K105">
        <v>51.079853</v>
      </c>
      <c r="L105">
        <v>241.41102900000001</v>
      </c>
      <c r="M105">
        <v>-622.49918400000001</v>
      </c>
      <c r="N105">
        <v>1.8675219999999999</v>
      </c>
      <c r="O105">
        <v>11.573089</v>
      </c>
      <c r="P105">
        <f t="shared" si="3"/>
        <v>3.1125366666666665E-5</v>
      </c>
      <c r="Q105" cm="1">
        <f t="array" ref="Q105">[1]!PropsSI("D","T",J105+273.15,"P",101325,"Water")</f>
        <v>985.11420576690182</v>
      </c>
      <c r="R105" cm="1">
        <f t="array" ref="R105">[1]!PropsSI("D","T",K105+273.15,"P",101325,"Water")</f>
        <v>987.54282284923249</v>
      </c>
      <c r="S105">
        <f t="shared" si="4"/>
        <v>986.32851430806716</v>
      </c>
      <c r="T105" cm="1">
        <f t="array" ref="T105">[1]!PropsSI("H","T",J105+273.15,"P",101325,"Water")</f>
        <v>235292.69615311982</v>
      </c>
      <c r="U105" cm="1">
        <f t="array" ref="U105">[1]!PropsSI("H","T",K105+273.15,"P",101325,"Water")</f>
        <v>213933.89540962185</v>
      </c>
      <c r="V105">
        <f t="shared" si="5"/>
        <v>655.71169411362848</v>
      </c>
    </row>
    <row r="106" spans="1:22" x14ac:dyDescent="0.2">
      <c r="A106">
        <v>46122.816031249997</v>
      </c>
      <c r="B106">
        <v>20.685051000000001</v>
      </c>
      <c r="C106">
        <v>20.759146000000001</v>
      </c>
      <c r="D106">
        <v>20.162606</v>
      </c>
      <c r="E106">
        <v>20.403790000000001</v>
      </c>
      <c r="F106">
        <v>28.548418000000002</v>
      </c>
      <c r="G106">
        <v>25.788699000000001</v>
      </c>
      <c r="H106">
        <v>24.804399</v>
      </c>
      <c r="I106">
        <v>22.162638000000001</v>
      </c>
      <c r="J106">
        <v>56.190547000000002</v>
      </c>
      <c r="K106">
        <v>51.079535</v>
      </c>
      <c r="L106">
        <v>273.68451499999998</v>
      </c>
      <c r="M106">
        <v>-622.50449000000003</v>
      </c>
      <c r="N106">
        <v>1.8734770000000001</v>
      </c>
      <c r="O106">
        <v>11.437903</v>
      </c>
      <c r="P106">
        <f t="shared" si="3"/>
        <v>3.1224616666666669E-5</v>
      </c>
      <c r="Q106" cm="1">
        <f t="array" ref="Q106">[1]!PropsSI("D","T",J106+273.15,"P",101325,"Water")</f>
        <v>985.11224998161697</v>
      </c>
      <c r="R106" cm="1">
        <f t="array" ref="R106">[1]!PropsSI("D","T",K106+273.15,"P",101325,"Water")</f>
        <v>987.54296891802232</v>
      </c>
      <c r="S106">
        <f t="shared" si="4"/>
        <v>986.32760944981965</v>
      </c>
      <c r="T106" cm="1">
        <f t="array" ref="T106">[1]!PropsSI("H","T",J106+273.15,"P",101325,"Water")</f>
        <v>235309.34189054408</v>
      </c>
      <c r="U106" cm="1">
        <f t="array" ref="U106">[1]!PropsSI("H","T",K106+273.15,"P",101325,"Water")</f>
        <v>213932.56564261782</v>
      </c>
      <c r="V106">
        <f t="shared" si="5"/>
        <v>658.3555741899803</v>
      </c>
    </row>
    <row r="107" spans="1:22" x14ac:dyDescent="0.2">
      <c r="A107">
        <v>46122.816089699074</v>
      </c>
      <c r="B107">
        <v>20.395522</v>
      </c>
      <c r="C107">
        <v>20.711839000000001</v>
      </c>
      <c r="D107">
        <v>20.210695000000001</v>
      </c>
      <c r="E107">
        <v>20.357657</v>
      </c>
      <c r="F107">
        <v>28.408515999999999</v>
      </c>
      <c r="G107">
        <v>25.981190999999999</v>
      </c>
      <c r="H107">
        <v>25.231459999999998</v>
      </c>
      <c r="I107">
        <v>22.421182999999999</v>
      </c>
      <c r="J107">
        <v>56.189751000000001</v>
      </c>
      <c r="K107">
        <v>51.086844999999997</v>
      </c>
      <c r="L107">
        <v>256.83719600000001</v>
      </c>
      <c r="M107">
        <v>-622.50285699999995</v>
      </c>
      <c r="N107">
        <v>1.8734360000000001</v>
      </c>
      <c r="O107">
        <v>11.469571</v>
      </c>
      <c r="P107">
        <f t="shared" si="3"/>
        <v>3.1223933333333338E-5</v>
      </c>
      <c r="Q107" cm="1">
        <f t="array" ref="Q107">[1]!PropsSI("D","T",J107+273.15,"P",101325,"Water")</f>
        <v>985.11264124475349</v>
      </c>
      <c r="R107" cm="1">
        <f t="array" ref="R107">[1]!PropsSI("D","T",K107+273.15,"P",101325,"Water")</f>
        <v>987.53961100702452</v>
      </c>
      <c r="S107">
        <f t="shared" si="4"/>
        <v>986.326126125889</v>
      </c>
      <c r="T107" cm="1">
        <f t="array" ref="T107">[1]!PropsSI("H","T",J107+273.15,"P",101325,"Water")</f>
        <v>235306.01190587287</v>
      </c>
      <c r="U107" cm="1">
        <f t="array" ref="U107">[1]!PropsSI("H","T",K107+273.15,"P",101325,"Water")</f>
        <v>213963.13356505262</v>
      </c>
      <c r="V107">
        <f t="shared" si="5"/>
        <v>657.29622316722964</v>
      </c>
    </row>
    <row r="108" spans="1:22" x14ac:dyDescent="0.2">
      <c r="A108">
        <v>46122.816147569443</v>
      </c>
      <c r="B108">
        <v>20.382252000000001</v>
      </c>
      <c r="C108">
        <v>20.599342</v>
      </c>
      <c r="D108">
        <v>20.15297</v>
      </c>
      <c r="E108">
        <v>20.272734</v>
      </c>
      <c r="F108">
        <v>28.122236000000001</v>
      </c>
      <c r="G108">
        <v>25.951096</v>
      </c>
      <c r="H108">
        <v>25.133216000000001</v>
      </c>
      <c r="I108">
        <v>22.457402999999999</v>
      </c>
      <c r="J108">
        <v>56.190705999999999</v>
      </c>
      <c r="K108">
        <v>51.088911000000003</v>
      </c>
      <c r="L108">
        <v>247.885807</v>
      </c>
      <c r="M108">
        <v>-622.47918500000003</v>
      </c>
      <c r="N108">
        <v>1.8704069999999999</v>
      </c>
      <c r="O108">
        <v>11.732305999999999</v>
      </c>
      <c r="P108">
        <f t="shared" si="3"/>
        <v>3.1173449999999999E-5</v>
      </c>
      <c r="Q108" cm="1">
        <f t="array" ref="Q108">[1]!PropsSI("D","T",J108+273.15,"P",101325,"Water")</f>
        <v>985.11217182682697</v>
      </c>
      <c r="R108" cm="1">
        <f t="array" ref="R108">[1]!PropsSI("D","T",K108+273.15,"P",101325,"Water")</f>
        <v>987.53866190951203</v>
      </c>
      <c r="S108">
        <f t="shared" si="4"/>
        <v>986.32541686816944</v>
      </c>
      <c r="T108" cm="1">
        <f t="array" ref="T108">[1]!PropsSI("H","T",J108+273.15,"P",101325,"Water")</f>
        <v>235310.00705079181</v>
      </c>
      <c r="U108" cm="1">
        <f t="array" ref="U108">[1]!PropsSI("H","T",K108+273.15,"P",101325,"Water")</f>
        <v>213971.77287407065</v>
      </c>
      <c r="V108">
        <f t="shared" si="5"/>
        <v>656.09022979685074</v>
      </c>
    </row>
    <row r="109" spans="1:22" x14ac:dyDescent="0.2">
      <c r="A109">
        <v>46122.816205439813</v>
      </c>
      <c r="B109">
        <v>20.333666999999998</v>
      </c>
      <c r="C109">
        <v>20.536781000000001</v>
      </c>
      <c r="D109">
        <v>20.153779</v>
      </c>
      <c r="E109">
        <v>20.204844000000001</v>
      </c>
      <c r="F109">
        <v>28.066670999999999</v>
      </c>
      <c r="G109">
        <v>25.844467000000002</v>
      </c>
      <c r="H109">
        <v>24.598022</v>
      </c>
      <c r="I109">
        <v>22.170005</v>
      </c>
      <c r="J109">
        <v>56.190069000000001</v>
      </c>
      <c r="K109">
        <v>51.088434999999997</v>
      </c>
      <c r="L109">
        <v>246.43485899999999</v>
      </c>
      <c r="M109">
        <v>-622.45836899999995</v>
      </c>
      <c r="N109">
        <v>1.867944</v>
      </c>
      <c r="O109">
        <v>11.850158</v>
      </c>
      <c r="P109">
        <f t="shared" si="3"/>
        <v>3.11324E-5</v>
      </c>
      <c r="Q109" cm="1">
        <f t="array" ref="Q109">[1]!PropsSI("D","T",J109+273.15,"P",101325,"Water")</f>
        <v>985.11248493656103</v>
      </c>
      <c r="R109" cm="1">
        <f t="array" ref="R109">[1]!PropsSI("D","T",K109+273.15,"P",101325,"Water")</f>
        <v>987.53888058109419</v>
      </c>
      <c r="S109">
        <f t="shared" si="4"/>
        <v>986.32568275882761</v>
      </c>
      <c r="T109" cm="1">
        <f t="array" ref="T109">[1]!PropsSI("H","T",J109+273.15,"P",101325,"Water")</f>
        <v>235307.3422263712</v>
      </c>
      <c r="U109" cm="1">
        <f t="array" ref="U109">[1]!PropsSI("H","T",K109+273.15,"P",101325,"Water")</f>
        <v>213969.78240393818</v>
      </c>
      <c r="V109">
        <f t="shared" si="5"/>
        <v>655.20574277198534</v>
      </c>
    </row>
    <row r="110" spans="1:22" x14ac:dyDescent="0.2">
      <c r="A110">
        <v>46122.816263310182</v>
      </c>
      <c r="B110">
        <v>20.369343000000001</v>
      </c>
      <c r="C110">
        <v>20.475584999999999</v>
      </c>
      <c r="D110">
        <v>20.113244000000002</v>
      </c>
      <c r="E110">
        <v>20.209526</v>
      </c>
      <c r="F110">
        <v>28.265391000000001</v>
      </c>
      <c r="G110">
        <v>25.844783</v>
      </c>
      <c r="H110">
        <v>24.726989</v>
      </c>
      <c r="I110">
        <v>22.211003000000002</v>
      </c>
      <c r="J110">
        <v>56.184657999999999</v>
      </c>
      <c r="K110">
        <v>51.082554000000002</v>
      </c>
      <c r="L110">
        <v>245.98263700000001</v>
      </c>
      <c r="M110">
        <v>-622.48285799999996</v>
      </c>
      <c r="N110">
        <v>1.8727100000000001</v>
      </c>
      <c r="O110">
        <v>11.754823999999999</v>
      </c>
      <c r="P110">
        <f t="shared" si="3"/>
        <v>3.1211833333333332E-5</v>
      </c>
      <c r="Q110" cm="1">
        <f t="array" ref="Q110">[1]!PropsSI("D","T",J110+273.15,"P",101325,"Water")</f>
        <v>985.11514454870621</v>
      </c>
      <c r="R110" cm="1">
        <f t="array" ref="R110">[1]!PropsSI("D","T",K110+273.15,"P",101325,"Water")</f>
        <v>987.54158215652649</v>
      </c>
      <c r="S110">
        <f t="shared" si="4"/>
        <v>986.32836335261641</v>
      </c>
      <c r="T110" cm="1">
        <f t="array" ref="T110">[1]!PropsSI("H","T",J110+273.15,"P",101325,"Water")</f>
        <v>235284.70586661506</v>
      </c>
      <c r="U110" cm="1">
        <f t="array" ref="U110">[1]!PropsSI("H","T",K110+273.15,"P",101325,"Water")</f>
        <v>213945.19006722563</v>
      </c>
      <c r="V110">
        <f t="shared" si="5"/>
        <v>656.93947970095326</v>
      </c>
    </row>
    <row r="111" spans="1:22" x14ac:dyDescent="0.2">
      <c r="A111">
        <v>46122.816321759259</v>
      </c>
      <c r="B111">
        <v>20.364764000000001</v>
      </c>
      <c r="C111">
        <v>20.499133</v>
      </c>
      <c r="D111">
        <v>20.187626999999999</v>
      </c>
      <c r="E111">
        <v>20.272344</v>
      </c>
      <c r="F111">
        <v>28.209823</v>
      </c>
      <c r="G111">
        <v>25.742018999999999</v>
      </c>
      <c r="H111">
        <v>25.005621000000001</v>
      </c>
      <c r="I111">
        <v>22.293393999999999</v>
      </c>
      <c r="J111">
        <v>56.181952000000003</v>
      </c>
      <c r="K111">
        <v>51.052039999999998</v>
      </c>
      <c r="L111">
        <v>269.199026</v>
      </c>
      <c r="M111">
        <v>-622.50979500000005</v>
      </c>
      <c r="N111">
        <v>1.874468</v>
      </c>
      <c r="O111">
        <v>11.723625999999999</v>
      </c>
      <c r="P111">
        <f t="shared" si="3"/>
        <v>3.1241133333333335E-5</v>
      </c>
      <c r="Q111" cm="1">
        <f t="array" ref="Q111">[1]!PropsSI("D","T",J111+273.15,"P",101325,"Water")</f>
        <v>985.11647453317471</v>
      </c>
      <c r="R111" cm="1">
        <f t="array" ref="R111">[1]!PropsSI("D","T",K111+273.15,"P",101325,"Water")</f>
        <v>987.55559588110225</v>
      </c>
      <c r="S111">
        <f t="shared" si="4"/>
        <v>986.33603520713848</v>
      </c>
      <c r="T111" cm="1">
        <f t="array" ref="T111">[1]!PropsSI("H","T",J111+273.15,"P",101325,"Water")</f>
        <v>235273.38559924628</v>
      </c>
      <c r="U111" cm="1">
        <f t="array" ref="U111">[1]!PropsSI("H","T",K111+273.15,"P",101325,"Water")</f>
        <v>213817.59109039968</v>
      </c>
      <c r="V111">
        <f t="shared" si="5"/>
        <v>661.14433582585127</v>
      </c>
    </row>
    <row r="112" spans="1:22" x14ac:dyDescent="0.2">
      <c r="A112">
        <v>46122.816380208336</v>
      </c>
      <c r="B112">
        <v>20.247921000000002</v>
      </c>
      <c r="C112">
        <v>20.463607</v>
      </c>
      <c r="D112">
        <v>20.172298000000001</v>
      </c>
      <c r="E112">
        <v>20.278079000000002</v>
      </c>
      <c r="F112">
        <v>28.084951</v>
      </c>
      <c r="G112">
        <v>25.767384</v>
      </c>
      <c r="H112">
        <v>24.878620000000002</v>
      </c>
      <c r="I112">
        <v>22.379232999999999</v>
      </c>
      <c r="J112">
        <v>56.18036</v>
      </c>
      <c r="K112">
        <v>51.058714999999999</v>
      </c>
      <c r="L112">
        <v>261.050454</v>
      </c>
      <c r="M112">
        <v>-622.474287</v>
      </c>
      <c r="N112">
        <v>1.8732139999999999</v>
      </c>
      <c r="O112">
        <v>11.496003</v>
      </c>
      <c r="P112">
        <f t="shared" si="3"/>
        <v>3.1220233333333336E-5</v>
      </c>
      <c r="Q112" cm="1">
        <f t="array" ref="Q112">[1]!PropsSI("D","T",J112+273.15,"P",101325,"Water")</f>
        <v>985.11725697165218</v>
      </c>
      <c r="R112" cm="1">
        <f t="array" ref="R112">[1]!PropsSI("D","T",K112+273.15,"P",101325,"Water")</f>
        <v>987.55253086572782</v>
      </c>
      <c r="S112">
        <f t="shared" si="4"/>
        <v>986.33489391869</v>
      </c>
      <c r="T112" cm="1">
        <f t="array" ref="T112">[1]!PropsSI("H","T",J112+273.15,"P",101325,"Water")</f>
        <v>235266.72563537033</v>
      </c>
      <c r="U112" cm="1">
        <f t="array" ref="U112">[1]!PropsSI("H","T",K112+273.15,"P",101325,"Water")</f>
        <v>213845.50360404898</v>
      </c>
      <c r="V112">
        <f t="shared" si="5"/>
        <v>659.63666126624935</v>
      </c>
    </row>
    <row r="113" spans="1:22" x14ac:dyDescent="0.2">
      <c r="A113">
        <v>46122.816438078706</v>
      </c>
      <c r="B113">
        <v>20.356943999999999</v>
      </c>
      <c r="C113">
        <v>20.414076000000001</v>
      </c>
      <c r="D113">
        <v>20.13786</v>
      </c>
      <c r="E113">
        <v>20.317509000000001</v>
      </c>
      <c r="F113">
        <v>28.253945999999999</v>
      </c>
      <c r="G113">
        <v>26.033349999999999</v>
      </c>
      <c r="H113">
        <v>24.868680000000001</v>
      </c>
      <c r="I113">
        <v>22.430271999999999</v>
      </c>
      <c r="J113">
        <v>56.180042</v>
      </c>
      <c r="K113">
        <v>51.065390000000001</v>
      </c>
      <c r="L113">
        <v>267.041991</v>
      </c>
      <c r="M113">
        <v>-622.46938899999998</v>
      </c>
      <c r="N113">
        <v>1.8682890000000001</v>
      </c>
      <c r="O113">
        <v>11.652106</v>
      </c>
      <c r="P113">
        <f t="shared" si="3"/>
        <v>3.1138150000000003E-5</v>
      </c>
      <c r="Q113" cm="1">
        <f t="array" ref="Q113">[1]!PropsSI("D","T",J113+273.15,"P",101325,"Water")</f>
        <v>985.11741326090544</v>
      </c>
      <c r="R113" cm="1">
        <f t="array" ref="R113">[1]!PropsSI("D","T",K113+273.15,"P",101325,"Water")</f>
        <v>987.54946556160087</v>
      </c>
      <c r="S113">
        <f t="shared" si="4"/>
        <v>986.33343941125315</v>
      </c>
      <c r="T113" cm="1">
        <f t="array" ref="T113">[1]!PropsSI("H","T",J113+273.15,"P",101325,"Water")</f>
        <v>235265.3953160831</v>
      </c>
      <c r="U113" cm="1">
        <f t="array" ref="U113">[1]!PropsSI("H","T",K113+273.15,"P",101325,"Water")</f>
        <v>213873.41613105003</v>
      </c>
      <c r="V113">
        <f t="shared" si="5"/>
        <v>657.00326967861997</v>
      </c>
    </row>
    <row r="114" spans="1:22" x14ac:dyDescent="0.2">
      <c r="A114">
        <v>46122.816496527776</v>
      </c>
      <c r="B114">
        <v>20.570464999999999</v>
      </c>
      <c r="C114">
        <v>20.522967999999999</v>
      </c>
      <c r="D114">
        <v>20.192890999999999</v>
      </c>
      <c r="E114">
        <v>20.301445000000001</v>
      </c>
      <c r="F114">
        <v>28.270686000000001</v>
      </c>
      <c r="G114">
        <v>25.750859999999999</v>
      </c>
      <c r="H114">
        <v>24.948699999999999</v>
      </c>
      <c r="I114">
        <v>22.34825</v>
      </c>
      <c r="J114">
        <v>56.180996999999998</v>
      </c>
      <c r="K114">
        <v>51.071587999999998</v>
      </c>
      <c r="L114">
        <v>259.301154</v>
      </c>
      <c r="M114">
        <v>-622.48775599999999</v>
      </c>
      <c r="N114">
        <v>1.8730789999999999</v>
      </c>
      <c r="O114">
        <v>11.540277</v>
      </c>
      <c r="P114">
        <f t="shared" ref="P114:P120" si="6" xml:space="preserve"> N114*0.001/60</f>
        <v>3.1217983333333335E-5</v>
      </c>
      <c r="Q114" cm="1">
        <f t="array" ref="Q114">[1]!PropsSI("D","T",J114+273.15,"P",101325,"Water")</f>
        <v>985.11694389983336</v>
      </c>
      <c r="R114" cm="1">
        <f t="array" ref="R114">[1]!PropsSI("D","T",K114+273.15,"P",101325,"Water")</f>
        <v>987.5466190476651</v>
      </c>
      <c r="S114">
        <f t="shared" ref="S114:S120" si="7">(Q114+R114)/2</f>
        <v>986.33178147374929</v>
      </c>
      <c r="T114" cm="1">
        <f t="array" ref="T114">[1]!PropsSI("H","T",J114+273.15,"P",101325,"Water")</f>
        <v>235269.39045750076</v>
      </c>
      <c r="U114" cm="1">
        <f t="array" ref="U114">[1]!PropsSI("H","T",K114+273.15,"P",101325,"Water")</f>
        <v>213899.33402206691</v>
      </c>
      <c r="V114">
        <f t="shared" ref="V114:V120" si="8">S114*P114*(T114-U114)</f>
        <v>658.01158611125265</v>
      </c>
    </row>
    <row r="115" spans="1:22" x14ac:dyDescent="0.2">
      <c r="A115">
        <v>46122.816554398145</v>
      </c>
      <c r="B115">
        <v>20.470459999999999</v>
      </c>
      <c r="C115">
        <v>20.437493</v>
      </c>
      <c r="D115">
        <v>20.170328000000001</v>
      </c>
      <c r="E115">
        <v>20.292439000000002</v>
      </c>
      <c r="F115">
        <v>28.379448</v>
      </c>
      <c r="G115">
        <v>25.941673999999999</v>
      </c>
      <c r="H115">
        <v>24.936046000000001</v>
      </c>
      <c r="I115">
        <v>22.431667999999998</v>
      </c>
      <c r="J115">
        <v>56.181156000000001</v>
      </c>
      <c r="K115">
        <v>51.073337000000002</v>
      </c>
      <c r="L115">
        <v>247.06584799999999</v>
      </c>
      <c r="M115">
        <v>-622.46775700000001</v>
      </c>
      <c r="N115">
        <v>1.8660509999999999</v>
      </c>
      <c r="O115">
        <v>11.567739</v>
      </c>
      <c r="P115">
        <f t="shared" si="6"/>
        <v>3.1100849999999995E-5</v>
      </c>
      <c r="Q115" cm="1">
        <f t="array" ref="Q115">[1]!PropsSI("D","T",J115+273.15,"P",101325,"Water")</f>
        <v>985.11686575437432</v>
      </c>
      <c r="R115" cm="1">
        <f t="array" ref="R115">[1]!PropsSI("D","T",K115+273.15,"P",101325,"Water")</f>
        <v>987.54581575111604</v>
      </c>
      <c r="S115">
        <f t="shared" si="7"/>
        <v>986.33134075274518</v>
      </c>
      <c r="T115" cm="1">
        <f t="array" ref="T115">[1]!PropsSI("H","T",J115+273.15,"P",101325,"Water")</f>
        <v>235270.05561717565</v>
      </c>
      <c r="U115" cm="1">
        <f t="array" ref="U115">[1]!PropsSI("H","T",K115+273.15,"P",101325,"Water")</f>
        <v>213906.6477368639</v>
      </c>
      <c r="V115">
        <f t="shared" si="8"/>
        <v>655.33841142939548</v>
      </c>
    </row>
    <row r="116" spans="1:22" x14ac:dyDescent="0.2">
      <c r="A116">
        <v>46122.816612847222</v>
      </c>
      <c r="B116">
        <v>20.518207</v>
      </c>
      <c r="C116">
        <v>20.551231000000001</v>
      </c>
      <c r="D116">
        <v>20.279413000000002</v>
      </c>
      <c r="E116">
        <v>20.400625999999999</v>
      </c>
      <c r="F116">
        <v>28.375544999999999</v>
      </c>
      <c r="G116">
        <v>25.804524000000001</v>
      </c>
      <c r="H116">
        <v>25.280971999999998</v>
      </c>
      <c r="I116">
        <v>22.519636999999999</v>
      </c>
      <c r="J116">
        <v>56.180996999999998</v>
      </c>
      <c r="K116">
        <v>51.070635000000003</v>
      </c>
      <c r="L116">
        <v>258.72240699999998</v>
      </c>
      <c r="M116">
        <v>-622.49959200000001</v>
      </c>
      <c r="N116">
        <v>1.8682399999999999</v>
      </c>
      <c r="O116">
        <v>11.695173</v>
      </c>
      <c r="P116">
        <f t="shared" si="6"/>
        <v>3.1137333333333331E-5</v>
      </c>
      <c r="Q116" cm="1">
        <f t="array" ref="Q116">[1]!PropsSI("D","T",J116+273.15,"P",101325,"Water")</f>
        <v>985.11694389983336</v>
      </c>
      <c r="R116" cm="1">
        <f t="array" ref="R116">[1]!PropsSI("D","T",K116+273.15,"P",101325,"Water")</f>
        <v>987.54705674177217</v>
      </c>
      <c r="S116">
        <f t="shared" si="7"/>
        <v>986.33200032080276</v>
      </c>
      <c r="T116" cm="1">
        <f t="array" ref="T116">[1]!PropsSI("H","T",J116+273.15,"P",101325,"Water")</f>
        <v>235269.39045750076</v>
      </c>
      <c r="U116" cm="1">
        <f t="array" ref="U116">[1]!PropsSI("H","T",K116+273.15,"P",101325,"Water")</f>
        <v>213895.34890512322</v>
      </c>
      <c r="V116">
        <f t="shared" si="8"/>
        <v>656.43418369740152</v>
      </c>
    </row>
    <row r="117" spans="1:22" x14ac:dyDescent="0.2">
      <c r="A117">
        <v>46122.816671296299</v>
      </c>
      <c r="B117">
        <v>20.751593</v>
      </c>
      <c r="C117">
        <v>20.667074</v>
      </c>
      <c r="D117">
        <v>20.306353999999999</v>
      </c>
      <c r="E117">
        <v>20.401102000000002</v>
      </c>
      <c r="F117">
        <v>28.594059999999999</v>
      </c>
      <c r="G117">
        <v>26.048867999999999</v>
      </c>
      <c r="H117">
        <v>25.122171999999999</v>
      </c>
      <c r="I117">
        <v>22.498017000000001</v>
      </c>
      <c r="J117">
        <v>56.175426000000002</v>
      </c>
      <c r="K117">
        <v>51.072223999999999</v>
      </c>
      <c r="L117">
        <v>255.28951799999999</v>
      </c>
      <c r="M117">
        <v>-622.49673499999994</v>
      </c>
      <c r="N117">
        <v>1.87026</v>
      </c>
      <c r="O117">
        <v>11.702823</v>
      </c>
      <c r="P117">
        <f t="shared" si="6"/>
        <v>3.1171000000000004E-5</v>
      </c>
      <c r="Q117" cm="1">
        <f t="array" ref="Q117">[1]!PropsSI("D","T",J117+273.15,"P",101325,"Water")</f>
        <v>985.11968184240436</v>
      </c>
      <c r="R117" cm="1">
        <f t="array" ref="R117">[1]!PropsSI("D","T",K117+273.15,"P",101325,"Water")</f>
        <v>987.54632694210818</v>
      </c>
      <c r="S117">
        <f t="shared" si="7"/>
        <v>986.33300439225627</v>
      </c>
      <c r="T117" cm="1">
        <f t="array" ref="T117">[1]!PropsSI("H","T",J117+273.15,"P",101325,"Water")</f>
        <v>235246.08477366794</v>
      </c>
      <c r="U117" cm="1">
        <f t="array" ref="U117">[1]!PropsSI("H","T",K117+273.15,"P",101325,"Water")</f>
        <v>213901.99355462749</v>
      </c>
      <c r="V117">
        <f t="shared" si="8"/>
        <v>656.22378741774969</v>
      </c>
    </row>
    <row r="118" spans="1:22" x14ac:dyDescent="0.2">
      <c r="A118">
        <v>46122.816729745369</v>
      </c>
      <c r="B118">
        <v>20.646699999999999</v>
      </c>
      <c r="C118">
        <v>20.614350000000002</v>
      </c>
      <c r="D118">
        <v>20.305855000000001</v>
      </c>
      <c r="E118">
        <v>20.451830999999999</v>
      </c>
      <c r="F118">
        <v>28.471498</v>
      </c>
      <c r="G118">
        <v>26.008154999999999</v>
      </c>
      <c r="H118">
        <v>25.012121</v>
      </c>
      <c r="I118">
        <v>22.280398999999999</v>
      </c>
      <c r="J118">
        <v>56.176858000000003</v>
      </c>
      <c r="K118">
        <v>51.075879</v>
      </c>
      <c r="L118">
        <v>260.85413699999998</v>
      </c>
      <c r="M118">
        <v>-622.46653200000003</v>
      </c>
      <c r="N118">
        <v>1.8709279999999999</v>
      </c>
      <c r="O118">
        <v>11.711363</v>
      </c>
      <c r="P118">
        <f t="shared" si="6"/>
        <v>3.1182133333333334E-5</v>
      </c>
      <c r="Q118" cm="1">
        <f t="array" ref="Q118">[1]!PropsSI("D","T",J118+273.15,"P",101325,"Water")</f>
        <v>985.11897808500601</v>
      </c>
      <c r="R118" cm="1">
        <f t="array" ref="R118">[1]!PropsSI("D","T",K118+273.15,"P",101325,"Water")</f>
        <v>987.54464820303735</v>
      </c>
      <c r="S118">
        <f t="shared" si="7"/>
        <v>986.33181314402168</v>
      </c>
      <c r="T118" cm="1">
        <f t="array" ref="T118">[1]!PropsSI("H","T",J118+273.15,"P",101325,"Water")</f>
        <v>235252.0753917048</v>
      </c>
      <c r="U118" cm="1">
        <f t="array" ref="U118">[1]!PropsSI("H","T",K118+273.15,"P",101325,"Water")</f>
        <v>213917.27750576634</v>
      </c>
      <c r="V118">
        <f t="shared" si="8"/>
        <v>656.1715526560231</v>
      </c>
    </row>
    <row r="119" spans="1:22" x14ac:dyDescent="0.2">
      <c r="A119">
        <v>46122.816787615739</v>
      </c>
      <c r="B119">
        <v>20.43177</v>
      </c>
      <c r="C119">
        <v>20.479216999999998</v>
      </c>
      <c r="D119">
        <v>20.282146000000001</v>
      </c>
      <c r="E119">
        <v>20.408384000000002</v>
      </c>
      <c r="F119">
        <v>28.217431000000001</v>
      </c>
      <c r="G119">
        <v>25.907329000000001</v>
      </c>
      <c r="H119">
        <v>25.11431</v>
      </c>
      <c r="I119">
        <v>22.403307999999999</v>
      </c>
      <c r="J119">
        <v>56.177017999999997</v>
      </c>
      <c r="K119">
        <v>51.078899</v>
      </c>
      <c r="L119">
        <v>258.00040300000001</v>
      </c>
      <c r="M119">
        <v>-622.5</v>
      </c>
      <c r="N119">
        <v>1.8696740000000001</v>
      </c>
      <c r="O119">
        <v>11.572975</v>
      </c>
      <c r="P119">
        <f t="shared" si="6"/>
        <v>3.1161233333333336E-5</v>
      </c>
      <c r="Q119" cm="1">
        <f t="array" ref="Q119">[1]!PropsSI("D","T",J119+273.15,"P",101325,"Water")</f>
        <v>985.11889945212442</v>
      </c>
      <c r="R119" cm="1">
        <f t="array" ref="R119">[1]!PropsSI("D","T",K119+273.15,"P",101325,"Water")</f>
        <v>987.54326105369273</v>
      </c>
      <c r="S119">
        <f t="shared" si="7"/>
        <v>986.33108025290858</v>
      </c>
      <c r="T119" cm="1">
        <f t="array" ref="T119">[1]!PropsSI("H","T",J119+273.15,"P",101325,"Water")</f>
        <v>235252.7447344808</v>
      </c>
      <c r="U119" cm="1">
        <f t="array" ref="U119">[1]!PropsSI("H","T",K119+273.15,"P",101325,"Water")</f>
        <v>213929.90610869799</v>
      </c>
      <c r="V119">
        <f t="shared" si="8"/>
        <v>655.36369138365876</v>
      </c>
    </row>
    <row r="120" spans="1:22" x14ac:dyDescent="0.2">
      <c r="A120">
        <v>46122.816846064816</v>
      </c>
      <c r="B120">
        <v>20.865130000000001</v>
      </c>
      <c r="C120">
        <v>20.764351000000001</v>
      </c>
      <c r="D120">
        <v>20.381813000000001</v>
      </c>
      <c r="E120">
        <v>20.458784999999999</v>
      </c>
      <c r="F120">
        <v>28.464231999999999</v>
      </c>
      <c r="G120">
        <v>26.180523000000001</v>
      </c>
      <c r="H120">
        <v>25.032813000000001</v>
      </c>
      <c r="I120">
        <v>22.535851999999998</v>
      </c>
      <c r="J120">
        <v>56.179087000000003</v>
      </c>
      <c r="K120">
        <v>51.078899</v>
      </c>
      <c r="L120">
        <v>258.56200699999999</v>
      </c>
      <c r="M120">
        <v>-622.47959300000002</v>
      </c>
      <c r="N120">
        <v>1.875062</v>
      </c>
      <c r="O120">
        <v>11.337498999999999</v>
      </c>
      <c r="P120">
        <f t="shared" si="6"/>
        <v>3.1251033333333336E-5</v>
      </c>
      <c r="Q120" cm="1">
        <f t="array" ref="Q120">[1]!PropsSI("D","T",J120+273.15,"P",101325,"Water")</f>
        <v>985.1178826163582</v>
      </c>
      <c r="R120" cm="1">
        <f t="array" ref="R120">[1]!PropsSI("D","T",K120+273.15,"P",101325,"Water")</f>
        <v>987.54326105369273</v>
      </c>
      <c r="S120">
        <f t="shared" si="7"/>
        <v>986.33057183502547</v>
      </c>
      <c r="T120" cm="1">
        <f t="array" ref="T120">[1]!PropsSI("H","T",J120+273.15,"P",101325,"Water")</f>
        <v>235261.40017504583</v>
      </c>
      <c r="U120" cm="1">
        <f t="array" ref="U120">[1]!PropsSI("H","T",K120+273.15,"P",101325,"Water")</f>
        <v>213929.90610869799</v>
      </c>
      <c r="V120">
        <f t="shared" si="8"/>
        <v>657.51876437728333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8DAFAF-6BD6-294A-9AC6-1A2CECA5A5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  <vt:lpstr>8mps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2026-04-12T18:28:57Z</dcterms:created>
  <dcterms:modified xsi:type="dcterms:W3CDTF">2026-04-12T18:39:20Z</dcterms:modified>
</cp:coreProperties>
</file>