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35gps/"/>
    </mc:Choice>
  </mc:AlternateContent>
  <xr:revisionPtr revIDLastSave="0" documentId="13_ncr:1_{106E1DA9-FD40-A74D-99B3-0EB2E396A3D8}" xr6:coauthVersionLast="47" xr6:coauthVersionMax="47" xr10:uidLastSave="{00000000-0000-0000-0000-000000000000}"/>
  <bookViews>
    <workbookView xWindow="2600" yWindow="1400" windowWidth="27640" windowHeight="16680" xr2:uid="{8273FB42-636E-D84E-9DC3-2999E02D3A8D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  <sheet name="8mps" sheetId="10" r:id="rId9"/>
  </sheets>
  <externalReferences>
    <externalReference r:id="rId10"/>
  </externalReferences>
  <definedNames>
    <definedName name="ExternalData_1" localSheetId="1" hidden="1">'1mps'!$A$1:$O$39</definedName>
    <definedName name="ExternalData_1" localSheetId="2" hidden="1">'2mps'!$A$1:$O$54</definedName>
    <definedName name="ExternalData_1" localSheetId="3" hidden="1">'3mps'!$A$1:$O$25</definedName>
    <definedName name="ExternalData_1" localSheetId="4" hidden="1">'4mps'!$A$1:$O$43</definedName>
    <definedName name="ExternalData_1" localSheetId="5" hidden="1">'5mps'!$A$1:$O$32</definedName>
    <definedName name="ExternalData_1" localSheetId="6" hidden="1">'6mps'!$A$1:$O$57</definedName>
    <definedName name="ExternalData_1" localSheetId="7" hidden="1">'7mps'!$A$1:$O$47</definedName>
    <definedName name="ExternalData_1" localSheetId="8" hidden="1">'8mps'!$A$1:$O$51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2" i="4"/>
  <c r="W2" i="5"/>
  <c r="W2" i="6"/>
  <c r="W2" i="7"/>
  <c r="W2" i="8"/>
  <c r="W2" i="9"/>
  <c r="W2" i="10"/>
  <c r="P48" i="10"/>
  <c r="P49" i="10"/>
  <c r="P50" i="10"/>
  <c r="P51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Q49" i="10" a="1"/>
  <c r="R51" i="10" a="1"/>
  <c r="U48" i="10" a="1"/>
  <c r="Q51" i="10" a="1"/>
  <c r="Q48" i="10" a="1"/>
  <c r="R50" i="10" a="1"/>
  <c r="R49" i="10" a="1"/>
  <c r="R48" i="10" a="1"/>
  <c r="T51" i="10" a="1"/>
  <c r="T50" i="10" a="1"/>
  <c r="T49" i="10" a="1"/>
  <c r="U51" i="10" a="1"/>
  <c r="T48" i="10" a="1"/>
  <c r="U50" i="10" a="1"/>
  <c r="U49" i="10" a="1"/>
  <c r="Q50" i="10" a="1"/>
  <c r="U45" i="10" a="1"/>
  <c r="T43" i="10" a="1"/>
  <c r="R40" i="10" a="1"/>
  <c r="Q38" i="10" a="1"/>
  <c r="U33" i="10" a="1"/>
  <c r="T31" i="10" a="1"/>
  <c r="R28" i="10" a="1"/>
  <c r="Q26" i="10" a="1"/>
  <c r="U21" i="10" a="1"/>
  <c r="T19" i="10" a="1"/>
  <c r="R16" i="10" a="1"/>
  <c r="Q14" i="10" a="1"/>
  <c r="U9" i="10" a="1"/>
  <c r="T7" i="10" a="1"/>
  <c r="R4" i="10" a="1"/>
  <c r="R31" i="10" a="1"/>
  <c r="T10" i="10" a="1"/>
  <c r="U37" i="10" a="1"/>
  <c r="T35" i="10" a="1"/>
  <c r="R20" i="10" a="1"/>
  <c r="T11" i="10" a="1"/>
  <c r="R8" i="10" a="1"/>
  <c r="Q6" i="10" a="1"/>
  <c r="R10" i="10" a="1"/>
  <c r="U2" i="10" a="1"/>
  <c r="U4" i="10" a="1"/>
  <c r="U5" i="10" a="1"/>
  <c r="U46" i="10" a="1"/>
  <c r="T44" i="10" a="1"/>
  <c r="R41" i="10" a="1"/>
  <c r="Q39" i="10" a="1"/>
  <c r="U34" i="10" a="1"/>
  <c r="T32" i="10" a="1"/>
  <c r="R29" i="10" a="1"/>
  <c r="Q27" i="10" a="1"/>
  <c r="U22" i="10" a="1"/>
  <c r="T20" i="10" a="1"/>
  <c r="R17" i="10" a="1"/>
  <c r="Q15" i="10" a="1"/>
  <c r="U10" i="10" a="1"/>
  <c r="T8" i="10" a="1"/>
  <c r="R5" i="10" a="1"/>
  <c r="Q3" i="10" a="1"/>
  <c r="Q2" i="10" a="1"/>
  <c r="Q29" i="10" a="1"/>
  <c r="U24" i="10" a="1"/>
  <c r="U12" i="10" a="1"/>
  <c r="R7" i="10" a="1"/>
  <c r="Q5" i="10" a="1"/>
  <c r="Q30" i="10" a="1"/>
  <c r="U25" i="10" a="1"/>
  <c r="U13" i="10" a="1"/>
  <c r="T24" i="10" a="1"/>
  <c r="Q19" i="10" a="1"/>
  <c r="T12" i="10" a="1"/>
  <c r="Q7" i="10" a="1"/>
  <c r="T13" i="10" a="1"/>
  <c r="Q22" i="10" a="1"/>
  <c r="T2" i="10" a="1"/>
  <c r="U47" i="10" a="1"/>
  <c r="T45" i="10" a="1"/>
  <c r="R42" i="10" a="1"/>
  <c r="Q40" i="10" a="1"/>
  <c r="U35" i="10" a="1"/>
  <c r="T33" i="10" a="1"/>
  <c r="R30" i="10" a="1"/>
  <c r="Q28" i="10" a="1"/>
  <c r="U23" i="10" a="1"/>
  <c r="T21" i="10" a="1"/>
  <c r="R18" i="10" a="1"/>
  <c r="Q16" i="10" a="1"/>
  <c r="U11" i="10" a="1"/>
  <c r="T9" i="10" a="1"/>
  <c r="R6" i="10" a="1"/>
  <c r="Q4" i="10" a="1"/>
  <c r="U36" i="10" a="1"/>
  <c r="Q17" i="10" a="1"/>
  <c r="R32" i="10" a="1"/>
  <c r="T23" i="10" a="1"/>
  <c r="Q18" i="10" a="1"/>
  <c r="U17" i="10" a="1"/>
  <c r="T3" i="10" a="1"/>
  <c r="T46" i="10" a="1"/>
  <c r="R43" i="10" a="1"/>
  <c r="Q41" i="10" a="1"/>
  <c r="T22" i="10" a="1"/>
  <c r="R19" i="10" a="1"/>
  <c r="U3" i="10" a="1"/>
  <c r="Q9" i="10" a="1"/>
  <c r="T27" i="10" a="1"/>
  <c r="Q10" i="10" a="1"/>
  <c r="T47" i="10" a="1"/>
  <c r="R44" i="10" a="1"/>
  <c r="Q42" i="10" a="1"/>
  <c r="U14" i="10" a="1"/>
  <c r="R11" i="10" a="1"/>
  <c r="U29" i="10" a="1"/>
  <c r="R45" i="10" a="1"/>
  <c r="Q43" i="10" a="1"/>
  <c r="U38" i="10" a="1"/>
  <c r="T36" i="10" a="1"/>
  <c r="R33" i="10" a="1"/>
  <c r="Q31" i="10" a="1"/>
  <c r="U26" i="10" a="1"/>
  <c r="R21" i="10" a="1"/>
  <c r="R9" i="10" a="1"/>
  <c r="R46" i="10" a="1"/>
  <c r="Q44" i="10" a="1"/>
  <c r="U39" i="10" a="1"/>
  <c r="T37" i="10" a="1"/>
  <c r="R34" i="10" a="1"/>
  <c r="Q32" i="10" a="1"/>
  <c r="U27" i="10" a="1"/>
  <c r="T25" i="10" a="1"/>
  <c r="R22" i="10" a="1"/>
  <c r="Q20" i="10" a="1"/>
  <c r="U15" i="10" a="1"/>
  <c r="Q8" i="10" a="1"/>
  <c r="T15" i="10" a="1"/>
  <c r="R47" i="10" a="1"/>
  <c r="Q45" i="10" a="1"/>
  <c r="U40" i="10" a="1"/>
  <c r="T38" i="10" a="1"/>
  <c r="R35" i="10" a="1"/>
  <c r="Q33" i="10" a="1"/>
  <c r="U28" i="10" a="1"/>
  <c r="T26" i="10" a="1"/>
  <c r="R23" i="10" a="1"/>
  <c r="Q21" i="10" a="1"/>
  <c r="U16" i="10" a="1"/>
  <c r="T14" i="10" a="1"/>
  <c r="Q46" i="10" a="1"/>
  <c r="U41" i="10" a="1"/>
  <c r="T39" i="10" a="1"/>
  <c r="R36" i="10" a="1"/>
  <c r="Q34" i="10" a="1"/>
  <c r="Q47" i="10" a="1"/>
  <c r="U42" i="10" a="1"/>
  <c r="T40" i="10" a="1"/>
  <c r="R37" i="10" a="1"/>
  <c r="Q35" i="10" a="1"/>
  <c r="U30" i="10" a="1"/>
  <c r="T28" i="10" a="1"/>
  <c r="R25" i="10" a="1"/>
  <c r="Q23" i="10" a="1"/>
  <c r="U18" i="10" a="1"/>
  <c r="T16" i="10" a="1"/>
  <c r="R13" i="10" a="1"/>
  <c r="Q11" i="10" a="1"/>
  <c r="U6" i="10" a="1"/>
  <c r="T4" i="10" a="1"/>
  <c r="R12" i="10" a="1"/>
  <c r="U43" i="10" a="1"/>
  <c r="T41" i="10" a="1"/>
  <c r="R38" i="10" a="1"/>
  <c r="Q36" i="10" a="1"/>
  <c r="U31" i="10" a="1"/>
  <c r="T29" i="10" a="1"/>
  <c r="R26" i="10" a="1"/>
  <c r="Q24" i="10" a="1"/>
  <c r="U19" i="10" a="1"/>
  <c r="T17" i="10" a="1"/>
  <c r="R14" i="10" a="1"/>
  <c r="Q12" i="10" a="1"/>
  <c r="U7" i="10" a="1"/>
  <c r="T5" i="10" a="1"/>
  <c r="U44" i="10" a="1"/>
  <c r="T42" i="10" a="1"/>
  <c r="R39" i="10" a="1"/>
  <c r="Q37" i="10" a="1"/>
  <c r="U32" i="10" a="1"/>
  <c r="T30" i="10" a="1"/>
  <c r="R27" i="10" a="1"/>
  <c r="Q25" i="10" a="1"/>
  <c r="U20" i="10" a="1"/>
  <c r="T18" i="10" a="1"/>
  <c r="R15" i="10" a="1"/>
  <c r="Q13" i="10" a="1"/>
  <c r="U8" i="10" a="1"/>
  <c r="T6" i="10" a="1"/>
  <c r="R3" i="10" a="1"/>
  <c r="R2" i="10" a="1"/>
  <c r="T34" i="10" a="1"/>
  <c r="R24" i="10" a="1"/>
  <c r="U43" i="9" a="1"/>
  <c r="T41" i="9" a="1"/>
  <c r="R38" i="9" a="1"/>
  <c r="Q36" i="9" a="1"/>
  <c r="U31" i="9" a="1"/>
  <c r="T29" i="9" a="1"/>
  <c r="R26" i="9" a="1"/>
  <c r="Q24" i="9" a="1"/>
  <c r="U19" i="9" a="1"/>
  <c r="T17" i="9" a="1"/>
  <c r="R14" i="9" a="1"/>
  <c r="Q12" i="9" a="1"/>
  <c r="U7" i="9" a="1"/>
  <c r="T5" i="9" a="1"/>
  <c r="Q25" i="9" a="1"/>
  <c r="T18" i="9" a="1"/>
  <c r="R15" i="9" a="1"/>
  <c r="T6" i="9" a="1"/>
  <c r="R4" i="9" a="1"/>
  <c r="U23" i="9" a="1"/>
  <c r="Q16" i="9" a="1"/>
  <c r="T9" i="9" a="1"/>
  <c r="U44" i="9" a="1"/>
  <c r="T42" i="9" a="1"/>
  <c r="R39" i="9" a="1"/>
  <c r="Q37" i="9" a="1"/>
  <c r="U32" i="9" a="1"/>
  <c r="T30" i="9" a="1"/>
  <c r="Q28" i="9" a="1"/>
  <c r="T21" i="9" a="1"/>
  <c r="R18" i="9" a="1"/>
  <c r="U11" i="9" a="1"/>
  <c r="Q4" i="9" a="1"/>
  <c r="U45" i="9" a="1"/>
  <c r="T43" i="9" a="1"/>
  <c r="R40" i="9" a="1"/>
  <c r="Q38" i="9" a="1"/>
  <c r="U33" i="9" a="1"/>
  <c r="T31" i="9" a="1"/>
  <c r="R28" i="9" a="1"/>
  <c r="Q26" i="9" a="1"/>
  <c r="U21" i="9" a="1"/>
  <c r="T19" i="9" a="1"/>
  <c r="R16" i="9" a="1"/>
  <c r="U9" i="9" a="1"/>
  <c r="U46" i="9" a="1"/>
  <c r="T44" i="9" a="1"/>
  <c r="R41" i="9" a="1"/>
  <c r="Q39" i="9" a="1"/>
  <c r="U34" i="9" a="1"/>
  <c r="T32" i="9" a="1"/>
  <c r="R29" i="9" a="1"/>
  <c r="Q27" i="9" a="1"/>
  <c r="U22" i="9" a="1"/>
  <c r="T20" i="9" a="1"/>
  <c r="R17" i="9" a="1"/>
  <c r="Q15" i="9" a="1"/>
  <c r="U10" i="9" a="1"/>
  <c r="T8" i="9" a="1"/>
  <c r="R5" i="9" a="1"/>
  <c r="Q3" i="9" a="1"/>
  <c r="Q2" i="9" a="1"/>
  <c r="R30" i="9" a="1"/>
  <c r="R6" i="9" a="1"/>
  <c r="U47" i="9" a="1"/>
  <c r="T45" i="9" a="1"/>
  <c r="R42" i="9" a="1"/>
  <c r="Q40" i="9" a="1"/>
  <c r="U35" i="9" a="1"/>
  <c r="T33" i="9" a="1"/>
  <c r="T46" i="9" a="1"/>
  <c r="R43" i="9" a="1"/>
  <c r="Q41" i="9" a="1"/>
  <c r="U36" i="9" a="1"/>
  <c r="T34" i="9" a="1"/>
  <c r="R31" i="9" a="1"/>
  <c r="Q29" i="9" a="1"/>
  <c r="U24" i="9" a="1"/>
  <c r="T22" i="9" a="1"/>
  <c r="R19" i="9" a="1"/>
  <c r="Q17" i="9" a="1"/>
  <c r="U12" i="9" a="1"/>
  <c r="T10" i="9" a="1"/>
  <c r="R7" i="9" a="1"/>
  <c r="Q5" i="9" a="1"/>
  <c r="R20" i="9" a="1"/>
  <c r="U13" i="9" a="1"/>
  <c r="T11" i="9" a="1"/>
  <c r="R8" i="9" a="1"/>
  <c r="Q6" i="9" a="1"/>
  <c r="T47" i="9" a="1"/>
  <c r="R44" i="9" a="1"/>
  <c r="Q42" i="9" a="1"/>
  <c r="U37" i="9" a="1"/>
  <c r="T35" i="9" a="1"/>
  <c r="R32" i="9" a="1"/>
  <c r="Q30" i="9" a="1"/>
  <c r="U25" i="9" a="1"/>
  <c r="T23" i="9" a="1"/>
  <c r="Q18" i="9" a="1"/>
  <c r="R45" i="9" a="1"/>
  <c r="Q43" i="9" a="1"/>
  <c r="U38" i="9" a="1"/>
  <c r="T36" i="9" a="1"/>
  <c r="R33" i="9" a="1"/>
  <c r="Q31" i="9" a="1"/>
  <c r="U26" i="9" a="1"/>
  <c r="T24" i="9" a="1"/>
  <c r="R21" i="9" a="1"/>
  <c r="Q19" i="9" a="1"/>
  <c r="U14" i="9" a="1"/>
  <c r="T12" i="9" a="1"/>
  <c r="R9" i="9" a="1"/>
  <c r="Q7" i="9" a="1"/>
  <c r="U3" i="9" a="1"/>
  <c r="U2" i="9" a="1"/>
  <c r="U40" i="9" a="1"/>
  <c r="T38" i="9" a="1"/>
  <c r="R35" i="9" a="1"/>
  <c r="Q33" i="9" a="1"/>
  <c r="U28" i="9" a="1"/>
  <c r="T26" i="9" a="1"/>
  <c r="R23" i="9" a="1"/>
  <c r="Q21" i="9" a="1"/>
  <c r="R46" i="9" a="1"/>
  <c r="Q44" i="9" a="1"/>
  <c r="U39" i="9" a="1"/>
  <c r="T37" i="9" a="1"/>
  <c r="R34" i="9" a="1"/>
  <c r="Q32" i="9" a="1"/>
  <c r="U27" i="9" a="1"/>
  <c r="T25" i="9" a="1"/>
  <c r="R22" i="9" a="1"/>
  <c r="Q20" i="9" a="1"/>
  <c r="U15" i="9" a="1"/>
  <c r="T13" i="9" a="1"/>
  <c r="R10" i="9" a="1"/>
  <c r="Q8" i="9" a="1"/>
  <c r="U16" i="9" a="1"/>
  <c r="T14" i="9" a="1"/>
  <c r="R11" i="9" a="1"/>
  <c r="Q9" i="9" a="1"/>
  <c r="R47" i="9" a="1"/>
  <c r="Q45" i="9" a="1"/>
  <c r="U4" i="9" a="1"/>
  <c r="Q46" i="9" a="1"/>
  <c r="U41" i="9" a="1"/>
  <c r="T39" i="9" a="1"/>
  <c r="R36" i="9" a="1"/>
  <c r="Q34" i="9" a="1"/>
  <c r="U29" i="9" a="1"/>
  <c r="T27" i="9" a="1"/>
  <c r="R24" i="9" a="1"/>
  <c r="Q22" i="9" a="1"/>
  <c r="U17" i="9" a="1"/>
  <c r="T15" i="9" a="1"/>
  <c r="R12" i="9" a="1"/>
  <c r="Q10" i="9" a="1"/>
  <c r="U5" i="9" a="1"/>
  <c r="T3" i="9" a="1"/>
  <c r="T2" i="9" a="1"/>
  <c r="T7" i="9" a="1"/>
  <c r="Q47" i="9" a="1"/>
  <c r="U42" i="9" a="1"/>
  <c r="T40" i="9" a="1"/>
  <c r="R37" i="9" a="1"/>
  <c r="Q35" i="9" a="1"/>
  <c r="U30" i="9" a="1"/>
  <c r="T28" i="9" a="1"/>
  <c r="R25" i="9" a="1"/>
  <c r="Q23" i="9" a="1"/>
  <c r="U18" i="9" a="1"/>
  <c r="T16" i="9" a="1"/>
  <c r="R13" i="9" a="1"/>
  <c r="Q11" i="9" a="1"/>
  <c r="U6" i="9" a="1"/>
  <c r="T4" i="9" a="1"/>
  <c r="R27" i="9" a="1"/>
  <c r="U20" i="9" a="1"/>
  <c r="Q13" i="9" a="1"/>
  <c r="U8" i="9" a="1"/>
  <c r="R3" i="9" a="1"/>
  <c r="R2" i="9" a="1"/>
  <c r="Q14" i="9" a="1"/>
  <c r="Q34" i="8" a="1"/>
  <c r="R36" i="8" a="1"/>
  <c r="T39" i="8" a="1"/>
  <c r="U41" i="8" a="1"/>
  <c r="Q46" i="8" a="1"/>
  <c r="R48" i="8" a="1"/>
  <c r="T51" i="8" a="1"/>
  <c r="U53" i="8" a="1"/>
  <c r="T36" i="8" a="1"/>
  <c r="R45" i="8" a="1"/>
  <c r="T46" i="8" a="1"/>
  <c r="Q33" i="8" a="1"/>
  <c r="R35" i="8" a="1"/>
  <c r="T38" i="8" a="1"/>
  <c r="U40" i="8" a="1"/>
  <c r="Q45" i="8" a="1"/>
  <c r="R47" i="8" a="1"/>
  <c r="T50" i="8" a="1"/>
  <c r="U52" i="8" a="1"/>
  <c r="Q57" i="8" a="1"/>
  <c r="U38" i="8" a="1"/>
  <c r="T48" i="8" a="1"/>
  <c r="U50" i="8" a="1"/>
  <c r="Q55" i="8" a="1"/>
  <c r="R57" i="8" a="1"/>
  <c r="R55" i="8" a="1"/>
  <c r="R34" i="8" a="1"/>
  <c r="T37" i="8" a="1"/>
  <c r="U39" i="8" a="1"/>
  <c r="Q44" i="8" a="1"/>
  <c r="R46" i="8" a="1"/>
  <c r="T49" i="8" a="1"/>
  <c r="U51" i="8" a="1"/>
  <c r="Q56" i="8" a="1"/>
  <c r="Q43" i="8" a="1"/>
  <c r="R33" i="8" a="1"/>
  <c r="T35" i="8" a="1"/>
  <c r="U37" i="8" a="1"/>
  <c r="Q42" i="8" a="1"/>
  <c r="R44" i="8" a="1"/>
  <c r="T47" i="8" a="1"/>
  <c r="U49" i="8" a="1"/>
  <c r="Q54" i="8" a="1"/>
  <c r="U48" i="8" a="1"/>
  <c r="Q53" i="8" a="1"/>
  <c r="T57" i="8" a="1"/>
  <c r="T34" i="8" a="1"/>
  <c r="U36" i="8" a="1"/>
  <c r="T33" i="8" a="1"/>
  <c r="U35" i="8" a="1"/>
  <c r="Q40" i="8" a="1"/>
  <c r="R42" i="8" a="1"/>
  <c r="T45" i="8" a="1"/>
  <c r="U47" i="8" a="1"/>
  <c r="Q52" i="8" a="1"/>
  <c r="R54" i="8" a="1"/>
  <c r="U34" i="8" a="1"/>
  <c r="Q39" i="8" a="1"/>
  <c r="R41" i="8" a="1"/>
  <c r="T44" i="8" a="1"/>
  <c r="U46" i="8" a="1"/>
  <c r="Q51" i="8" a="1"/>
  <c r="R53" i="8" a="1"/>
  <c r="T56" i="8" a="1"/>
  <c r="U33" i="8" a="1"/>
  <c r="Q38" i="8" a="1"/>
  <c r="R40" i="8" a="1"/>
  <c r="T43" i="8" a="1"/>
  <c r="U45" i="8" a="1"/>
  <c r="Q50" i="8" a="1"/>
  <c r="R52" i="8" a="1"/>
  <c r="T55" i="8" a="1"/>
  <c r="U57" i="8" a="1"/>
  <c r="Q37" i="8" a="1"/>
  <c r="T42" i="8" a="1"/>
  <c r="R51" i="8" a="1"/>
  <c r="T54" i="8" a="1"/>
  <c r="U56" i="8" a="1"/>
  <c r="R56" i="8" a="1"/>
  <c r="Q41" i="8" a="1"/>
  <c r="R43" i="8" a="1"/>
  <c r="R39" i="8" a="1"/>
  <c r="U44" i="8" a="1"/>
  <c r="Q49" i="8" a="1"/>
  <c r="Q36" i="8" a="1"/>
  <c r="R38" i="8" a="1"/>
  <c r="T41" i="8" a="1"/>
  <c r="U43" i="8" a="1"/>
  <c r="Q48" i="8" a="1"/>
  <c r="R50" i="8" a="1"/>
  <c r="T53" i="8" a="1"/>
  <c r="U55" i="8" a="1"/>
  <c r="Q35" i="8" a="1"/>
  <c r="R37" i="8" a="1"/>
  <c r="T40" i="8" a="1"/>
  <c r="U42" i="8" a="1"/>
  <c r="Q47" i="8" a="1"/>
  <c r="R49" i="8" a="1"/>
  <c r="T52" i="8" a="1"/>
  <c r="U54" i="8" a="1"/>
  <c r="U30" i="8" a="1"/>
  <c r="T28" i="8" a="1"/>
  <c r="R25" i="8" a="1"/>
  <c r="Q23" i="8" a="1"/>
  <c r="U18" i="8" a="1"/>
  <c r="T16" i="8" a="1"/>
  <c r="R13" i="8" a="1"/>
  <c r="Q11" i="8" a="1"/>
  <c r="U6" i="8" a="1"/>
  <c r="T4" i="8" a="1"/>
  <c r="U31" i="8" a="1"/>
  <c r="T29" i="8" a="1"/>
  <c r="R26" i="8" a="1"/>
  <c r="Q24" i="8" a="1"/>
  <c r="U32" i="8" a="1"/>
  <c r="T30" i="8" a="1"/>
  <c r="R27" i="8" a="1"/>
  <c r="Q25" i="8" a="1"/>
  <c r="U20" i="8" a="1"/>
  <c r="T18" i="8" a="1"/>
  <c r="R15" i="8" a="1"/>
  <c r="Q13" i="8" a="1"/>
  <c r="U8" i="8" a="1"/>
  <c r="T6" i="8" a="1"/>
  <c r="R3" i="8" a="1"/>
  <c r="R2" i="8" a="1"/>
  <c r="U11" i="8" a="1"/>
  <c r="T31" i="8" a="1"/>
  <c r="R28" i="8" a="1"/>
  <c r="Q26" i="8" a="1"/>
  <c r="U21" i="8" a="1"/>
  <c r="T19" i="8" a="1"/>
  <c r="R16" i="8" a="1"/>
  <c r="Q14" i="8" a="1"/>
  <c r="U9" i="8" a="1"/>
  <c r="T7" i="8" a="1"/>
  <c r="R4" i="8" a="1"/>
  <c r="R29" i="8" a="1"/>
  <c r="Q27" i="8" a="1"/>
  <c r="U22" i="8" a="1"/>
  <c r="T20" i="8" a="1"/>
  <c r="R17" i="8" a="1"/>
  <c r="Q15" i="8" a="1"/>
  <c r="U10" i="8" a="1"/>
  <c r="T8" i="8" a="1"/>
  <c r="R5" i="8" a="1"/>
  <c r="Q3" i="8" a="1"/>
  <c r="Q2" i="8" a="1"/>
  <c r="U23" i="8" a="1"/>
  <c r="Q4" i="8" a="1"/>
  <c r="T32" i="8" a="1"/>
  <c r="R30" i="8" a="1"/>
  <c r="R31" i="8" a="1"/>
  <c r="Q29" i="8" a="1"/>
  <c r="U24" i="8" a="1"/>
  <c r="T22" i="8" a="1"/>
  <c r="R19" i="8" a="1"/>
  <c r="Q17" i="8" a="1"/>
  <c r="U12" i="8" a="1"/>
  <c r="T10" i="8" a="1"/>
  <c r="R7" i="8" a="1"/>
  <c r="Q5" i="8" a="1"/>
  <c r="Q10" i="8" a="1"/>
  <c r="R32" i="8" a="1"/>
  <c r="Q30" i="8" a="1"/>
  <c r="U25" i="8" a="1"/>
  <c r="T23" i="8" a="1"/>
  <c r="R20" i="8" a="1"/>
  <c r="Q18" i="8" a="1"/>
  <c r="U13" i="8" a="1"/>
  <c r="T11" i="8" a="1"/>
  <c r="R8" i="8" a="1"/>
  <c r="Q6" i="8" a="1"/>
  <c r="T3" i="8" a="1"/>
  <c r="T17" i="8" a="1"/>
  <c r="Q31" i="8" a="1"/>
  <c r="U26" i="8" a="1"/>
  <c r="T24" i="8" a="1"/>
  <c r="R21" i="8" a="1"/>
  <c r="Q19" i="8" a="1"/>
  <c r="U14" i="8" a="1"/>
  <c r="T12" i="8" a="1"/>
  <c r="R9" i="8" a="1"/>
  <c r="Q7" i="8" a="1"/>
  <c r="R6" i="8" a="1"/>
  <c r="Q32" i="8" a="1"/>
  <c r="U27" i="8" a="1"/>
  <c r="T25" i="8" a="1"/>
  <c r="R22" i="8" a="1"/>
  <c r="Q20" i="8" a="1"/>
  <c r="U15" i="8" a="1"/>
  <c r="T13" i="8" a="1"/>
  <c r="R10" i="8" a="1"/>
  <c r="Q8" i="8" a="1"/>
  <c r="U3" i="8" a="1"/>
  <c r="U2" i="8" a="1"/>
  <c r="U5" i="8" a="1"/>
  <c r="T2" i="8" a="1"/>
  <c r="U19" i="8" a="1"/>
  <c r="R14" i="8" a="1"/>
  <c r="T21" i="8" a="1"/>
  <c r="Q16" i="8" a="1"/>
  <c r="U28" i="8" a="1"/>
  <c r="T26" i="8" a="1"/>
  <c r="R23" i="8" a="1"/>
  <c r="Q21" i="8" a="1"/>
  <c r="U16" i="8" a="1"/>
  <c r="T14" i="8" a="1"/>
  <c r="R11" i="8" a="1"/>
  <c r="Q9" i="8" a="1"/>
  <c r="U4" i="8" a="1"/>
  <c r="U29" i="8" a="1"/>
  <c r="T27" i="8" a="1"/>
  <c r="R24" i="8" a="1"/>
  <c r="Q22" i="8" a="1"/>
  <c r="U17" i="8" a="1"/>
  <c r="T15" i="8" a="1"/>
  <c r="R12" i="8" a="1"/>
  <c r="Q12" i="8" a="1"/>
  <c r="U7" i="8" a="1"/>
  <c r="T5" i="8" a="1"/>
  <c r="Q28" i="8" a="1"/>
  <c r="R18" i="8" a="1"/>
  <c r="T9" i="8" a="1"/>
  <c r="U29" i="7" a="1"/>
  <c r="T27" i="7" a="1"/>
  <c r="R24" i="7" a="1"/>
  <c r="Q22" i="7" a="1"/>
  <c r="U17" i="7" a="1"/>
  <c r="T15" i="7" a="1"/>
  <c r="R12" i="7" a="1"/>
  <c r="Q10" i="7" a="1"/>
  <c r="U5" i="7" a="1"/>
  <c r="T3" i="7" a="1"/>
  <c r="T2" i="7" a="1"/>
  <c r="Q24" i="7" a="1"/>
  <c r="T17" i="7" a="1"/>
  <c r="Q12" i="7" a="1"/>
  <c r="T5" i="7" a="1"/>
  <c r="U32" i="7" a="1"/>
  <c r="Q25" i="7" a="1"/>
  <c r="U20" i="7" a="1"/>
  <c r="R29" i="7" a="1"/>
  <c r="U30" i="7" a="1"/>
  <c r="T28" i="7" a="1"/>
  <c r="R25" i="7" a="1"/>
  <c r="Q23" i="7" a="1"/>
  <c r="U18" i="7" a="1"/>
  <c r="T16" i="7" a="1"/>
  <c r="R13" i="7" a="1"/>
  <c r="Q11" i="7" a="1"/>
  <c r="U6" i="7" a="1"/>
  <c r="T4" i="7" a="1"/>
  <c r="U19" i="7" a="1"/>
  <c r="R14" i="7" a="1"/>
  <c r="U7" i="7" a="1"/>
  <c r="T30" i="7" a="1"/>
  <c r="R27" i="7" a="1"/>
  <c r="T18" i="7" a="1"/>
  <c r="U31" i="7" a="1"/>
  <c r="T29" i="7" a="1"/>
  <c r="R26" i="7" a="1"/>
  <c r="Q13" i="7" a="1"/>
  <c r="U8" i="7" a="1"/>
  <c r="R3" i="7" a="1"/>
  <c r="R2" i="7" a="1"/>
  <c r="Q27" i="7" a="1"/>
  <c r="T20" i="7" a="1"/>
  <c r="Q15" i="7" a="1"/>
  <c r="R15" i="7" a="1"/>
  <c r="T6" i="7" a="1"/>
  <c r="T31" i="7" a="1"/>
  <c r="R28" i="7" a="1"/>
  <c r="Q26" i="7" a="1"/>
  <c r="U21" i="7" a="1"/>
  <c r="T19" i="7" a="1"/>
  <c r="R16" i="7" a="1"/>
  <c r="Q14" i="7" a="1"/>
  <c r="U9" i="7" a="1"/>
  <c r="T7" i="7" a="1"/>
  <c r="R4" i="7" a="1"/>
  <c r="R17" i="7" a="1"/>
  <c r="U10" i="7" a="1"/>
  <c r="T8" i="7" a="1"/>
  <c r="R5" i="7" a="1"/>
  <c r="Q3" i="7" a="1"/>
  <c r="Q2" i="7" a="1"/>
  <c r="T9" i="7" a="1"/>
  <c r="R6" i="7" a="1"/>
  <c r="Q4" i="7" a="1"/>
  <c r="U2" i="7" a="1"/>
  <c r="T32" i="7" a="1"/>
  <c r="U22" i="7" a="1"/>
  <c r="R30" i="7" a="1"/>
  <c r="Q28" i="7" a="1"/>
  <c r="U23" i="7" a="1"/>
  <c r="T21" i="7" a="1"/>
  <c r="R18" i="7" a="1"/>
  <c r="Q16" i="7" a="1"/>
  <c r="U11" i="7" a="1"/>
  <c r="R31" i="7" a="1"/>
  <c r="Q29" i="7" a="1"/>
  <c r="U24" i="7" a="1"/>
  <c r="T22" i="7" a="1"/>
  <c r="R19" i="7" a="1"/>
  <c r="Q17" i="7" a="1"/>
  <c r="U12" i="7" a="1"/>
  <c r="T10" i="7" a="1"/>
  <c r="R7" i="7" a="1"/>
  <c r="Q5" i="7" a="1"/>
  <c r="U26" i="7" a="1"/>
  <c r="T24" i="7" a="1"/>
  <c r="R21" i="7" a="1"/>
  <c r="U14" i="7" a="1"/>
  <c r="T12" i="7" a="1"/>
  <c r="R9" i="7" a="1"/>
  <c r="U27" i="7" a="1"/>
  <c r="T25" i="7" a="1"/>
  <c r="R22" i="7" a="1"/>
  <c r="Q20" i="7" a="1"/>
  <c r="U15" i="7" a="1"/>
  <c r="T13" i="7" a="1"/>
  <c r="R10" i="7" a="1"/>
  <c r="Q8" i="7" a="1"/>
  <c r="U3" i="7" a="1"/>
  <c r="R32" i="7" a="1"/>
  <c r="Q30" i="7" a="1"/>
  <c r="U25" i="7" a="1"/>
  <c r="T23" i="7" a="1"/>
  <c r="R20" i="7" a="1"/>
  <c r="Q18" i="7" a="1"/>
  <c r="U13" i="7" a="1"/>
  <c r="T11" i="7" a="1"/>
  <c r="R8" i="7" a="1"/>
  <c r="Q6" i="7" a="1"/>
  <c r="Q31" i="7" a="1"/>
  <c r="Q19" i="7" a="1"/>
  <c r="Q32" i="7" a="1"/>
  <c r="Q7" i="7" a="1"/>
  <c r="U28" i="7" a="1"/>
  <c r="T26" i="7" a="1"/>
  <c r="R23" i="7" a="1"/>
  <c r="Q21" i="7" a="1"/>
  <c r="U16" i="7" a="1"/>
  <c r="T14" i="7" a="1"/>
  <c r="R11" i="7" a="1"/>
  <c r="Q9" i="7" a="1"/>
  <c r="U4" i="7" a="1"/>
  <c r="Q27" i="6" a="1"/>
  <c r="R29" i="6" a="1"/>
  <c r="T32" i="6" a="1"/>
  <c r="U34" i="6" a="1"/>
  <c r="Q39" i="6" a="1"/>
  <c r="R41" i="6" a="1"/>
  <c r="T28" i="6" a="1"/>
  <c r="T40" i="6" a="1"/>
  <c r="Q30" i="6" a="1"/>
  <c r="U37" i="6" a="1"/>
  <c r="Q29" i="6" a="1"/>
  <c r="R43" i="6" a="1"/>
  <c r="R30" i="6" a="1"/>
  <c r="R42" i="6" a="1"/>
  <c r="Q26" i="6" a="1"/>
  <c r="R28" i="6" a="1"/>
  <c r="T31" i="6" a="1"/>
  <c r="U33" i="6" a="1"/>
  <c r="Q38" i="6" a="1"/>
  <c r="R40" i="6" a="1"/>
  <c r="T43" i="6" a="1"/>
  <c r="Q35" i="6" a="1"/>
  <c r="R37" i="6" a="1"/>
  <c r="U42" i="6" a="1"/>
  <c r="R32" i="6" a="1"/>
  <c r="Q42" i="6" a="1"/>
  <c r="R31" i="6" a="1"/>
  <c r="Q41" i="6" a="1"/>
  <c r="T33" i="6" a="1"/>
  <c r="R27" i="6" a="1"/>
  <c r="T30" i="6" a="1"/>
  <c r="U32" i="6" a="1"/>
  <c r="Q37" i="6" a="1"/>
  <c r="R39" i="6" a="1"/>
  <c r="T42" i="6" a="1"/>
  <c r="U30" i="6" a="1"/>
  <c r="R26" i="6" a="1"/>
  <c r="T29" i="6" a="1"/>
  <c r="U31" i="6" a="1"/>
  <c r="Q36" i="6" a="1"/>
  <c r="R38" i="6" a="1"/>
  <c r="T41" i="6" a="1"/>
  <c r="U43" i="6" a="1"/>
  <c r="T27" i="6" a="1"/>
  <c r="U29" i="6" a="1"/>
  <c r="Q34" i="6" a="1"/>
  <c r="R36" i="6" a="1"/>
  <c r="T39" i="6" a="1"/>
  <c r="U41" i="6" a="1"/>
  <c r="T26" i="6" a="1"/>
  <c r="U28" i="6" a="1"/>
  <c r="Q33" i="6" a="1"/>
  <c r="R35" i="6" a="1"/>
  <c r="T38" i="6" a="1"/>
  <c r="U40" i="6" a="1"/>
  <c r="U26" i="6" a="1"/>
  <c r="Q31" i="6" a="1"/>
  <c r="R33" i="6" a="1"/>
  <c r="T36" i="6" a="1"/>
  <c r="U38" i="6" a="1"/>
  <c r="T35" i="6" a="1"/>
  <c r="T34" i="6" a="1"/>
  <c r="Q28" i="6" a="1"/>
  <c r="Q40" i="6" a="1"/>
  <c r="U27" i="6" a="1"/>
  <c r="Q32" i="6" a="1"/>
  <c r="R34" i="6" a="1"/>
  <c r="T37" i="6" a="1"/>
  <c r="U39" i="6" a="1"/>
  <c r="Q43" i="6" a="1"/>
  <c r="U36" i="6" a="1"/>
  <c r="U35" i="6" a="1"/>
  <c r="U23" i="6" a="1"/>
  <c r="T21" i="6" a="1"/>
  <c r="R18" i="6" a="1"/>
  <c r="Q16" i="6" a="1"/>
  <c r="U11" i="6" a="1"/>
  <c r="T9" i="6" a="1"/>
  <c r="R6" i="6" a="1"/>
  <c r="Q4" i="6" a="1"/>
  <c r="Q23" i="6" a="1"/>
  <c r="Q24" i="6" a="1"/>
  <c r="T17" i="6" a="1"/>
  <c r="Q12" i="6" a="1"/>
  <c r="Q25" i="6" a="1"/>
  <c r="T6" i="6" a="1"/>
  <c r="R17" i="6" a="1"/>
  <c r="U24" i="6" a="1"/>
  <c r="T22" i="6" a="1"/>
  <c r="R19" i="6" a="1"/>
  <c r="Q17" i="6" a="1"/>
  <c r="U12" i="6" a="1"/>
  <c r="T10" i="6" a="1"/>
  <c r="R7" i="6" a="1"/>
  <c r="Q5" i="6" a="1"/>
  <c r="Q11" i="6" a="1"/>
  <c r="U19" i="6" a="1"/>
  <c r="R14" i="6" a="1"/>
  <c r="U7" i="6" a="1"/>
  <c r="R15" i="6" a="1"/>
  <c r="R2" i="6" a="1"/>
  <c r="T19" i="6" a="1"/>
  <c r="T7" i="6" a="1"/>
  <c r="U22" i="6" a="1"/>
  <c r="Q2" i="6" a="1"/>
  <c r="U25" i="6" a="1"/>
  <c r="T23" i="6" a="1"/>
  <c r="R20" i="6" a="1"/>
  <c r="Q18" i="6" a="1"/>
  <c r="U13" i="6" a="1"/>
  <c r="T11" i="6" a="1"/>
  <c r="R8" i="6" a="1"/>
  <c r="Q6" i="6" a="1"/>
  <c r="U21" i="6" a="1"/>
  <c r="T24" i="6" a="1"/>
  <c r="R21" i="6" a="1"/>
  <c r="Q19" i="6" a="1"/>
  <c r="U14" i="6" a="1"/>
  <c r="T12" i="6" a="1"/>
  <c r="R9" i="6" a="1"/>
  <c r="Q7" i="6" a="1"/>
  <c r="T16" i="6" a="1"/>
  <c r="T4" i="6" a="1"/>
  <c r="T5" i="6" a="1"/>
  <c r="U20" i="6" a="1"/>
  <c r="Q13" i="6" a="1"/>
  <c r="R16" i="6" a="1"/>
  <c r="U9" i="6" a="1"/>
  <c r="U10" i="6" a="1"/>
  <c r="T25" i="6" a="1"/>
  <c r="R22" i="6" a="1"/>
  <c r="Q20" i="6" a="1"/>
  <c r="U15" i="6" a="1"/>
  <c r="T13" i="6" a="1"/>
  <c r="R10" i="6" a="1"/>
  <c r="Q8" i="6" a="1"/>
  <c r="U3" i="6" a="1"/>
  <c r="U2" i="6" a="1"/>
  <c r="T20" i="6" a="1"/>
  <c r="R23" i="6" a="1"/>
  <c r="Q21" i="6" a="1"/>
  <c r="U16" i="6" a="1"/>
  <c r="T14" i="6" a="1"/>
  <c r="R11" i="6" a="1"/>
  <c r="Q9" i="6" a="1"/>
  <c r="U4" i="6" a="1"/>
  <c r="R3" i="6" a="1"/>
  <c r="R4" i="6" a="1"/>
  <c r="R24" i="6" a="1"/>
  <c r="Q22" i="6" a="1"/>
  <c r="U17" i="6" a="1"/>
  <c r="T15" i="6" a="1"/>
  <c r="R12" i="6" a="1"/>
  <c r="Q10" i="6" a="1"/>
  <c r="U5" i="6" a="1"/>
  <c r="T3" i="6" a="1"/>
  <c r="T2" i="6" a="1"/>
  <c r="R25" i="6" a="1"/>
  <c r="U18" i="6" a="1"/>
  <c r="R13" i="6" a="1"/>
  <c r="U6" i="6" a="1"/>
  <c r="T18" i="6" a="1"/>
  <c r="U8" i="6" a="1"/>
  <c r="Q14" i="6" a="1"/>
  <c r="Q15" i="6" a="1"/>
  <c r="T8" i="6" a="1"/>
  <c r="R5" i="6" a="1"/>
  <c r="Q3" i="6" a="1"/>
  <c r="R23" i="5" a="1"/>
  <c r="Q21" i="5" a="1"/>
  <c r="U16" i="5" a="1"/>
  <c r="T14" i="5" a="1"/>
  <c r="R11" i="5" a="1"/>
  <c r="Q9" i="5" a="1"/>
  <c r="U4" i="5" a="1"/>
  <c r="T18" i="5" a="1"/>
  <c r="Q13" i="5" a="1"/>
  <c r="U8" i="5" a="1"/>
  <c r="R24" i="5" a="1"/>
  <c r="Q22" i="5" a="1"/>
  <c r="U17" i="5" a="1"/>
  <c r="T15" i="5" a="1"/>
  <c r="R12" i="5" a="1"/>
  <c r="Q10" i="5" a="1"/>
  <c r="U5" i="5" a="1"/>
  <c r="T3" i="5" a="1"/>
  <c r="T2" i="5" a="1"/>
  <c r="T17" i="5" a="1"/>
  <c r="Q12" i="5" a="1"/>
  <c r="U7" i="5" a="1"/>
  <c r="T5" i="5" a="1"/>
  <c r="Q25" i="5" a="1"/>
  <c r="U20" i="5" a="1"/>
  <c r="R15" i="5" a="1"/>
  <c r="T6" i="5" a="1"/>
  <c r="R3" i="5" a="1"/>
  <c r="R2" i="5" a="1"/>
  <c r="R25" i="5" a="1"/>
  <c r="Q23" i="5" a="1"/>
  <c r="U18" i="5" a="1"/>
  <c r="T16" i="5" a="1"/>
  <c r="R13" i="5" a="1"/>
  <c r="Q11" i="5" a="1"/>
  <c r="U6" i="5" a="1"/>
  <c r="T4" i="5" a="1"/>
  <c r="R14" i="5" a="1"/>
  <c r="Q24" i="5" a="1"/>
  <c r="U19" i="5" a="1"/>
  <c r="U21" i="5" a="1"/>
  <c r="T19" i="5" a="1"/>
  <c r="Q14" i="5" a="1"/>
  <c r="R4" i="5" a="1"/>
  <c r="U22" i="5" a="1"/>
  <c r="U10" i="5" a="1"/>
  <c r="T8" i="5" a="1"/>
  <c r="R5" i="5" a="1"/>
  <c r="R16" i="5" a="1"/>
  <c r="U9" i="5" a="1"/>
  <c r="T20" i="5" a="1"/>
  <c r="Q15" i="5" a="1"/>
  <c r="Q2" i="5" a="1"/>
  <c r="T7" i="5" a="1"/>
  <c r="R17" i="5" a="1"/>
  <c r="Q3" i="5" a="1"/>
  <c r="U23" i="5" a="1"/>
  <c r="T21" i="5" a="1"/>
  <c r="R18" i="5" a="1"/>
  <c r="Q16" i="5" a="1"/>
  <c r="U11" i="5" a="1"/>
  <c r="T9" i="5" a="1"/>
  <c r="R6" i="5" a="1"/>
  <c r="Q4" i="5" a="1"/>
  <c r="Q5" i="5" a="1"/>
  <c r="U13" i="5" a="1"/>
  <c r="U14" i="5" a="1"/>
  <c r="R9" i="5" a="1"/>
  <c r="Q7" i="5" a="1"/>
  <c r="T13" i="5" a="1"/>
  <c r="Q8" i="5" a="1"/>
  <c r="U3" i="5" a="1"/>
  <c r="U2" i="5" a="1"/>
  <c r="U24" i="5" a="1"/>
  <c r="T22" i="5" a="1"/>
  <c r="R19" i="5" a="1"/>
  <c r="Q17" i="5" a="1"/>
  <c r="U12" i="5" a="1"/>
  <c r="T10" i="5" a="1"/>
  <c r="R7" i="5" a="1"/>
  <c r="Q18" i="5" a="1"/>
  <c r="T11" i="5" a="1"/>
  <c r="R8" i="5" a="1"/>
  <c r="Q6" i="5" a="1"/>
  <c r="T24" i="5" a="1"/>
  <c r="U25" i="5" a="1"/>
  <c r="T23" i="5" a="1"/>
  <c r="R20" i="5" a="1"/>
  <c r="R21" i="5" a="1"/>
  <c r="Q19" i="5" a="1"/>
  <c r="T12" i="5" a="1"/>
  <c r="R22" i="5" a="1"/>
  <c r="Q20" i="5" a="1"/>
  <c r="U15" i="5" a="1"/>
  <c r="T25" i="5" a="1"/>
  <c r="R10" i="5" a="1"/>
  <c r="Q41" i="4" a="1"/>
  <c r="R43" i="4" a="1"/>
  <c r="T46" i="4" a="1"/>
  <c r="U48" i="4" a="1"/>
  <c r="Q53" i="4" a="1"/>
  <c r="R52" i="4" a="1"/>
  <c r="R48" i="4" a="1"/>
  <c r="T50" i="4" a="1"/>
  <c r="U51" i="4" a="1"/>
  <c r="Q40" i="4" a="1"/>
  <c r="R42" i="4" a="1"/>
  <c r="T45" i="4" a="1"/>
  <c r="U47" i="4" a="1"/>
  <c r="Q52" i="4" a="1"/>
  <c r="R54" i="4" a="1"/>
  <c r="U44" i="4" a="1"/>
  <c r="T54" i="4" a="1"/>
  <c r="R49" i="4" a="1"/>
  <c r="T52" i="4" a="1"/>
  <c r="T51" i="4" a="1"/>
  <c r="U53" i="4" a="1"/>
  <c r="U52" i="4" a="1"/>
  <c r="R46" i="4" a="1"/>
  <c r="R41" i="4" a="1"/>
  <c r="T44" i="4" a="1"/>
  <c r="U46" i="4" a="1"/>
  <c r="Q51" i="4" a="1"/>
  <c r="R53" i="4" a="1"/>
  <c r="Q49" i="4" a="1"/>
  <c r="R51" i="4" a="1"/>
  <c r="U54" i="4" a="1"/>
  <c r="T49" i="4" a="1"/>
  <c r="R40" i="4" a="1"/>
  <c r="T43" i="4" a="1"/>
  <c r="U45" i="4" a="1"/>
  <c r="Q50" i="4" a="1"/>
  <c r="T42" i="4" a="1"/>
  <c r="T41" i="4" a="1"/>
  <c r="U43" i="4" a="1"/>
  <c r="Q48" i="4" a="1"/>
  <c r="R50" i="4" a="1"/>
  <c r="T53" i="4" a="1"/>
  <c r="T40" i="4" a="1"/>
  <c r="U42" i="4" a="1"/>
  <c r="Q47" i="4" a="1"/>
  <c r="U41" i="4" a="1"/>
  <c r="Q46" i="4" a="1"/>
  <c r="U40" i="4" a="1"/>
  <c r="Q45" i="4" a="1"/>
  <c r="R47" i="4" a="1"/>
  <c r="Q44" i="4" a="1"/>
  <c r="Q43" i="4" a="1"/>
  <c r="R45" i="4" a="1"/>
  <c r="T48" i="4" a="1"/>
  <c r="U50" i="4" a="1"/>
  <c r="R44" i="4" a="1"/>
  <c r="T47" i="4" a="1"/>
  <c r="U49" i="4" a="1"/>
  <c r="Q54" i="4" a="1"/>
  <c r="Q42" i="4" a="1"/>
  <c r="U37" i="4" a="1"/>
  <c r="T35" i="4" a="1"/>
  <c r="R32" i="4" a="1"/>
  <c r="Q30" i="4" a="1"/>
  <c r="U25" i="4" a="1"/>
  <c r="T23" i="4" a="1"/>
  <c r="R20" i="4" a="1"/>
  <c r="Q18" i="4" a="1"/>
  <c r="U13" i="4" a="1"/>
  <c r="T11" i="4" a="1"/>
  <c r="R8" i="4" a="1"/>
  <c r="Q6" i="4" a="1"/>
  <c r="U29" i="4" a="1"/>
  <c r="R24" i="4" a="1"/>
  <c r="T15" i="4" a="1"/>
  <c r="Q10" i="4" a="1"/>
  <c r="Q23" i="4" a="1"/>
  <c r="U18" i="4" a="1"/>
  <c r="R13" i="4" a="1"/>
  <c r="Q11" i="4" a="1"/>
  <c r="U6" i="4" a="1"/>
  <c r="T4" i="4" a="1"/>
  <c r="R14" i="4" a="1"/>
  <c r="U7" i="4" a="1"/>
  <c r="T5" i="4" a="1"/>
  <c r="U32" i="4" a="1"/>
  <c r="T18" i="4" a="1"/>
  <c r="R15" i="4" a="1"/>
  <c r="U8" i="4" a="1"/>
  <c r="R2" i="4" a="1"/>
  <c r="Q14" i="4" a="1"/>
  <c r="Q4" i="4" a="1"/>
  <c r="T34" i="4" a="1"/>
  <c r="U24" i="4" a="1"/>
  <c r="T10" i="4" a="1"/>
  <c r="U38" i="4" a="1"/>
  <c r="T36" i="4" a="1"/>
  <c r="R33" i="4" a="1"/>
  <c r="Q31" i="4" a="1"/>
  <c r="U26" i="4" a="1"/>
  <c r="T24" i="4" a="1"/>
  <c r="R21" i="4" a="1"/>
  <c r="Q19" i="4" a="1"/>
  <c r="U14" i="4" a="1"/>
  <c r="T12" i="4" a="1"/>
  <c r="R9" i="4" a="1"/>
  <c r="Q7" i="4" a="1"/>
  <c r="Q34" i="4" a="1"/>
  <c r="R16" i="4" a="1"/>
  <c r="R31" i="4" a="1"/>
  <c r="U39" i="4" a="1"/>
  <c r="T37" i="4" a="1"/>
  <c r="R34" i="4" a="1"/>
  <c r="Q32" i="4" a="1"/>
  <c r="U27" i="4" a="1"/>
  <c r="T25" i="4" a="1"/>
  <c r="R22" i="4" a="1"/>
  <c r="Q20" i="4" a="1"/>
  <c r="U15" i="4" a="1"/>
  <c r="T13" i="4" a="1"/>
  <c r="R10" i="4" a="1"/>
  <c r="Q8" i="4" a="1"/>
  <c r="U3" i="4" a="1"/>
  <c r="U2" i="4" a="1"/>
  <c r="R36" i="4" a="1"/>
  <c r="U17" i="4" a="1"/>
  <c r="R12" i="4" a="1"/>
  <c r="U5" i="4" a="1"/>
  <c r="T3" i="4" a="1"/>
  <c r="T2" i="4" a="1"/>
  <c r="U30" i="4" a="1"/>
  <c r="T28" i="4" a="1"/>
  <c r="R25" i="4" a="1"/>
  <c r="T16" i="4" a="1"/>
  <c r="Q12" i="4" a="1"/>
  <c r="T30" i="4" a="1"/>
  <c r="R27" i="4" a="1"/>
  <c r="Q25" i="4" a="1"/>
  <c r="Q13" i="4" a="1"/>
  <c r="T6" i="4" a="1"/>
  <c r="U9" i="4" a="1"/>
  <c r="Q29" i="4" a="1"/>
  <c r="R19" i="4" a="1"/>
  <c r="R7" i="4" a="1"/>
  <c r="T38" i="4" a="1"/>
  <c r="R35" i="4" a="1"/>
  <c r="Q33" i="4" a="1"/>
  <c r="U28" i="4" a="1"/>
  <c r="T26" i="4" a="1"/>
  <c r="R23" i="4" a="1"/>
  <c r="Q21" i="4" a="1"/>
  <c r="U16" i="4" a="1"/>
  <c r="T14" i="4" a="1"/>
  <c r="R11" i="4" a="1"/>
  <c r="Q9" i="4" a="1"/>
  <c r="U4" i="4" a="1"/>
  <c r="T27" i="4" a="1"/>
  <c r="Q22" i="4" a="1"/>
  <c r="U20" i="4" a="1"/>
  <c r="R3" i="4" a="1"/>
  <c r="T7" i="4" a="1"/>
  <c r="R4" i="4" a="1"/>
  <c r="Q5" i="4" a="1"/>
  <c r="T39" i="4" a="1"/>
  <c r="U12" i="4" a="1"/>
  <c r="R37" i="4" a="1"/>
  <c r="Q35" i="4" a="1"/>
  <c r="U36" i="4" a="1"/>
  <c r="R38" i="4" a="1"/>
  <c r="Q36" i="4" a="1"/>
  <c r="U31" i="4" a="1"/>
  <c r="T29" i="4" a="1"/>
  <c r="R26" i="4" a="1"/>
  <c r="Q24" i="4" a="1"/>
  <c r="U19" i="4" a="1"/>
  <c r="T17" i="4" a="1"/>
  <c r="R39" i="4" a="1"/>
  <c r="Q37" i="4" a="1"/>
  <c r="Q38" i="4" a="1"/>
  <c r="U33" i="4" a="1"/>
  <c r="T31" i="4" a="1"/>
  <c r="R28" i="4" a="1"/>
  <c r="Q26" i="4" a="1"/>
  <c r="U21" i="4" a="1"/>
  <c r="T19" i="4" a="1"/>
  <c r="Q39" i="4" a="1"/>
  <c r="U34" i="4" a="1"/>
  <c r="T32" i="4" a="1"/>
  <c r="R29" i="4" a="1"/>
  <c r="Q27" i="4" a="1"/>
  <c r="U22" i="4" a="1"/>
  <c r="T20" i="4" a="1"/>
  <c r="R17" i="4" a="1"/>
  <c r="Q15" i="4" a="1"/>
  <c r="U10" i="4" a="1"/>
  <c r="T8" i="4" a="1"/>
  <c r="R5" i="4" a="1"/>
  <c r="Q3" i="4" a="1"/>
  <c r="Q2" i="4" a="1"/>
  <c r="U35" i="4" a="1"/>
  <c r="T33" i="4" a="1"/>
  <c r="R30" i="4" a="1"/>
  <c r="Q28" i="4" a="1"/>
  <c r="U23" i="4" a="1"/>
  <c r="T21" i="4" a="1"/>
  <c r="R18" i="4" a="1"/>
  <c r="Q16" i="4" a="1"/>
  <c r="U11" i="4" a="1"/>
  <c r="T9" i="4" a="1"/>
  <c r="R6" i="4" a="1"/>
  <c r="T22" i="4" a="1"/>
  <c r="Q17" i="4" a="1"/>
  <c r="Q20" i="3" a="1"/>
  <c r="R22" i="3" a="1"/>
  <c r="Q19" i="3" a="1"/>
  <c r="R21" i="3" a="1"/>
  <c r="T24" i="3" a="1"/>
  <c r="U26" i="3" a="1"/>
  <c r="Q31" i="3" a="1"/>
  <c r="R33" i="3" a="1"/>
  <c r="T36" i="3" a="1"/>
  <c r="U38" i="3" a="1"/>
  <c r="R30" i="3" a="1"/>
  <c r="R20" i="3" a="1"/>
  <c r="T23" i="3" a="1"/>
  <c r="U25" i="3" a="1"/>
  <c r="Q30" i="3" a="1"/>
  <c r="R32" i="3" a="1"/>
  <c r="T35" i="3" a="1"/>
  <c r="U37" i="3" a="1"/>
  <c r="T21" i="3" a="1"/>
  <c r="U35" i="3" a="1"/>
  <c r="U22" i="3" a="1"/>
  <c r="U34" i="3" a="1"/>
  <c r="R19" i="3" a="1"/>
  <c r="T22" i="3" a="1"/>
  <c r="U24" i="3" a="1"/>
  <c r="Q29" i="3" a="1"/>
  <c r="R31" i="3" a="1"/>
  <c r="T34" i="3" a="1"/>
  <c r="U36" i="3" a="1"/>
  <c r="U23" i="3" a="1"/>
  <c r="Q28" i="3" a="1"/>
  <c r="T33" i="3" a="1"/>
  <c r="T19" i="3" a="1"/>
  <c r="U21" i="3" a="1"/>
  <c r="Q26" i="3" a="1"/>
  <c r="R28" i="3" a="1"/>
  <c r="T31" i="3" a="1"/>
  <c r="U33" i="3" a="1"/>
  <c r="Q38" i="3" a="1"/>
  <c r="U32" i="3" a="1"/>
  <c r="Q37" i="3" a="1"/>
  <c r="R39" i="3" a="1"/>
  <c r="U20" i="3" a="1"/>
  <c r="Q25" i="3" a="1"/>
  <c r="R27" i="3" a="1"/>
  <c r="T30" i="3" a="1"/>
  <c r="U19" i="3" a="1"/>
  <c r="Q24" i="3" a="1"/>
  <c r="R26" i="3" a="1"/>
  <c r="T29" i="3" a="1"/>
  <c r="U31" i="3" a="1"/>
  <c r="Q36" i="3" a="1"/>
  <c r="R38" i="3" a="1"/>
  <c r="T25" i="3" a="1"/>
  <c r="T20" i="3" a="1"/>
  <c r="Q27" i="3" a="1"/>
  <c r="T32" i="3" a="1"/>
  <c r="Q23" i="3" a="1"/>
  <c r="R25" i="3" a="1"/>
  <c r="T28" i="3" a="1"/>
  <c r="U30" i="3" a="1"/>
  <c r="Q35" i="3" a="1"/>
  <c r="R37" i="3" a="1"/>
  <c r="T37" i="3" a="1"/>
  <c r="Q22" i="3" a="1"/>
  <c r="R24" i="3" a="1"/>
  <c r="T27" i="3" a="1"/>
  <c r="U29" i="3" a="1"/>
  <c r="Q34" i="3" a="1"/>
  <c r="R36" i="3" a="1"/>
  <c r="T39" i="3" a="1"/>
  <c r="R34" i="3" a="1"/>
  <c r="U39" i="3" a="1"/>
  <c r="Q39" i="3" a="1"/>
  <c r="Q21" i="3" a="1"/>
  <c r="R23" i="3" a="1"/>
  <c r="T26" i="3" a="1"/>
  <c r="U28" i="3" a="1"/>
  <c r="Q33" i="3" a="1"/>
  <c r="R35" i="3" a="1"/>
  <c r="T38" i="3" a="1"/>
  <c r="U27" i="3" a="1"/>
  <c r="Q32" i="3" a="1"/>
  <c r="R29" i="3" a="1"/>
  <c r="U16" i="3" a="1"/>
  <c r="T14" i="3" a="1"/>
  <c r="R11" i="3" a="1"/>
  <c r="Q9" i="3" a="1"/>
  <c r="U4" i="3" a="1"/>
  <c r="R14" i="3" a="1"/>
  <c r="T5" i="3" a="1"/>
  <c r="U9" i="3" a="1"/>
  <c r="U17" i="3" a="1"/>
  <c r="T15" i="3" a="1"/>
  <c r="R12" i="3" a="1"/>
  <c r="Q10" i="3" a="1"/>
  <c r="U5" i="3" a="1"/>
  <c r="T3" i="3" a="1"/>
  <c r="T2" i="3" a="1"/>
  <c r="U7" i="3" a="1"/>
  <c r="U18" i="3" a="1"/>
  <c r="T16" i="3" a="1"/>
  <c r="R13" i="3" a="1"/>
  <c r="Q11" i="3" a="1"/>
  <c r="U6" i="3" a="1"/>
  <c r="T4" i="3" a="1"/>
  <c r="Q12" i="3" a="1"/>
  <c r="T8" i="3" a="1"/>
  <c r="R5" i="3" a="1"/>
  <c r="Q3" i="3" a="1"/>
  <c r="T17" i="3" a="1"/>
  <c r="T18" i="3" a="1"/>
  <c r="R15" i="3" a="1"/>
  <c r="Q13" i="3" a="1"/>
  <c r="U8" i="3" a="1"/>
  <c r="T6" i="3" a="1"/>
  <c r="R3" i="3" a="1"/>
  <c r="R2" i="3" a="1"/>
  <c r="Q14" i="3" a="1"/>
  <c r="R16" i="3" a="1"/>
  <c r="T7" i="3" a="1"/>
  <c r="R4" i="3" a="1"/>
  <c r="Q2" i="3" a="1"/>
  <c r="R17" i="3" a="1"/>
  <c r="Q15" i="3" a="1"/>
  <c r="U10" i="3" a="1"/>
  <c r="R18" i="3" a="1"/>
  <c r="Q16" i="3" a="1"/>
  <c r="U11" i="3" a="1"/>
  <c r="T9" i="3" a="1"/>
  <c r="R6" i="3" a="1"/>
  <c r="Q4" i="3" a="1"/>
  <c r="U12" i="3" a="1"/>
  <c r="Q17" i="3" a="1"/>
  <c r="T10" i="3" a="1"/>
  <c r="R7" i="3" a="1"/>
  <c r="Q5" i="3" a="1"/>
  <c r="U13" i="3" a="1"/>
  <c r="R8" i="3" a="1"/>
  <c r="Q18" i="3" a="1"/>
  <c r="T11" i="3" a="1"/>
  <c r="U14" i="3" a="1"/>
  <c r="T12" i="3" a="1"/>
  <c r="R9" i="3" a="1"/>
  <c r="Q7" i="3" a="1"/>
  <c r="T13" i="3" a="1"/>
  <c r="Q8" i="3" a="1"/>
  <c r="U3" i="3" a="1"/>
  <c r="U15" i="3" a="1"/>
  <c r="R10" i="3" a="1"/>
  <c r="U2" i="3" a="1"/>
  <c r="Q6" i="3" a="1"/>
  <c r="Q50" i="10" l="1"/>
  <c r="U49" i="10"/>
  <c r="U50" i="10"/>
  <c r="T48" i="10"/>
  <c r="U51" i="10"/>
  <c r="T49" i="10"/>
  <c r="T50" i="10"/>
  <c r="T51" i="10"/>
  <c r="R48" i="10"/>
  <c r="R49" i="10"/>
  <c r="R50" i="10"/>
  <c r="Q48" i="10"/>
  <c r="Q51" i="10"/>
  <c r="S51" i="10" s="1"/>
  <c r="U48" i="10"/>
  <c r="R51" i="10"/>
  <c r="Q49" i="10"/>
  <c r="R24" i="10"/>
  <c r="T34" i="10"/>
  <c r="R2" i="10"/>
  <c r="R3" i="10"/>
  <c r="T6" i="10"/>
  <c r="U8" i="10"/>
  <c r="Q13" i="10"/>
  <c r="S13" i="10" s="1"/>
  <c r="R15" i="10"/>
  <c r="T18" i="10"/>
  <c r="U20" i="10"/>
  <c r="Q25" i="10"/>
  <c r="S25" i="10" s="1"/>
  <c r="R27" i="10"/>
  <c r="T30" i="10"/>
  <c r="U32" i="10"/>
  <c r="Q37" i="10"/>
  <c r="R39" i="10"/>
  <c r="T42" i="10"/>
  <c r="U44" i="10"/>
  <c r="T5" i="10"/>
  <c r="U7" i="10"/>
  <c r="Q12" i="10"/>
  <c r="R14" i="10"/>
  <c r="T17" i="10"/>
  <c r="U19" i="10"/>
  <c r="Q24" i="10"/>
  <c r="S24" i="10" s="1"/>
  <c r="R26" i="10"/>
  <c r="T29" i="10"/>
  <c r="U31" i="10"/>
  <c r="Q36" i="10"/>
  <c r="S36" i="10" s="1"/>
  <c r="R38" i="10"/>
  <c r="T41" i="10"/>
  <c r="U43" i="10"/>
  <c r="R12" i="10"/>
  <c r="T4" i="10"/>
  <c r="U6" i="10"/>
  <c r="Q11" i="10"/>
  <c r="S11" i="10" s="1"/>
  <c r="V11" i="10" s="1"/>
  <c r="R13" i="10"/>
  <c r="T16" i="10"/>
  <c r="U18" i="10"/>
  <c r="Q23" i="10"/>
  <c r="R25" i="10"/>
  <c r="T28" i="10"/>
  <c r="U30" i="10"/>
  <c r="Q35" i="10"/>
  <c r="S35" i="10" s="1"/>
  <c r="R37" i="10"/>
  <c r="T40" i="10"/>
  <c r="U42" i="10"/>
  <c r="Q47" i="10"/>
  <c r="S47" i="10" s="1"/>
  <c r="V47" i="10" s="1"/>
  <c r="Q34" i="10"/>
  <c r="S34" i="10" s="1"/>
  <c r="R36" i="10"/>
  <c r="T39" i="10"/>
  <c r="U41" i="10"/>
  <c r="Q46" i="10"/>
  <c r="S46" i="10" s="1"/>
  <c r="V46" i="10" s="1"/>
  <c r="T14" i="10"/>
  <c r="U16" i="10"/>
  <c r="Q21" i="10"/>
  <c r="R23" i="10"/>
  <c r="T26" i="10"/>
  <c r="U28" i="10"/>
  <c r="Q33" i="10"/>
  <c r="S33" i="10" s="1"/>
  <c r="R35" i="10"/>
  <c r="T38" i="10"/>
  <c r="U40" i="10"/>
  <c r="Q45" i="10"/>
  <c r="S45" i="10" s="1"/>
  <c r="R47" i="10"/>
  <c r="T15" i="10"/>
  <c r="Q8" i="10"/>
  <c r="U15" i="10"/>
  <c r="Q20" i="10"/>
  <c r="R22" i="10"/>
  <c r="T25" i="10"/>
  <c r="U27" i="10"/>
  <c r="Q32" i="10"/>
  <c r="R34" i="10"/>
  <c r="T37" i="10"/>
  <c r="U39" i="10"/>
  <c r="Q44" i="10"/>
  <c r="S44" i="10" s="1"/>
  <c r="R46" i="10"/>
  <c r="R9" i="10"/>
  <c r="R21" i="10"/>
  <c r="U26" i="10"/>
  <c r="Q31" i="10"/>
  <c r="S31" i="10" s="1"/>
  <c r="R33" i="10"/>
  <c r="T36" i="10"/>
  <c r="U38" i="10"/>
  <c r="Q43" i="10"/>
  <c r="R45" i="10"/>
  <c r="U29" i="10"/>
  <c r="R11" i="10"/>
  <c r="U14" i="10"/>
  <c r="Q42" i="10"/>
  <c r="S42" i="10" s="1"/>
  <c r="R44" i="10"/>
  <c r="T47" i="10"/>
  <c r="Q10" i="10"/>
  <c r="S10" i="10" s="1"/>
  <c r="T27" i="10"/>
  <c r="Q9" i="10"/>
  <c r="S9" i="10" s="1"/>
  <c r="V9" i="10" s="1"/>
  <c r="U3" i="10"/>
  <c r="R19" i="10"/>
  <c r="T22" i="10"/>
  <c r="Q41" i="10"/>
  <c r="R43" i="10"/>
  <c r="T46" i="10"/>
  <c r="T3" i="10"/>
  <c r="U17" i="10"/>
  <c r="Q18" i="10"/>
  <c r="S18" i="10" s="1"/>
  <c r="V18" i="10" s="1"/>
  <c r="T23" i="10"/>
  <c r="R32" i="10"/>
  <c r="Q17" i="10"/>
  <c r="S17" i="10" s="1"/>
  <c r="V17" i="10" s="1"/>
  <c r="U36" i="10"/>
  <c r="Q4" i="10"/>
  <c r="R6" i="10"/>
  <c r="T9" i="10"/>
  <c r="U11" i="10"/>
  <c r="Q16" i="10"/>
  <c r="R18" i="10"/>
  <c r="T21" i="10"/>
  <c r="U23" i="10"/>
  <c r="Q28" i="10"/>
  <c r="R30" i="10"/>
  <c r="T33" i="10"/>
  <c r="U35" i="10"/>
  <c r="Q40" i="10"/>
  <c r="R42" i="10"/>
  <c r="T45" i="10"/>
  <c r="U47" i="10"/>
  <c r="T2" i="10"/>
  <c r="Q22" i="10"/>
  <c r="T13" i="10"/>
  <c r="Q7" i="10"/>
  <c r="S7" i="10" s="1"/>
  <c r="V7" i="10" s="1"/>
  <c r="T12" i="10"/>
  <c r="Q19" i="10"/>
  <c r="S19" i="10" s="1"/>
  <c r="T24" i="10"/>
  <c r="U13" i="10"/>
  <c r="U25" i="10"/>
  <c r="Q30" i="10"/>
  <c r="Q5" i="10"/>
  <c r="R7" i="10"/>
  <c r="U12" i="10"/>
  <c r="U24" i="10"/>
  <c r="Q29" i="10"/>
  <c r="S29" i="10" s="1"/>
  <c r="V29" i="10" s="1"/>
  <c r="Q2" i="10"/>
  <c r="S2" i="10" s="1"/>
  <c r="V2" i="10" s="1"/>
  <c r="Q3" i="10"/>
  <c r="S3" i="10" s="1"/>
  <c r="V3" i="10" s="1"/>
  <c r="R5" i="10"/>
  <c r="T8" i="10"/>
  <c r="U10" i="10"/>
  <c r="Q15" i="10"/>
  <c r="R17" i="10"/>
  <c r="T20" i="10"/>
  <c r="U22" i="10"/>
  <c r="Q27" i="10"/>
  <c r="R29" i="10"/>
  <c r="T32" i="10"/>
  <c r="U34" i="10"/>
  <c r="Q39" i="10"/>
  <c r="S39" i="10" s="1"/>
  <c r="V39" i="10" s="1"/>
  <c r="R41" i="10"/>
  <c r="T44" i="10"/>
  <c r="U46" i="10"/>
  <c r="U5" i="10"/>
  <c r="U4" i="10"/>
  <c r="U2" i="10"/>
  <c r="R10" i="10"/>
  <c r="Q6" i="10"/>
  <c r="S6" i="10" s="1"/>
  <c r="R8" i="10"/>
  <c r="T11" i="10"/>
  <c r="R20" i="10"/>
  <c r="T35" i="10"/>
  <c r="U37" i="10"/>
  <c r="T10" i="10"/>
  <c r="R31" i="10"/>
  <c r="R4" i="10"/>
  <c r="T7" i="10"/>
  <c r="U9" i="10"/>
  <c r="Q14" i="10"/>
  <c r="R16" i="10"/>
  <c r="T19" i="10"/>
  <c r="U21" i="10"/>
  <c r="Q26" i="10"/>
  <c r="S26" i="10" s="1"/>
  <c r="R28" i="10"/>
  <c r="T31" i="10"/>
  <c r="U33" i="10"/>
  <c r="Q38" i="10"/>
  <c r="R40" i="10"/>
  <c r="T43" i="10"/>
  <c r="U45" i="10"/>
  <c r="Q14" i="9"/>
  <c r="R2" i="9"/>
  <c r="R3" i="9"/>
  <c r="U8" i="9"/>
  <c r="Q13" i="9"/>
  <c r="U20" i="9"/>
  <c r="R27" i="9"/>
  <c r="T4" i="9"/>
  <c r="U6" i="9"/>
  <c r="Q11" i="9"/>
  <c r="S11" i="9" s="1"/>
  <c r="V11" i="9" s="1"/>
  <c r="R13" i="9"/>
  <c r="T16" i="9"/>
  <c r="U18" i="9"/>
  <c r="Q23" i="9"/>
  <c r="R25" i="9"/>
  <c r="T28" i="9"/>
  <c r="U30" i="9"/>
  <c r="Q35" i="9"/>
  <c r="R37" i="9"/>
  <c r="T40" i="9"/>
  <c r="U42" i="9"/>
  <c r="Q47" i="9"/>
  <c r="S47" i="9" s="1"/>
  <c r="V47" i="9" s="1"/>
  <c r="T7" i="9"/>
  <c r="T2" i="9"/>
  <c r="T3" i="9"/>
  <c r="U5" i="9"/>
  <c r="Q10" i="9"/>
  <c r="R12" i="9"/>
  <c r="T15" i="9"/>
  <c r="U17" i="9"/>
  <c r="Q22" i="9"/>
  <c r="S22" i="9" s="1"/>
  <c r="V22" i="9" s="1"/>
  <c r="R24" i="9"/>
  <c r="T27" i="9"/>
  <c r="U29" i="9"/>
  <c r="Q34" i="9"/>
  <c r="R36" i="9"/>
  <c r="T39" i="9"/>
  <c r="U41" i="9"/>
  <c r="Q46" i="9"/>
  <c r="U4" i="9"/>
  <c r="Q45" i="9"/>
  <c r="S45" i="9" s="1"/>
  <c r="R47" i="9"/>
  <c r="Q9" i="9"/>
  <c r="R11" i="9"/>
  <c r="T14" i="9"/>
  <c r="U16" i="9"/>
  <c r="Q8" i="9"/>
  <c r="S8" i="9" s="1"/>
  <c r="V8" i="9" s="1"/>
  <c r="R10" i="9"/>
  <c r="T13" i="9"/>
  <c r="U15" i="9"/>
  <c r="Q20" i="9"/>
  <c r="R22" i="9"/>
  <c r="T25" i="9"/>
  <c r="U27" i="9"/>
  <c r="Q32" i="9"/>
  <c r="R34" i="9"/>
  <c r="T37" i="9"/>
  <c r="U39" i="9"/>
  <c r="Q44" i="9"/>
  <c r="S44" i="9" s="1"/>
  <c r="V44" i="9" s="1"/>
  <c r="R46" i="9"/>
  <c r="Q21" i="9"/>
  <c r="R23" i="9"/>
  <c r="T26" i="9"/>
  <c r="U28" i="9"/>
  <c r="Q33" i="9"/>
  <c r="R35" i="9"/>
  <c r="T38" i="9"/>
  <c r="U40" i="9"/>
  <c r="U2" i="9"/>
  <c r="U3" i="9"/>
  <c r="Q7" i="9"/>
  <c r="S7" i="9" s="1"/>
  <c r="V7" i="9" s="1"/>
  <c r="R9" i="9"/>
  <c r="T12" i="9"/>
  <c r="U14" i="9"/>
  <c r="Q19" i="9"/>
  <c r="R21" i="9"/>
  <c r="T24" i="9"/>
  <c r="U26" i="9"/>
  <c r="Q31" i="9"/>
  <c r="R33" i="9"/>
  <c r="T36" i="9"/>
  <c r="U38" i="9"/>
  <c r="Q43" i="9"/>
  <c r="S43" i="9" s="1"/>
  <c r="V43" i="9" s="1"/>
  <c r="R45" i="9"/>
  <c r="Q18" i="9"/>
  <c r="T23" i="9"/>
  <c r="U25" i="9"/>
  <c r="Q30" i="9"/>
  <c r="S30" i="9" s="1"/>
  <c r="R32" i="9"/>
  <c r="T35" i="9"/>
  <c r="U37" i="9"/>
  <c r="Q42" i="9"/>
  <c r="S42" i="9" s="1"/>
  <c r="R44" i="9"/>
  <c r="T47" i="9"/>
  <c r="Q6" i="9"/>
  <c r="S6" i="9" s="1"/>
  <c r="R8" i="9"/>
  <c r="T11" i="9"/>
  <c r="U13" i="9"/>
  <c r="R20" i="9"/>
  <c r="Q5" i="9"/>
  <c r="S5" i="9" s="1"/>
  <c r="V5" i="9" s="1"/>
  <c r="R7" i="9"/>
  <c r="T10" i="9"/>
  <c r="U12" i="9"/>
  <c r="Q17" i="9"/>
  <c r="R19" i="9"/>
  <c r="T22" i="9"/>
  <c r="U24" i="9"/>
  <c r="Q29" i="9"/>
  <c r="S29" i="9" s="1"/>
  <c r="R31" i="9"/>
  <c r="T34" i="9"/>
  <c r="U36" i="9"/>
  <c r="Q41" i="9"/>
  <c r="S41" i="9" s="1"/>
  <c r="V41" i="9" s="1"/>
  <c r="R43" i="9"/>
  <c r="T46" i="9"/>
  <c r="T33" i="9"/>
  <c r="U35" i="9"/>
  <c r="Q40" i="9"/>
  <c r="R42" i="9"/>
  <c r="T45" i="9"/>
  <c r="U47" i="9"/>
  <c r="R6" i="9"/>
  <c r="R30" i="9"/>
  <c r="Q2" i="9"/>
  <c r="S2" i="9" s="1"/>
  <c r="Q3" i="9"/>
  <c r="S3" i="9" s="1"/>
  <c r="R5" i="9"/>
  <c r="T8" i="9"/>
  <c r="U10" i="9"/>
  <c r="Q15" i="9"/>
  <c r="R17" i="9"/>
  <c r="T20" i="9"/>
  <c r="U22" i="9"/>
  <c r="Q27" i="9"/>
  <c r="R29" i="9"/>
  <c r="T32" i="9"/>
  <c r="U34" i="9"/>
  <c r="Q39" i="9"/>
  <c r="R41" i="9"/>
  <c r="T44" i="9"/>
  <c r="U46" i="9"/>
  <c r="U9" i="9"/>
  <c r="R16" i="9"/>
  <c r="T19" i="9"/>
  <c r="U21" i="9"/>
  <c r="Q26" i="9"/>
  <c r="R28" i="9"/>
  <c r="T31" i="9"/>
  <c r="U33" i="9"/>
  <c r="Q38" i="9"/>
  <c r="S38" i="9" s="1"/>
  <c r="R40" i="9"/>
  <c r="T43" i="9"/>
  <c r="U45" i="9"/>
  <c r="Q4" i="9"/>
  <c r="U11" i="9"/>
  <c r="R18" i="9"/>
  <c r="T21" i="9"/>
  <c r="Q28" i="9"/>
  <c r="S28" i="9" s="1"/>
  <c r="V28" i="9" s="1"/>
  <c r="T30" i="9"/>
  <c r="U32" i="9"/>
  <c r="Q37" i="9"/>
  <c r="S37" i="9" s="1"/>
  <c r="V37" i="9" s="1"/>
  <c r="R39" i="9"/>
  <c r="T42" i="9"/>
  <c r="U44" i="9"/>
  <c r="T9" i="9"/>
  <c r="Q16" i="9"/>
  <c r="S16" i="9" s="1"/>
  <c r="V16" i="9" s="1"/>
  <c r="U23" i="9"/>
  <c r="R4" i="9"/>
  <c r="T6" i="9"/>
  <c r="R15" i="9"/>
  <c r="T18" i="9"/>
  <c r="Q25" i="9"/>
  <c r="S25" i="9" s="1"/>
  <c r="T5" i="9"/>
  <c r="U7" i="9"/>
  <c r="Q12" i="9"/>
  <c r="S12" i="9" s="1"/>
  <c r="V12" i="9" s="1"/>
  <c r="R14" i="9"/>
  <c r="T17" i="9"/>
  <c r="U19" i="9"/>
  <c r="Q24" i="9"/>
  <c r="R26" i="9"/>
  <c r="T29" i="9"/>
  <c r="U31" i="9"/>
  <c r="Q36" i="9"/>
  <c r="S36" i="9" s="1"/>
  <c r="R38" i="9"/>
  <c r="T41" i="9"/>
  <c r="U43" i="9"/>
  <c r="U54" i="8"/>
  <c r="T52" i="8"/>
  <c r="R49" i="8"/>
  <c r="Q47" i="8"/>
  <c r="U42" i="8"/>
  <c r="T40" i="8"/>
  <c r="R37" i="8"/>
  <c r="Q35" i="8"/>
  <c r="U55" i="8"/>
  <c r="T53" i="8"/>
  <c r="R50" i="8"/>
  <c r="Q48" i="8"/>
  <c r="S48" i="8" s="1"/>
  <c r="V48" i="8" s="1"/>
  <c r="U43" i="8"/>
  <c r="T41" i="8"/>
  <c r="R38" i="8"/>
  <c r="Q36" i="8"/>
  <c r="S36" i="8" s="1"/>
  <c r="Q49" i="8"/>
  <c r="S49" i="8" s="1"/>
  <c r="U44" i="8"/>
  <c r="R39" i="8"/>
  <c r="R43" i="8"/>
  <c r="Q41" i="8"/>
  <c r="R56" i="8"/>
  <c r="U56" i="8"/>
  <c r="T54" i="8"/>
  <c r="R51" i="8"/>
  <c r="T42" i="8"/>
  <c r="Q37" i="8"/>
  <c r="U57" i="8"/>
  <c r="T55" i="8"/>
  <c r="R52" i="8"/>
  <c r="Q50" i="8"/>
  <c r="U45" i="8"/>
  <c r="T43" i="8"/>
  <c r="R40" i="8"/>
  <c r="Q38" i="8"/>
  <c r="S38" i="8" s="1"/>
  <c r="V38" i="8" s="1"/>
  <c r="U33" i="8"/>
  <c r="T56" i="8"/>
  <c r="R53" i="8"/>
  <c r="Q51" i="8"/>
  <c r="S51" i="8" s="1"/>
  <c r="U46" i="8"/>
  <c r="T44" i="8"/>
  <c r="R41" i="8"/>
  <c r="Q39" i="8"/>
  <c r="S39" i="8" s="1"/>
  <c r="U34" i="8"/>
  <c r="R54" i="8"/>
  <c r="Q52" i="8"/>
  <c r="S52" i="8" s="1"/>
  <c r="U47" i="8"/>
  <c r="T45" i="8"/>
  <c r="R42" i="8"/>
  <c r="Q40" i="8"/>
  <c r="U35" i="8"/>
  <c r="T33" i="8"/>
  <c r="U36" i="8"/>
  <c r="T34" i="8"/>
  <c r="T57" i="8"/>
  <c r="Q53" i="8"/>
  <c r="S53" i="8" s="1"/>
  <c r="U48" i="8"/>
  <c r="Q54" i="8"/>
  <c r="S54" i="8" s="1"/>
  <c r="U49" i="8"/>
  <c r="T47" i="8"/>
  <c r="R44" i="8"/>
  <c r="Q42" i="8"/>
  <c r="S42" i="8" s="1"/>
  <c r="U37" i="8"/>
  <c r="T35" i="8"/>
  <c r="R33" i="8"/>
  <c r="Q43" i="8"/>
  <c r="S43" i="8" s="1"/>
  <c r="V43" i="8" s="1"/>
  <c r="Q56" i="8"/>
  <c r="U51" i="8"/>
  <c r="T49" i="8"/>
  <c r="R46" i="8"/>
  <c r="Q44" i="8"/>
  <c r="S44" i="8" s="1"/>
  <c r="V44" i="8" s="1"/>
  <c r="U39" i="8"/>
  <c r="T37" i="8"/>
  <c r="R34" i="8"/>
  <c r="R55" i="8"/>
  <c r="R57" i="8"/>
  <c r="Q55" i="8"/>
  <c r="S55" i="8" s="1"/>
  <c r="V55" i="8" s="1"/>
  <c r="U50" i="8"/>
  <c r="T48" i="8"/>
  <c r="U38" i="8"/>
  <c r="Q57" i="8"/>
  <c r="S57" i="8" s="1"/>
  <c r="U52" i="8"/>
  <c r="T50" i="8"/>
  <c r="R47" i="8"/>
  <c r="Q45" i="8"/>
  <c r="U40" i="8"/>
  <c r="T38" i="8"/>
  <c r="R35" i="8"/>
  <c r="Q33" i="8"/>
  <c r="S33" i="8" s="1"/>
  <c r="T46" i="8"/>
  <c r="R45" i="8"/>
  <c r="T36" i="8"/>
  <c r="U53" i="8"/>
  <c r="T51" i="8"/>
  <c r="R48" i="8"/>
  <c r="Q46" i="8"/>
  <c r="S46" i="8" s="1"/>
  <c r="V46" i="8" s="1"/>
  <c r="U41" i="8"/>
  <c r="T39" i="8"/>
  <c r="R36" i="8"/>
  <c r="Q34" i="8"/>
  <c r="S34" i="8" s="1"/>
  <c r="T9" i="8"/>
  <c r="R18" i="8"/>
  <c r="Q28" i="8"/>
  <c r="T5" i="8"/>
  <c r="U7" i="8"/>
  <c r="Q12" i="8"/>
  <c r="R12" i="8"/>
  <c r="T15" i="8"/>
  <c r="U17" i="8"/>
  <c r="Q22" i="8"/>
  <c r="R24" i="8"/>
  <c r="T27" i="8"/>
  <c r="U29" i="8"/>
  <c r="U4" i="8"/>
  <c r="Q9" i="8"/>
  <c r="R11" i="8"/>
  <c r="T14" i="8"/>
  <c r="U16" i="8"/>
  <c r="Q21" i="8"/>
  <c r="R23" i="8"/>
  <c r="T26" i="8"/>
  <c r="U28" i="8"/>
  <c r="Q16" i="8"/>
  <c r="S16" i="8" s="1"/>
  <c r="V16" i="8" s="1"/>
  <c r="T21" i="8"/>
  <c r="R14" i="8"/>
  <c r="U19" i="8"/>
  <c r="T2" i="8"/>
  <c r="U5" i="8"/>
  <c r="U2" i="8"/>
  <c r="U3" i="8"/>
  <c r="Q8" i="8"/>
  <c r="R10" i="8"/>
  <c r="T13" i="8"/>
  <c r="U15" i="8"/>
  <c r="Q20" i="8"/>
  <c r="S20" i="8" s="1"/>
  <c r="R22" i="8"/>
  <c r="T25" i="8"/>
  <c r="U27" i="8"/>
  <c r="Q32" i="8"/>
  <c r="S32" i="8" s="1"/>
  <c r="V32" i="8" s="1"/>
  <c r="R6" i="8"/>
  <c r="Q7" i="8"/>
  <c r="S7" i="8" s="1"/>
  <c r="R9" i="8"/>
  <c r="T12" i="8"/>
  <c r="U14" i="8"/>
  <c r="Q19" i="8"/>
  <c r="S19" i="8" s="1"/>
  <c r="V19" i="8" s="1"/>
  <c r="R21" i="8"/>
  <c r="T24" i="8"/>
  <c r="U26" i="8"/>
  <c r="Q31" i="8"/>
  <c r="T17" i="8"/>
  <c r="T3" i="8"/>
  <c r="Q6" i="8"/>
  <c r="R8" i="8"/>
  <c r="T11" i="8"/>
  <c r="U13" i="8"/>
  <c r="Q18" i="8"/>
  <c r="S18" i="8" s="1"/>
  <c r="R20" i="8"/>
  <c r="T23" i="8"/>
  <c r="U25" i="8"/>
  <c r="Q30" i="8"/>
  <c r="S30" i="8" s="1"/>
  <c r="V30" i="8" s="1"/>
  <c r="R32" i="8"/>
  <c r="Q10" i="8"/>
  <c r="Q5" i="8"/>
  <c r="R7" i="8"/>
  <c r="T10" i="8"/>
  <c r="U12" i="8"/>
  <c r="Q17" i="8"/>
  <c r="R19" i="8"/>
  <c r="T22" i="8"/>
  <c r="U24" i="8"/>
  <c r="Q29" i="8"/>
  <c r="S29" i="8" s="1"/>
  <c r="V29" i="8" s="1"/>
  <c r="R31" i="8"/>
  <c r="R30" i="8"/>
  <c r="T32" i="8"/>
  <c r="Q4" i="8"/>
  <c r="U23" i="8"/>
  <c r="Q2" i="8"/>
  <c r="S2" i="8" s="1"/>
  <c r="V2" i="8" s="1"/>
  <c r="Q3" i="8"/>
  <c r="R5" i="8"/>
  <c r="T8" i="8"/>
  <c r="U10" i="8"/>
  <c r="Q15" i="8"/>
  <c r="S15" i="8" s="1"/>
  <c r="R17" i="8"/>
  <c r="T20" i="8"/>
  <c r="U22" i="8"/>
  <c r="Q27" i="8"/>
  <c r="R29" i="8"/>
  <c r="R4" i="8"/>
  <c r="T7" i="8"/>
  <c r="U9" i="8"/>
  <c r="Q14" i="8"/>
  <c r="S14" i="8" s="1"/>
  <c r="R16" i="8"/>
  <c r="T19" i="8"/>
  <c r="U21" i="8"/>
  <c r="Q26" i="8"/>
  <c r="S26" i="8" s="1"/>
  <c r="R28" i="8"/>
  <c r="T31" i="8"/>
  <c r="U11" i="8"/>
  <c r="R2" i="8"/>
  <c r="R3" i="8"/>
  <c r="T6" i="8"/>
  <c r="U8" i="8"/>
  <c r="Q13" i="8"/>
  <c r="R15" i="8"/>
  <c r="T18" i="8"/>
  <c r="U20" i="8"/>
  <c r="Q25" i="8"/>
  <c r="S25" i="8" s="1"/>
  <c r="R27" i="8"/>
  <c r="T30" i="8"/>
  <c r="U32" i="8"/>
  <c r="Q24" i="8"/>
  <c r="R26" i="8"/>
  <c r="T29" i="8"/>
  <c r="U31" i="8"/>
  <c r="T4" i="8"/>
  <c r="U6" i="8"/>
  <c r="Q11" i="8"/>
  <c r="S11" i="8" s="1"/>
  <c r="V11" i="8" s="1"/>
  <c r="R13" i="8"/>
  <c r="T16" i="8"/>
  <c r="U18" i="8"/>
  <c r="Q23" i="8"/>
  <c r="R25" i="8"/>
  <c r="T28" i="8"/>
  <c r="U30" i="8"/>
  <c r="U4" i="7"/>
  <c r="Q9" i="7"/>
  <c r="R11" i="7"/>
  <c r="T14" i="7"/>
  <c r="U16" i="7"/>
  <c r="Q21" i="7"/>
  <c r="R23" i="7"/>
  <c r="T26" i="7"/>
  <c r="U28" i="7"/>
  <c r="Q7" i="7"/>
  <c r="Q32" i="7"/>
  <c r="S32" i="7" s="1"/>
  <c r="V32" i="7" s="1"/>
  <c r="Q19" i="7"/>
  <c r="Q31" i="7"/>
  <c r="S31" i="7" s="1"/>
  <c r="Q6" i="7"/>
  <c r="S6" i="7" s="1"/>
  <c r="R8" i="7"/>
  <c r="T11" i="7"/>
  <c r="U13" i="7"/>
  <c r="Q18" i="7"/>
  <c r="R20" i="7"/>
  <c r="T23" i="7"/>
  <c r="U25" i="7"/>
  <c r="Q30" i="7"/>
  <c r="S30" i="7" s="1"/>
  <c r="R32" i="7"/>
  <c r="U3" i="7"/>
  <c r="Q8" i="7"/>
  <c r="R10" i="7"/>
  <c r="T13" i="7"/>
  <c r="U15" i="7"/>
  <c r="Q20" i="7"/>
  <c r="S20" i="7" s="1"/>
  <c r="V20" i="7" s="1"/>
  <c r="R22" i="7"/>
  <c r="T25" i="7"/>
  <c r="U27" i="7"/>
  <c r="R9" i="7"/>
  <c r="T12" i="7"/>
  <c r="U14" i="7"/>
  <c r="R21" i="7"/>
  <c r="T24" i="7"/>
  <c r="U26" i="7"/>
  <c r="Q5" i="7"/>
  <c r="R7" i="7"/>
  <c r="T10" i="7"/>
  <c r="U12" i="7"/>
  <c r="Q17" i="7"/>
  <c r="S17" i="7" s="1"/>
  <c r="V17" i="7" s="1"/>
  <c r="R19" i="7"/>
  <c r="T22" i="7"/>
  <c r="U24" i="7"/>
  <c r="Q29" i="7"/>
  <c r="R31" i="7"/>
  <c r="U11" i="7"/>
  <c r="Q16" i="7"/>
  <c r="S16" i="7" s="1"/>
  <c r="R18" i="7"/>
  <c r="T21" i="7"/>
  <c r="U23" i="7"/>
  <c r="Q28" i="7"/>
  <c r="S28" i="7" s="1"/>
  <c r="V28" i="7" s="1"/>
  <c r="R30" i="7"/>
  <c r="U22" i="7"/>
  <c r="T32" i="7"/>
  <c r="U2" i="7"/>
  <c r="Q4" i="7"/>
  <c r="S4" i="7" s="1"/>
  <c r="V4" i="7" s="1"/>
  <c r="R6" i="7"/>
  <c r="T9" i="7"/>
  <c r="Q2" i="7"/>
  <c r="Q3" i="7"/>
  <c r="R5" i="7"/>
  <c r="T8" i="7"/>
  <c r="U10" i="7"/>
  <c r="R17" i="7"/>
  <c r="R4" i="7"/>
  <c r="T7" i="7"/>
  <c r="U9" i="7"/>
  <c r="Q14" i="7"/>
  <c r="S14" i="7" s="1"/>
  <c r="V14" i="7" s="1"/>
  <c r="R16" i="7"/>
  <c r="T19" i="7"/>
  <c r="U21" i="7"/>
  <c r="Q26" i="7"/>
  <c r="S26" i="7" s="1"/>
  <c r="V26" i="7" s="1"/>
  <c r="R28" i="7"/>
  <c r="T31" i="7"/>
  <c r="T6" i="7"/>
  <c r="R15" i="7"/>
  <c r="Q15" i="7"/>
  <c r="T20" i="7"/>
  <c r="Q27" i="7"/>
  <c r="R2" i="7"/>
  <c r="R3" i="7"/>
  <c r="U8" i="7"/>
  <c r="Q13" i="7"/>
  <c r="S13" i="7" s="1"/>
  <c r="V13" i="7" s="1"/>
  <c r="R26" i="7"/>
  <c r="T29" i="7"/>
  <c r="U31" i="7"/>
  <c r="T18" i="7"/>
  <c r="R27" i="7"/>
  <c r="T30" i="7"/>
  <c r="U7" i="7"/>
  <c r="R14" i="7"/>
  <c r="U19" i="7"/>
  <c r="T4" i="7"/>
  <c r="U6" i="7"/>
  <c r="Q11" i="7"/>
  <c r="R13" i="7"/>
  <c r="T16" i="7"/>
  <c r="U18" i="7"/>
  <c r="Q23" i="7"/>
  <c r="S23" i="7" s="1"/>
  <c r="R25" i="7"/>
  <c r="T28" i="7"/>
  <c r="U30" i="7"/>
  <c r="R29" i="7"/>
  <c r="U20" i="7"/>
  <c r="Q25" i="7"/>
  <c r="U32" i="7"/>
  <c r="T5" i="7"/>
  <c r="Q12" i="7"/>
  <c r="S12" i="7" s="1"/>
  <c r="T17" i="7"/>
  <c r="Q24" i="7"/>
  <c r="S24" i="7" s="1"/>
  <c r="T2" i="7"/>
  <c r="T3" i="7"/>
  <c r="U5" i="7"/>
  <c r="Q10" i="7"/>
  <c r="S10" i="7" s="1"/>
  <c r="R12" i="7"/>
  <c r="T15" i="7"/>
  <c r="U17" i="7"/>
  <c r="Q22" i="7"/>
  <c r="S22" i="7" s="1"/>
  <c r="R24" i="7"/>
  <c r="T27" i="7"/>
  <c r="U29" i="7"/>
  <c r="U35" i="6"/>
  <c r="U36" i="6"/>
  <c r="Q43" i="6"/>
  <c r="S43" i="6" s="1"/>
  <c r="U39" i="6"/>
  <c r="T37" i="6"/>
  <c r="R34" i="6"/>
  <c r="Q32" i="6"/>
  <c r="U27" i="6"/>
  <c r="Q40" i="6"/>
  <c r="S40" i="6" s="1"/>
  <c r="V40" i="6" s="1"/>
  <c r="Q28" i="6"/>
  <c r="S28" i="6" s="1"/>
  <c r="T34" i="6"/>
  <c r="T35" i="6"/>
  <c r="U38" i="6"/>
  <c r="T36" i="6"/>
  <c r="R33" i="6"/>
  <c r="Q31" i="6"/>
  <c r="U26" i="6"/>
  <c r="U40" i="6"/>
  <c r="T38" i="6"/>
  <c r="R35" i="6"/>
  <c r="Q33" i="6"/>
  <c r="S33" i="6" s="1"/>
  <c r="V33" i="6" s="1"/>
  <c r="U28" i="6"/>
  <c r="T26" i="6"/>
  <c r="U41" i="6"/>
  <c r="T39" i="6"/>
  <c r="R36" i="6"/>
  <c r="Q34" i="6"/>
  <c r="U29" i="6"/>
  <c r="T27" i="6"/>
  <c r="U43" i="6"/>
  <c r="T41" i="6"/>
  <c r="R38" i="6"/>
  <c r="Q36" i="6"/>
  <c r="S36" i="6" s="1"/>
  <c r="V36" i="6" s="1"/>
  <c r="U31" i="6"/>
  <c r="T29" i="6"/>
  <c r="R26" i="6"/>
  <c r="U30" i="6"/>
  <c r="T42" i="6"/>
  <c r="R39" i="6"/>
  <c r="Q37" i="6"/>
  <c r="S37" i="6" s="1"/>
  <c r="V37" i="6" s="1"/>
  <c r="U32" i="6"/>
  <c r="T30" i="6"/>
  <c r="R27" i="6"/>
  <c r="T33" i="6"/>
  <c r="Q41" i="6"/>
  <c r="S41" i="6" s="1"/>
  <c r="R31" i="6"/>
  <c r="Q42" i="6"/>
  <c r="R32" i="6"/>
  <c r="U42" i="6"/>
  <c r="R37" i="6"/>
  <c r="Q35" i="6"/>
  <c r="T43" i="6"/>
  <c r="R40" i="6"/>
  <c r="Q38" i="6"/>
  <c r="U33" i="6"/>
  <c r="T31" i="6"/>
  <c r="R28" i="6"/>
  <c r="Q26" i="6"/>
  <c r="R42" i="6"/>
  <c r="R30" i="6"/>
  <c r="R43" i="6"/>
  <c r="Q29" i="6"/>
  <c r="U37" i="6"/>
  <c r="Q30" i="6"/>
  <c r="T40" i="6"/>
  <c r="T28" i="6"/>
  <c r="R41" i="6"/>
  <c r="Q39" i="6"/>
  <c r="S39" i="6" s="1"/>
  <c r="V39" i="6" s="1"/>
  <c r="U34" i="6"/>
  <c r="T32" i="6"/>
  <c r="R29" i="6"/>
  <c r="Q27" i="6"/>
  <c r="S27" i="6" s="1"/>
  <c r="V27" i="6" s="1"/>
  <c r="Q3" i="6"/>
  <c r="R5" i="6"/>
  <c r="T8" i="6"/>
  <c r="Q15" i="6"/>
  <c r="S15" i="6" s="1"/>
  <c r="Q14" i="6"/>
  <c r="U8" i="6"/>
  <c r="T18" i="6"/>
  <c r="U6" i="6"/>
  <c r="R13" i="6"/>
  <c r="U18" i="6"/>
  <c r="R25" i="6"/>
  <c r="T2" i="6"/>
  <c r="T3" i="6"/>
  <c r="U5" i="6"/>
  <c r="Q10" i="6"/>
  <c r="R12" i="6"/>
  <c r="T15" i="6"/>
  <c r="U17" i="6"/>
  <c r="Q22" i="6"/>
  <c r="S22" i="6" s="1"/>
  <c r="R24" i="6"/>
  <c r="R4" i="6"/>
  <c r="R3" i="6"/>
  <c r="U4" i="6"/>
  <c r="Q9" i="6"/>
  <c r="S9" i="6" s="1"/>
  <c r="V9" i="6" s="1"/>
  <c r="R11" i="6"/>
  <c r="T14" i="6"/>
  <c r="U16" i="6"/>
  <c r="Q21" i="6"/>
  <c r="S21" i="6" s="1"/>
  <c r="R23" i="6"/>
  <c r="T20" i="6"/>
  <c r="U2" i="6"/>
  <c r="U3" i="6"/>
  <c r="Q8" i="6"/>
  <c r="R10" i="6"/>
  <c r="T13" i="6"/>
  <c r="U15" i="6"/>
  <c r="Q20" i="6"/>
  <c r="R22" i="6"/>
  <c r="T25" i="6"/>
  <c r="U10" i="6"/>
  <c r="U9" i="6"/>
  <c r="R16" i="6"/>
  <c r="Q13" i="6"/>
  <c r="U20" i="6"/>
  <c r="T5" i="6"/>
  <c r="T4" i="6"/>
  <c r="T16" i="6"/>
  <c r="Q7" i="6"/>
  <c r="S7" i="6" s="1"/>
  <c r="V7" i="6" s="1"/>
  <c r="R9" i="6"/>
  <c r="T12" i="6"/>
  <c r="U14" i="6"/>
  <c r="Q19" i="6"/>
  <c r="S19" i="6" s="1"/>
  <c r="R21" i="6"/>
  <c r="T24" i="6"/>
  <c r="U21" i="6"/>
  <c r="Q6" i="6"/>
  <c r="S6" i="6" s="1"/>
  <c r="R8" i="6"/>
  <c r="T11" i="6"/>
  <c r="U13" i="6"/>
  <c r="Q18" i="6"/>
  <c r="S18" i="6" s="1"/>
  <c r="V18" i="6" s="1"/>
  <c r="R20" i="6"/>
  <c r="T23" i="6"/>
  <c r="U25" i="6"/>
  <c r="Q2" i="6"/>
  <c r="U22" i="6"/>
  <c r="T7" i="6"/>
  <c r="T19" i="6"/>
  <c r="R2" i="6"/>
  <c r="R15" i="6"/>
  <c r="U7" i="6"/>
  <c r="R14" i="6"/>
  <c r="U19" i="6"/>
  <c r="Q11" i="6"/>
  <c r="S11" i="6" s="1"/>
  <c r="Q5" i="6"/>
  <c r="S5" i="6" s="1"/>
  <c r="R7" i="6"/>
  <c r="T10" i="6"/>
  <c r="U12" i="6"/>
  <c r="Q17" i="6"/>
  <c r="R19" i="6"/>
  <c r="T22" i="6"/>
  <c r="U24" i="6"/>
  <c r="R17" i="6"/>
  <c r="T6" i="6"/>
  <c r="Q25" i="6"/>
  <c r="S25" i="6" s="1"/>
  <c r="V25" i="6" s="1"/>
  <c r="Q12" i="6"/>
  <c r="T17" i="6"/>
  <c r="Q24" i="6"/>
  <c r="Q23" i="6"/>
  <c r="S23" i="6" s="1"/>
  <c r="Q4" i="6"/>
  <c r="R6" i="6"/>
  <c r="T9" i="6"/>
  <c r="U11" i="6"/>
  <c r="Q16" i="6"/>
  <c r="S16" i="6" s="1"/>
  <c r="R18" i="6"/>
  <c r="T21" i="6"/>
  <c r="U23" i="6"/>
  <c r="R10" i="5"/>
  <c r="T25" i="5"/>
  <c r="U15" i="5"/>
  <c r="Q20" i="5"/>
  <c r="R22" i="5"/>
  <c r="T12" i="5"/>
  <c r="Q19" i="5"/>
  <c r="S19" i="5" s="1"/>
  <c r="R21" i="5"/>
  <c r="R20" i="5"/>
  <c r="T23" i="5"/>
  <c r="U25" i="5"/>
  <c r="T24" i="5"/>
  <c r="Q6" i="5"/>
  <c r="S6" i="5" s="1"/>
  <c r="V6" i="5" s="1"/>
  <c r="R8" i="5"/>
  <c r="T11" i="5"/>
  <c r="Q18" i="5"/>
  <c r="S18" i="5" s="1"/>
  <c r="R7" i="5"/>
  <c r="T10" i="5"/>
  <c r="U12" i="5"/>
  <c r="Q17" i="5"/>
  <c r="R19" i="5"/>
  <c r="T22" i="5"/>
  <c r="U24" i="5"/>
  <c r="U2" i="5"/>
  <c r="U3" i="5"/>
  <c r="Q8" i="5"/>
  <c r="S8" i="5" s="1"/>
  <c r="T13" i="5"/>
  <c r="Q7" i="5"/>
  <c r="R9" i="5"/>
  <c r="U14" i="5"/>
  <c r="U13" i="5"/>
  <c r="Q5" i="5"/>
  <c r="Q4" i="5"/>
  <c r="R6" i="5"/>
  <c r="T9" i="5"/>
  <c r="U11" i="5"/>
  <c r="Q16" i="5"/>
  <c r="R18" i="5"/>
  <c r="T21" i="5"/>
  <c r="U23" i="5"/>
  <c r="Q3" i="5"/>
  <c r="R17" i="5"/>
  <c r="T7" i="5"/>
  <c r="Q2" i="5"/>
  <c r="S2" i="5" s="1"/>
  <c r="V2" i="5" s="1"/>
  <c r="Q15" i="5"/>
  <c r="S15" i="5" s="1"/>
  <c r="T20" i="5"/>
  <c r="U9" i="5"/>
  <c r="R16" i="5"/>
  <c r="R5" i="5"/>
  <c r="T8" i="5"/>
  <c r="U10" i="5"/>
  <c r="U22" i="5"/>
  <c r="R4" i="5"/>
  <c r="Q14" i="5"/>
  <c r="S14" i="5" s="1"/>
  <c r="V14" i="5" s="1"/>
  <c r="T19" i="5"/>
  <c r="U21" i="5"/>
  <c r="U19" i="5"/>
  <c r="Q24" i="5"/>
  <c r="R14" i="5"/>
  <c r="T4" i="5"/>
  <c r="U6" i="5"/>
  <c r="Q11" i="5"/>
  <c r="R13" i="5"/>
  <c r="T16" i="5"/>
  <c r="U18" i="5"/>
  <c r="Q23" i="5"/>
  <c r="R25" i="5"/>
  <c r="R2" i="5"/>
  <c r="R3" i="5"/>
  <c r="T6" i="5"/>
  <c r="R15" i="5"/>
  <c r="U20" i="5"/>
  <c r="Q25" i="5"/>
  <c r="T5" i="5"/>
  <c r="U7" i="5"/>
  <c r="Q12" i="5"/>
  <c r="T17" i="5"/>
  <c r="T2" i="5"/>
  <c r="T3" i="5"/>
  <c r="U5" i="5"/>
  <c r="Q10" i="5"/>
  <c r="S10" i="5" s="1"/>
  <c r="V10" i="5" s="1"/>
  <c r="R12" i="5"/>
  <c r="T15" i="5"/>
  <c r="U17" i="5"/>
  <c r="Q22" i="5"/>
  <c r="S22" i="5" s="1"/>
  <c r="V22" i="5" s="1"/>
  <c r="R24" i="5"/>
  <c r="U8" i="5"/>
  <c r="Q13" i="5"/>
  <c r="S13" i="5" s="1"/>
  <c r="V13" i="5" s="1"/>
  <c r="T18" i="5"/>
  <c r="U4" i="5"/>
  <c r="Q9" i="5"/>
  <c r="S9" i="5" s="1"/>
  <c r="R11" i="5"/>
  <c r="T14" i="5"/>
  <c r="U16" i="5"/>
  <c r="Q21" i="5"/>
  <c r="S21" i="5" s="1"/>
  <c r="V21" i="5" s="1"/>
  <c r="R23" i="5"/>
  <c r="Q42" i="4"/>
  <c r="Q54" i="4"/>
  <c r="U49" i="4"/>
  <c r="T47" i="4"/>
  <c r="R44" i="4"/>
  <c r="U50" i="4"/>
  <c r="T48" i="4"/>
  <c r="R45" i="4"/>
  <c r="Q43" i="4"/>
  <c r="Q44" i="4"/>
  <c r="S44" i="4" s="1"/>
  <c r="V44" i="4" s="1"/>
  <c r="R47" i="4"/>
  <c r="Q45" i="4"/>
  <c r="U40" i="4"/>
  <c r="Q46" i="4"/>
  <c r="U41" i="4"/>
  <c r="Q47" i="4"/>
  <c r="U42" i="4"/>
  <c r="T40" i="4"/>
  <c r="T53" i="4"/>
  <c r="R50" i="4"/>
  <c r="Q48" i="4"/>
  <c r="S48" i="4" s="1"/>
  <c r="V48" i="4" s="1"/>
  <c r="U43" i="4"/>
  <c r="T41" i="4"/>
  <c r="T42" i="4"/>
  <c r="Q50" i="4"/>
  <c r="U45" i="4"/>
  <c r="T43" i="4"/>
  <c r="R40" i="4"/>
  <c r="T49" i="4"/>
  <c r="U54" i="4"/>
  <c r="R51" i="4"/>
  <c r="Q49" i="4"/>
  <c r="S49" i="4" s="1"/>
  <c r="V49" i="4" s="1"/>
  <c r="R53" i="4"/>
  <c r="Q51" i="4"/>
  <c r="S51" i="4" s="1"/>
  <c r="V51" i="4" s="1"/>
  <c r="U46" i="4"/>
  <c r="T44" i="4"/>
  <c r="R41" i="4"/>
  <c r="R46" i="4"/>
  <c r="U52" i="4"/>
  <c r="U53" i="4"/>
  <c r="T51" i="4"/>
  <c r="T52" i="4"/>
  <c r="R49" i="4"/>
  <c r="T54" i="4"/>
  <c r="U44" i="4"/>
  <c r="R54" i="4"/>
  <c r="Q52" i="4"/>
  <c r="S52" i="4" s="1"/>
  <c r="V52" i="4" s="1"/>
  <c r="U47" i="4"/>
  <c r="T45" i="4"/>
  <c r="R42" i="4"/>
  <c r="Q40" i="4"/>
  <c r="U51" i="4"/>
  <c r="T50" i="4"/>
  <c r="R48" i="4"/>
  <c r="R52" i="4"/>
  <c r="Q53" i="4"/>
  <c r="U48" i="4"/>
  <c r="T46" i="4"/>
  <c r="R43" i="4"/>
  <c r="Q41" i="4"/>
  <c r="S41" i="4" s="1"/>
  <c r="Q17" i="4"/>
  <c r="T22" i="4"/>
  <c r="R6" i="4"/>
  <c r="T9" i="4"/>
  <c r="U11" i="4"/>
  <c r="Q16" i="4"/>
  <c r="R18" i="4"/>
  <c r="T21" i="4"/>
  <c r="U23" i="4"/>
  <c r="Q28" i="4"/>
  <c r="S28" i="4" s="1"/>
  <c r="V28" i="4" s="1"/>
  <c r="R30" i="4"/>
  <c r="T33" i="4"/>
  <c r="U35" i="4"/>
  <c r="Q2" i="4"/>
  <c r="Q3" i="4"/>
  <c r="R5" i="4"/>
  <c r="T8" i="4"/>
  <c r="U10" i="4"/>
  <c r="Q15" i="4"/>
  <c r="R17" i="4"/>
  <c r="T20" i="4"/>
  <c r="U22" i="4"/>
  <c r="Q27" i="4"/>
  <c r="S27" i="4" s="1"/>
  <c r="V27" i="4" s="1"/>
  <c r="R29" i="4"/>
  <c r="T32" i="4"/>
  <c r="U34" i="4"/>
  <c r="Q39" i="4"/>
  <c r="T19" i="4"/>
  <c r="U21" i="4"/>
  <c r="Q26" i="4"/>
  <c r="S26" i="4" s="1"/>
  <c r="V26" i="4" s="1"/>
  <c r="R28" i="4"/>
  <c r="T31" i="4"/>
  <c r="U33" i="4"/>
  <c r="Q38" i="4"/>
  <c r="S38" i="4" s="1"/>
  <c r="V38" i="4" s="1"/>
  <c r="Q37" i="4"/>
  <c r="S37" i="4" s="1"/>
  <c r="V37" i="4" s="1"/>
  <c r="R39" i="4"/>
  <c r="T17" i="4"/>
  <c r="U19" i="4"/>
  <c r="Q24" i="4"/>
  <c r="R26" i="4"/>
  <c r="T29" i="4"/>
  <c r="U31" i="4"/>
  <c r="Q36" i="4"/>
  <c r="R38" i="4"/>
  <c r="U36" i="4"/>
  <c r="Q35" i="4"/>
  <c r="S35" i="4" s="1"/>
  <c r="V35" i="4" s="1"/>
  <c r="R37" i="4"/>
  <c r="U12" i="4"/>
  <c r="T39" i="4"/>
  <c r="Q5" i="4"/>
  <c r="R4" i="4"/>
  <c r="T7" i="4"/>
  <c r="R3" i="4"/>
  <c r="U20" i="4"/>
  <c r="Q22" i="4"/>
  <c r="T27" i="4"/>
  <c r="U4" i="4"/>
  <c r="Q9" i="4"/>
  <c r="R11" i="4"/>
  <c r="T14" i="4"/>
  <c r="U16" i="4"/>
  <c r="Q21" i="4"/>
  <c r="R23" i="4"/>
  <c r="T26" i="4"/>
  <c r="U28" i="4"/>
  <c r="Q33" i="4"/>
  <c r="S33" i="4" s="1"/>
  <c r="R35" i="4"/>
  <c r="T38" i="4"/>
  <c r="R7" i="4"/>
  <c r="R19" i="4"/>
  <c r="Q29" i="4"/>
  <c r="U9" i="4"/>
  <c r="T6" i="4"/>
  <c r="Q13" i="4"/>
  <c r="Q25" i="4"/>
  <c r="R27" i="4"/>
  <c r="T30" i="4"/>
  <c r="Q12" i="4"/>
  <c r="S12" i="4" s="1"/>
  <c r="T16" i="4"/>
  <c r="R25" i="4"/>
  <c r="T28" i="4"/>
  <c r="U30" i="4"/>
  <c r="T2" i="4"/>
  <c r="T3" i="4"/>
  <c r="U5" i="4"/>
  <c r="R12" i="4"/>
  <c r="U17" i="4"/>
  <c r="R36" i="4"/>
  <c r="U2" i="4"/>
  <c r="U3" i="4"/>
  <c r="Q8" i="4"/>
  <c r="R10" i="4"/>
  <c r="T13" i="4"/>
  <c r="U15" i="4"/>
  <c r="Q20" i="4"/>
  <c r="S20" i="4" s="1"/>
  <c r="V20" i="4" s="1"/>
  <c r="R22" i="4"/>
  <c r="T25" i="4"/>
  <c r="U27" i="4"/>
  <c r="Q32" i="4"/>
  <c r="R34" i="4"/>
  <c r="T37" i="4"/>
  <c r="U39" i="4"/>
  <c r="R31" i="4"/>
  <c r="R16" i="4"/>
  <c r="Q34" i="4"/>
  <c r="S34" i="4" s="1"/>
  <c r="Q7" i="4"/>
  <c r="S7" i="4" s="1"/>
  <c r="V7" i="4" s="1"/>
  <c r="R9" i="4"/>
  <c r="T12" i="4"/>
  <c r="U14" i="4"/>
  <c r="Q19" i="4"/>
  <c r="R21" i="4"/>
  <c r="T24" i="4"/>
  <c r="U26" i="4"/>
  <c r="Q31" i="4"/>
  <c r="S31" i="4" s="1"/>
  <c r="R33" i="4"/>
  <c r="T36" i="4"/>
  <c r="U38" i="4"/>
  <c r="T10" i="4"/>
  <c r="U24" i="4"/>
  <c r="T34" i="4"/>
  <c r="Q4" i="4"/>
  <c r="Q14" i="4"/>
  <c r="R2" i="4"/>
  <c r="U8" i="4"/>
  <c r="R15" i="4"/>
  <c r="T18" i="4"/>
  <c r="U32" i="4"/>
  <c r="T5" i="4"/>
  <c r="U7" i="4"/>
  <c r="R14" i="4"/>
  <c r="T4" i="4"/>
  <c r="U6" i="4"/>
  <c r="Q11" i="4"/>
  <c r="R13" i="4"/>
  <c r="U18" i="4"/>
  <c r="Q23" i="4"/>
  <c r="S23" i="4" s="1"/>
  <c r="Q10" i="4"/>
  <c r="T15" i="4"/>
  <c r="R24" i="4"/>
  <c r="U29" i="4"/>
  <c r="Q6" i="4"/>
  <c r="S6" i="4" s="1"/>
  <c r="R8" i="4"/>
  <c r="T11" i="4"/>
  <c r="U13" i="4"/>
  <c r="Q18" i="4"/>
  <c r="R20" i="4"/>
  <c r="T23" i="4"/>
  <c r="U25" i="4"/>
  <c r="Q30" i="4"/>
  <c r="R32" i="4"/>
  <c r="T35" i="4"/>
  <c r="U37" i="4"/>
  <c r="R29" i="3"/>
  <c r="Q32" i="3"/>
  <c r="U27" i="3"/>
  <c r="T38" i="3"/>
  <c r="R35" i="3"/>
  <c r="Q33" i="3"/>
  <c r="U28" i="3"/>
  <c r="T26" i="3"/>
  <c r="R23" i="3"/>
  <c r="Q21" i="3"/>
  <c r="S21" i="3" s="1"/>
  <c r="V21" i="3" s="1"/>
  <c r="Q39" i="3"/>
  <c r="S39" i="3" s="1"/>
  <c r="U39" i="3"/>
  <c r="R34" i="3"/>
  <c r="T39" i="3"/>
  <c r="R36" i="3"/>
  <c r="Q34" i="3"/>
  <c r="S34" i="3" s="1"/>
  <c r="U29" i="3"/>
  <c r="T27" i="3"/>
  <c r="R24" i="3"/>
  <c r="Q22" i="3"/>
  <c r="T37" i="3"/>
  <c r="R37" i="3"/>
  <c r="Q35" i="3"/>
  <c r="S35" i="3" s="1"/>
  <c r="V35" i="3" s="1"/>
  <c r="U30" i="3"/>
  <c r="T28" i="3"/>
  <c r="R25" i="3"/>
  <c r="Q23" i="3"/>
  <c r="T32" i="3"/>
  <c r="Q27" i="3"/>
  <c r="S27" i="3" s="1"/>
  <c r="V27" i="3" s="1"/>
  <c r="T20" i="3"/>
  <c r="T25" i="3"/>
  <c r="R38" i="3"/>
  <c r="Q36" i="3"/>
  <c r="S36" i="3" s="1"/>
  <c r="V36" i="3" s="1"/>
  <c r="U31" i="3"/>
  <c r="T29" i="3"/>
  <c r="R26" i="3"/>
  <c r="Q24" i="3"/>
  <c r="U19" i="3"/>
  <c r="T30" i="3"/>
  <c r="R27" i="3"/>
  <c r="Q25" i="3"/>
  <c r="S25" i="3" s="1"/>
  <c r="U20" i="3"/>
  <c r="R39" i="3"/>
  <c r="Q37" i="3"/>
  <c r="U32" i="3"/>
  <c r="Q38" i="3"/>
  <c r="S38" i="3" s="1"/>
  <c r="V38" i="3" s="1"/>
  <c r="U33" i="3"/>
  <c r="T31" i="3"/>
  <c r="R28" i="3"/>
  <c r="Q26" i="3"/>
  <c r="U21" i="3"/>
  <c r="T19" i="3"/>
  <c r="T33" i="3"/>
  <c r="Q28" i="3"/>
  <c r="S28" i="3" s="1"/>
  <c r="V28" i="3" s="1"/>
  <c r="U23" i="3"/>
  <c r="U36" i="3"/>
  <c r="T34" i="3"/>
  <c r="R31" i="3"/>
  <c r="Q29" i="3"/>
  <c r="S29" i="3" s="1"/>
  <c r="V29" i="3" s="1"/>
  <c r="U24" i="3"/>
  <c r="T22" i="3"/>
  <c r="R19" i="3"/>
  <c r="U34" i="3"/>
  <c r="U22" i="3"/>
  <c r="U35" i="3"/>
  <c r="T21" i="3"/>
  <c r="U37" i="3"/>
  <c r="T35" i="3"/>
  <c r="R32" i="3"/>
  <c r="Q30" i="3"/>
  <c r="S30" i="3" s="1"/>
  <c r="U25" i="3"/>
  <c r="T23" i="3"/>
  <c r="R20" i="3"/>
  <c r="R30" i="3"/>
  <c r="U38" i="3"/>
  <c r="T36" i="3"/>
  <c r="R33" i="3"/>
  <c r="Q31" i="3"/>
  <c r="U26" i="3"/>
  <c r="T24" i="3"/>
  <c r="R21" i="3"/>
  <c r="Q19" i="3"/>
  <c r="S19" i="3" s="1"/>
  <c r="V19" i="3" s="1"/>
  <c r="R22" i="3"/>
  <c r="Q20" i="3"/>
  <c r="S20" i="3" s="1"/>
  <c r="V20" i="3" s="1"/>
  <c r="Q6" i="3"/>
  <c r="U2" i="3"/>
  <c r="R10" i="3"/>
  <c r="U15" i="3"/>
  <c r="U3" i="3"/>
  <c r="Q8" i="3"/>
  <c r="S8" i="3" s="1"/>
  <c r="T13" i="3"/>
  <c r="Q7" i="3"/>
  <c r="S7" i="3" s="1"/>
  <c r="R9" i="3"/>
  <c r="T12" i="3"/>
  <c r="U14" i="3"/>
  <c r="T11" i="3"/>
  <c r="Q18" i="3"/>
  <c r="S18" i="3" s="1"/>
  <c r="R8" i="3"/>
  <c r="U13" i="3"/>
  <c r="Q5" i="3"/>
  <c r="R7" i="3"/>
  <c r="T10" i="3"/>
  <c r="Q17" i="3"/>
  <c r="U12" i="3"/>
  <c r="Q4" i="3"/>
  <c r="S4" i="3" s="1"/>
  <c r="R6" i="3"/>
  <c r="T9" i="3"/>
  <c r="U11" i="3"/>
  <c r="Q16" i="3"/>
  <c r="R18" i="3"/>
  <c r="U10" i="3"/>
  <c r="Q15" i="3"/>
  <c r="S15" i="3" s="1"/>
  <c r="R17" i="3"/>
  <c r="Q2" i="3"/>
  <c r="R4" i="3"/>
  <c r="T7" i="3"/>
  <c r="R16" i="3"/>
  <c r="Q14" i="3"/>
  <c r="S14" i="3" s="1"/>
  <c r="R2" i="3"/>
  <c r="R3" i="3"/>
  <c r="T6" i="3"/>
  <c r="U8" i="3"/>
  <c r="Q13" i="3"/>
  <c r="S13" i="3" s="1"/>
  <c r="R15" i="3"/>
  <c r="T18" i="3"/>
  <c r="T17" i="3"/>
  <c r="Q3" i="3"/>
  <c r="R5" i="3"/>
  <c r="T8" i="3"/>
  <c r="Q12" i="3"/>
  <c r="S12" i="3" s="1"/>
  <c r="V12" i="3" s="1"/>
  <c r="T4" i="3"/>
  <c r="U6" i="3"/>
  <c r="Q11" i="3"/>
  <c r="R13" i="3"/>
  <c r="T16" i="3"/>
  <c r="U18" i="3"/>
  <c r="U7" i="3"/>
  <c r="T2" i="3"/>
  <c r="T3" i="3"/>
  <c r="U5" i="3"/>
  <c r="Q10" i="3"/>
  <c r="S10" i="3" s="1"/>
  <c r="V10" i="3" s="1"/>
  <c r="R12" i="3"/>
  <c r="T15" i="3"/>
  <c r="U17" i="3"/>
  <c r="U9" i="3"/>
  <c r="T5" i="3"/>
  <c r="R14" i="3"/>
  <c r="U4" i="3"/>
  <c r="Q9" i="3"/>
  <c r="R11" i="3"/>
  <c r="T14" i="3"/>
  <c r="U16" i="3"/>
  <c r="S48" i="10" l="1"/>
  <c r="V48" i="10" s="1"/>
  <c r="S49" i="10"/>
  <c r="V49" i="10" s="1"/>
  <c r="V51" i="10"/>
  <c r="S50" i="10"/>
  <c r="V50" i="10" s="1"/>
  <c r="S21" i="10"/>
  <c r="V21" i="10" s="1"/>
  <c r="V35" i="10"/>
  <c r="V26" i="10"/>
  <c r="S20" i="10"/>
  <c r="V20" i="10" s="1"/>
  <c r="S12" i="10"/>
  <c r="V12" i="10" s="1"/>
  <c r="S22" i="10"/>
  <c r="V22" i="10" s="1"/>
  <c r="V42" i="10"/>
  <c r="S8" i="10"/>
  <c r="V8" i="10" s="1"/>
  <c r="V13" i="10"/>
  <c r="V6" i="10"/>
  <c r="S27" i="10"/>
  <c r="V27" i="10" s="1"/>
  <c r="S16" i="10"/>
  <c r="V16" i="10" s="1"/>
  <c r="S14" i="10"/>
  <c r="V14" i="10" s="1"/>
  <c r="V44" i="10"/>
  <c r="V36" i="10"/>
  <c r="S5" i="10"/>
  <c r="V5" i="10" s="1"/>
  <c r="S41" i="10"/>
  <c r="V41" i="10" s="1"/>
  <c r="V45" i="10"/>
  <c r="S23" i="10"/>
  <c r="V23" i="10" s="1"/>
  <c r="V19" i="10"/>
  <c r="V25" i="10"/>
  <c r="V10" i="10"/>
  <c r="S30" i="10"/>
  <c r="V30" i="10" s="1"/>
  <c r="S37" i="10"/>
  <c r="V37" i="10" s="1"/>
  <c r="V33" i="10"/>
  <c r="V31" i="10"/>
  <c r="S15" i="10"/>
  <c r="V15" i="10" s="1"/>
  <c r="S40" i="10"/>
  <c r="V40" i="10" s="1"/>
  <c r="S4" i="10"/>
  <c r="V4" i="10" s="1"/>
  <c r="S43" i="10"/>
  <c r="V43" i="10" s="1"/>
  <c r="S28" i="10"/>
  <c r="V28" i="10" s="1"/>
  <c r="S38" i="10"/>
  <c r="V38" i="10" s="1"/>
  <c r="S32" i="10"/>
  <c r="V32" i="10" s="1"/>
  <c r="V34" i="10"/>
  <c r="V24" i="10"/>
  <c r="V45" i="9"/>
  <c r="V42" i="9"/>
  <c r="S20" i="9"/>
  <c r="V20" i="9" s="1"/>
  <c r="S15" i="9"/>
  <c r="V15" i="9" s="1"/>
  <c r="V38" i="9"/>
  <c r="V30" i="9"/>
  <c r="S40" i="9"/>
  <c r="V40" i="9" s="1"/>
  <c r="V29" i="9"/>
  <c r="S31" i="9"/>
  <c r="V31" i="9" s="1"/>
  <c r="V6" i="9"/>
  <c r="S46" i="9"/>
  <c r="V46" i="9" s="1"/>
  <c r="S10" i="9"/>
  <c r="V10" i="9" s="1"/>
  <c r="S35" i="9"/>
  <c r="V35" i="9" s="1"/>
  <c r="S39" i="9"/>
  <c r="V39" i="9" s="1"/>
  <c r="V3" i="9"/>
  <c r="S18" i="9"/>
  <c r="V18" i="9" s="1"/>
  <c r="S33" i="9"/>
  <c r="V33" i="9" s="1"/>
  <c r="S13" i="9"/>
  <c r="V13" i="9" s="1"/>
  <c r="S4" i="9"/>
  <c r="V4" i="9" s="1"/>
  <c r="S26" i="9"/>
  <c r="V26" i="9" s="1"/>
  <c r="V2" i="9"/>
  <c r="S32" i="9"/>
  <c r="V32" i="9" s="1"/>
  <c r="S9" i="9"/>
  <c r="V9" i="9" s="1"/>
  <c r="S24" i="9"/>
  <c r="V24" i="9" s="1"/>
  <c r="S17" i="9"/>
  <c r="V17" i="9" s="1"/>
  <c r="S19" i="9"/>
  <c r="V19" i="9" s="1"/>
  <c r="V25" i="9"/>
  <c r="S34" i="9"/>
  <c r="V34" i="9" s="1"/>
  <c r="S23" i="9"/>
  <c r="V23" i="9" s="1"/>
  <c r="V36" i="9"/>
  <c r="S27" i="9"/>
  <c r="V27" i="9" s="1"/>
  <c r="S21" i="9"/>
  <c r="V21" i="9" s="1"/>
  <c r="S14" i="9"/>
  <c r="V14" i="9" s="1"/>
  <c r="V54" i="8"/>
  <c r="V52" i="8"/>
  <c r="V57" i="8"/>
  <c r="S41" i="8"/>
  <c r="V41" i="8" s="1"/>
  <c r="V53" i="8"/>
  <c r="S35" i="8"/>
  <c r="V35" i="8" s="1"/>
  <c r="S56" i="8"/>
  <c r="V56" i="8" s="1"/>
  <c r="V39" i="8"/>
  <c r="S50" i="8"/>
  <c r="V50" i="8" s="1"/>
  <c r="V33" i="8"/>
  <c r="V49" i="8"/>
  <c r="V34" i="8"/>
  <c r="V36" i="8"/>
  <c r="S47" i="8"/>
  <c r="V47" i="8" s="1"/>
  <c r="V51" i="8"/>
  <c r="S37" i="8"/>
  <c r="V37" i="8" s="1"/>
  <c r="V42" i="8"/>
  <c r="S40" i="8"/>
  <c r="V40" i="8" s="1"/>
  <c r="S45" i="8"/>
  <c r="V45" i="8" s="1"/>
  <c r="V18" i="8"/>
  <c r="V25" i="8"/>
  <c r="S13" i="8"/>
  <c r="V13" i="8" s="1"/>
  <c r="V14" i="8"/>
  <c r="S17" i="8"/>
  <c r="V17" i="8" s="1"/>
  <c r="S8" i="8"/>
  <c r="V8" i="8" s="1"/>
  <c r="S21" i="8"/>
  <c r="V21" i="8" s="1"/>
  <c r="V26" i="8"/>
  <c r="S3" i="8"/>
  <c r="V3" i="8" s="1"/>
  <c r="S12" i="8"/>
  <c r="V12" i="8" s="1"/>
  <c r="V20" i="8"/>
  <c r="V7" i="8"/>
  <c r="S6" i="8"/>
  <c r="V6" i="8" s="1"/>
  <c r="V15" i="8"/>
  <c r="S22" i="8"/>
  <c r="V22" i="8" s="1"/>
  <c r="S24" i="8"/>
  <c r="V24" i="8" s="1"/>
  <c r="S4" i="8"/>
  <c r="V4" i="8" s="1"/>
  <c r="S5" i="8"/>
  <c r="V5" i="8" s="1"/>
  <c r="S9" i="8"/>
  <c r="V9" i="8" s="1"/>
  <c r="S28" i="8"/>
  <c r="V28" i="8" s="1"/>
  <c r="S27" i="8"/>
  <c r="V27" i="8" s="1"/>
  <c r="S10" i="8"/>
  <c r="V10" i="8" s="1"/>
  <c r="S23" i="8"/>
  <c r="V23" i="8" s="1"/>
  <c r="S31" i="8"/>
  <c r="V31" i="8" s="1"/>
  <c r="V24" i="7"/>
  <c r="V16" i="7"/>
  <c r="V31" i="7"/>
  <c r="V12" i="7"/>
  <c r="V30" i="7"/>
  <c r="S19" i="7"/>
  <c r="V19" i="7" s="1"/>
  <c r="V6" i="7"/>
  <c r="S21" i="7"/>
  <c r="V21" i="7" s="1"/>
  <c r="V22" i="7"/>
  <c r="V23" i="7"/>
  <c r="S5" i="7"/>
  <c r="V5" i="7" s="1"/>
  <c r="S3" i="7"/>
  <c r="V3" i="7" s="1"/>
  <c r="S7" i="7"/>
  <c r="V7" i="7" s="1"/>
  <c r="S25" i="7"/>
  <c r="V25" i="7" s="1"/>
  <c r="S27" i="7"/>
  <c r="V27" i="7" s="1"/>
  <c r="S2" i="7"/>
  <c r="V2" i="7" s="1"/>
  <c r="S18" i="7"/>
  <c r="V18" i="7" s="1"/>
  <c r="S9" i="7"/>
  <c r="V9" i="7" s="1"/>
  <c r="V10" i="7"/>
  <c r="S11" i="7"/>
  <c r="V11" i="7" s="1"/>
  <c r="S15" i="7"/>
  <c r="V15" i="7" s="1"/>
  <c r="S29" i="7"/>
  <c r="V29" i="7" s="1"/>
  <c r="S8" i="7"/>
  <c r="V8" i="7" s="1"/>
  <c r="V41" i="6"/>
  <c r="S32" i="6"/>
  <c r="V32" i="6" s="1"/>
  <c r="S38" i="6"/>
  <c r="V38" i="6" s="1"/>
  <c r="S31" i="6"/>
  <c r="V31" i="6" s="1"/>
  <c r="S26" i="6"/>
  <c r="V26" i="6" s="1"/>
  <c r="V28" i="6"/>
  <c r="S30" i="6"/>
  <c r="V30" i="6" s="1"/>
  <c r="S35" i="6"/>
  <c r="V35" i="6" s="1"/>
  <c r="S34" i="6"/>
  <c r="V34" i="6" s="1"/>
  <c r="V43" i="6"/>
  <c r="S29" i="6"/>
  <c r="V29" i="6" s="1"/>
  <c r="S42" i="6"/>
  <c r="V42" i="6" s="1"/>
  <c r="V16" i="6"/>
  <c r="S8" i="6"/>
  <c r="V8" i="6" s="1"/>
  <c r="S13" i="6"/>
  <c r="V13" i="6" s="1"/>
  <c r="V22" i="6"/>
  <c r="S17" i="6"/>
  <c r="V17" i="6" s="1"/>
  <c r="S4" i="6"/>
  <c r="V4" i="6" s="1"/>
  <c r="S14" i="6"/>
  <c r="V14" i="6" s="1"/>
  <c r="S24" i="6"/>
  <c r="V24" i="6" s="1"/>
  <c r="S10" i="6"/>
  <c r="V10" i="6" s="1"/>
  <c r="V6" i="6"/>
  <c r="V23" i="6"/>
  <c r="S2" i="6"/>
  <c r="V2" i="6" s="1"/>
  <c r="V19" i="6"/>
  <c r="V15" i="6"/>
  <c r="V5" i="6"/>
  <c r="V21" i="6"/>
  <c r="S12" i="6"/>
  <c r="V12" i="6" s="1"/>
  <c r="V11" i="6"/>
  <c r="S20" i="6"/>
  <c r="V20" i="6" s="1"/>
  <c r="S3" i="6"/>
  <c r="V3" i="6" s="1"/>
  <c r="V8" i="5"/>
  <c r="S23" i="5"/>
  <c r="V23" i="5" s="1"/>
  <c r="S4" i="5"/>
  <c r="V4" i="5" s="1"/>
  <c r="S5" i="5"/>
  <c r="V5" i="5" s="1"/>
  <c r="S20" i="5"/>
  <c r="V20" i="5" s="1"/>
  <c r="S17" i="5"/>
  <c r="V17" i="5" s="1"/>
  <c r="V19" i="5"/>
  <c r="S11" i="5"/>
  <c r="V11" i="5" s="1"/>
  <c r="S25" i="5"/>
  <c r="V25" i="5" s="1"/>
  <c r="S24" i="5"/>
  <c r="V24" i="5" s="1"/>
  <c r="S3" i="5"/>
  <c r="V3" i="5" s="1"/>
  <c r="S7" i="5"/>
  <c r="V7" i="5" s="1"/>
  <c r="V18" i="5"/>
  <c r="V9" i="5"/>
  <c r="S12" i="5"/>
  <c r="V12" i="5" s="1"/>
  <c r="V15" i="5"/>
  <c r="S16" i="5"/>
  <c r="V16" i="5" s="1"/>
  <c r="V41" i="4"/>
  <c r="S45" i="4"/>
  <c r="V45" i="4" s="1"/>
  <c r="S53" i="4"/>
  <c r="V53" i="4" s="1"/>
  <c r="S47" i="4"/>
  <c r="V47" i="4" s="1"/>
  <c r="S40" i="4"/>
  <c r="V40" i="4" s="1"/>
  <c r="S46" i="4"/>
  <c r="V46" i="4" s="1"/>
  <c r="S54" i="4"/>
  <c r="V54" i="4" s="1"/>
  <c r="S43" i="4"/>
  <c r="V43" i="4" s="1"/>
  <c r="S50" i="4"/>
  <c r="V50" i="4" s="1"/>
  <c r="S42" i="4"/>
  <c r="V42" i="4" s="1"/>
  <c r="S9" i="4"/>
  <c r="V9" i="4" s="1"/>
  <c r="V34" i="4"/>
  <c r="S8" i="4"/>
  <c r="V8" i="4" s="1"/>
  <c r="S22" i="4"/>
  <c r="V22" i="4" s="1"/>
  <c r="S36" i="4"/>
  <c r="V36" i="4" s="1"/>
  <c r="S15" i="4"/>
  <c r="V15" i="4" s="1"/>
  <c r="V31" i="4"/>
  <c r="V12" i="4"/>
  <c r="V33" i="4"/>
  <c r="S16" i="4"/>
  <c r="V16" i="4" s="1"/>
  <c r="S30" i="4"/>
  <c r="V30" i="4" s="1"/>
  <c r="S10" i="4"/>
  <c r="V10" i="4" s="1"/>
  <c r="V23" i="4"/>
  <c r="S32" i="4"/>
  <c r="V32" i="4" s="1"/>
  <c r="S25" i="4"/>
  <c r="V25" i="4" s="1"/>
  <c r="S24" i="4"/>
  <c r="V24" i="4" s="1"/>
  <c r="S39" i="4"/>
  <c r="V39" i="4" s="1"/>
  <c r="S3" i="4"/>
  <c r="V3" i="4" s="1"/>
  <c r="S14" i="4"/>
  <c r="V14" i="4" s="1"/>
  <c r="S19" i="4"/>
  <c r="V19" i="4" s="1"/>
  <c r="S13" i="4"/>
  <c r="V13" i="4" s="1"/>
  <c r="S21" i="4"/>
  <c r="V21" i="4" s="1"/>
  <c r="S5" i="4"/>
  <c r="V5" i="4" s="1"/>
  <c r="S2" i="4"/>
  <c r="V2" i="4" s="1"/>
  <c r="S29" i="4"/>
  <c r="V29" i="4" s="1"/>
  <c r="V6" i="4"/>
  <c r="S18" i="4"/>
  <c r="V18" i="4" s="1"/>
  <c r="S11" i="4"/>
  <c r="V11" i="4" s="1"/>
  <c r="S4" i="4"/>
  <c r="V4" i="4" s="1"/>
  <c r="S17" i="4"/>
  <c r="V17" i="4" s="1"/>
  <c r="V30" i="3"/>
  <c r="S37" i="3"/>
  <c r="V37" i="3" s="1"/>
  <c r="S22" i="3"/>
  <c r="V22" i="3" s="1"/>
  <c r="S31" i="3"/>
  <c r="V31" i="3" s="1"/>
  <c r="S33" i="3"/>
  <c r="V33" i="3" s="1"/>
  <c r="V34" i="3"/>
  <c r="S23" i="3"/>
  <c r="V23" i="3" s="1"/>
  <c r="V25" i="3"/>
  <c r="S26" i="3"/>
  <c r="V26" i="3" s="1"/>
  <c r="S32" i="3"/>
  <c r="V32" i="3" s="1"/>
  <c r="V39" i="3"/>
  <c r="S24" i="3"/>
  <c r="V24" i="3" s="1"/>
  <c r="V7" i="3"/>
  <c r="S3" i="3"/>
  <c r="V3" i="3" s="1"/>
  <c r="S17" i="3"/>
  <c r="V17" i="3" s="1"/>
  <c r="V4" i="3"/>
  <c r="S2" i="3"/>
  <c r="V2" i="3" s="1"/>
  <c r="S5" i="3"/>
  <c r="V5" i="3" s="1"/>
  <c r="V13" i="3"/>
  <c r="V14" i="3"/>
  <c r="V8" i="3"/>
  <c r="S9" i="3"/>
  <c r="V9" i="3" s="1"/>
  <c r="V15" i="3"/>
  <c r="S11" i="3"/>
  <c r="V11" i="3" s="1"/>
  <c r="S16" i="3"/>
  <c r="V16" i="3" s="1"/>
  <c r="V18" i="3"/>
  <c r="S6" i="3"/>
  <c r="V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3F1C82-CE1D-CC42-B56B-DD074B070F1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3BD8C30D-90EF-C544-8F5E-BE625216BA3B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A7AE3915-3FAF-1A46-9FE8-587B5888E24B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7D1CE9AA-F389-6F44-8634-54CF9B2134EE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49116738-E86E-584A-BCCD-6D61AF85AD5C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FADAC220-CE4B-EB40-A646-606637A7C1CB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CE43226C-EF19-CE49-98F0-1F60D9992484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8" xr16:uid="{A8029940-4FD4-A34C-984C-8298EF6D1A97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<sst xmlns="http://schemas.openxmlformats.org/spreadsheetml/2006/main" count="189" uniqueCount="28">
  <si>
    <t>Velocity (m/s)</t>
  </si>
  <si>
    <t>Q_steady (W)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</si>
  <si>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</si>
  <si>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</si>
  <si>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</si>
  <si>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</si>
  <si>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</si>
  <si>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</si>
  <si>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</si>
  <si>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</si>
  <si>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</si>
  <si>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</si>
  <si>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</si>
  <si>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</si>
  <si>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</si>
  <si>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</si>
  <si>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</si>
  <si>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44660.8694322918</t>
  </si>
  <si>
    <t>44660.8851030094</t>
  </si>
  <si>
    <t>44660.8943061344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</si>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</sst>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4BA99A-E4AE-3540-A603-42B2ED93C1A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92AC10-3DBD-DB4D-941F-14432928CD7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46EB6DB-E1B6-DA4E-8949-82696DF5E03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15C7C20-45C1-3540-B844-84661B6C465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C8C121-EF18-8A43-A72A-C4E94B7CD9C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D6C811-ED37-E049-9299-1CEB126F3D3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E8877A2-F29A-044C-902C-37EE8A7582D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FA61319-F80D-6E45-85C7-EA0E38327C4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A360C-EE9B-D045-A174-B9201BCDE491}" name="sheet1" displayName="sheet1" ref="A1:O39" tableType="queryTable" totalsRowShown="0">
  <autoFilter ref="A1:O39" xr:uid="{449A360C-EE9B-D045-A174-B9201BCDE491}"/>
  <tableColumns count="15">
    <tableColumn id="1" xr3:uid="{8BAF52DD-78B7-E24E-B975-4BB4BF5B73AA}" uniqueName="1" name="Time" queryTableFieldId="1"/>
    <tableColumn id="2" xr3:uid="{4222A054-C40F-C346-AA3E-8E36813485C9}" uniqueName="2" name="T1" queryTableFieldId="2"/>
    <tableColumn id="3" xr3:uid="{F3B12EF6-EFA5-7949-B95E-7309F6BF14FD}" uniqueName="3" name="T2" queryTableFieldId="3"/>
    <tableColumn id="4" xr3:uid="{2A7E8F46-58A8-A34B-991A-4BB22B97B02D}" uniqueName="4" name="T3" queryTableFieldId="4"/>
    <tableColumn id="5" xr3:uid="{23D67ADF-B0BF-404A-B930-4DE71E8F498D}" uniqueName="5" name="T4" queryTableFieldId="5"/>
    <tableColumn id="6" xr3:uid="{8D5F7B8D-F65B-4447-97E8-B1001120E633}" uniqueName="6" name="T5" queryTableFieldId="6"/>
    <tableColumn id="7" xr3:uid="{7A3AB3FB-2769-804B-B5F8-0DE373CA65DB}" uniqueName="7" name="T6" queryTableFieldId="7"/>
    <tableColumn id="8" xr3:uid="{0A22543C-051F-B442-A332-2151B2391561}" uniqueName="8" name="T7" queryTableFieldId="8"/>
    <tableColumn id="9" xr3:uid="{835B6871-DCE9-9843-8E73-CCAC81023663}" uniqueName="9" name="T8" queryTableFieldId="9"/>
    <tableColumn id="10" xr3:uid="{8A88A26A-FF1B-1F48-A66B-EA7F93231198}" uniqueName="10" name="RTD_IN" queryTableFieldId="10"/>
    <tableColumn id="11" xr3:uid="{6CBA0AC6-C41C-3B44-AAB2-65E1729F1780}" uniqueName="11" name="RTD_OUT" queryTableFieldId="11"/>
    <tableColumn id="12" xr3:uid="{869A6F22-793B-EF4A-9D8A-4A8E515D3B10}" uniqueName="12" name="DPT_TS" queryTableFieldId="12"/>
    <tableColumn id="13" xr3:uid="{54EA96DB-EB73-B549-95A0-A4302B9C03AF}" uniqueName="13" name="DPT_nozzle" queryTableFieldId="13"/>
    <tableColumn id="14" xr3:uid="{CB3C6592-3532-F648-9093-018DF1131C55}" uniqueName="14" name="Flow_gps" queryTableFieldId="14"/>
    <tableColumn id="15" xr3:uid="{5DB2DDB3-DDF8-4A44-B81E-E1559E295DD7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7D56E-8D32-3249-847A-981F8CCB25F9}" name="sheet1__2" displayName="sheet1__2" ref="A1:O54" tableType="queryTable" totalsRowShown="0">
  <autoFilter ref="A1:O54" xr:uid="{BB77D56E-8D32-3249-847A-981F8CCB25F9}"/>
  <tableColumns count="15">
    <tableColumn id="1" xr3:uid="{9F12937F-AB4E-0847-8C7E-5EF5C50B0FA0}" uniqueName="1" name="Time" queryTableFieldId="1"/>
    <tableColumn id="2" xr3:uid="{5FA5B620-9130-C741-98D5-18C0AA2BB8F6}" uniqueName="2" name="T1" queryTableFieldId="2"/>
    <tableColumn id="3" xr3:uid="{358F6704-90F3-9D4D-8E0D-8CC14260B0BF}" uniqueName="3" name="T2" queryTableFieldId="3"/>
    <tableColumn id="4" xr3:uid="{991CB1CD-AD55-7E43-96C3-220AED692A5D}" uniqueName="4" name="T3" queryTableFieldId="4"/>
    <tableColumn id="5" xr3:uid="{91D9EF0F-B830-AA4E-A52D-CC806B0CC6BB}" uniqueName="5" name="T4" queryTableFieldId="5"/>
    <tableColumn id="6" xr3:uid="{0262635E-F66C-4645-90FC-89A96DA4D14F}" uniqueName="6" name="T5" queryTableFieldId="6"/>
    <tableColumn id="7" xr3:uid="{CC7F6525-0A5B-9247-9F5D-B37549CB05F1}" uniqueName="7" name="T6" queryTableFieldId="7"/>
    <tableColumn id="8" xr3:uid="{176D22D3-10BC-DA4D-980A-35B889C9FE7A}" uniqueName="8" name="T7" queryTableFieldId="8"/>
    <tableColumn id="9" xr3:uid="{0F363DA7-66A7-FF47-AA46-5BD894CE4B6F}" uniqueName="9" name="T8" queryTableFieldId="9"/>
    <tableColumn id="10" xr3:uid="{3BBBE0DB-D688-BC4A-949F-C353CDFF3002}" uniqueName="10" name="RTD_IN" queryTableFieldId="10"/>
    <tableColumn id="11" xr3:uid="{2374F1DF-CB25-5C42-9289-5D60E9740CFB}" uniqueName="11" name="RTD_OUT" queryTableFieldId="11"/>
    <tableColumn id="12" xr3:uid="{5453FB49-9EA1-384F-B63F-8AFAD5FA8986}" uniqueName="12" name="DPT_TS" queryTableFieldId="12"/>
    <tableColumn id="13" xr3:uid="{382B1FFF-B241-2D4D-93B8-269A68344C07}" uniqueName="13" name="DPT_nozzle" queryTableFieldId="13"/>
    <tableColumn id="14" xr3:uid="{DFFA64F2-73F8-344F-945C-71D872B37E79}" uniqueName="14" name="Flow_gps" queryTableFieldId="14"/>
    <tableColumn id="15" xr3:uid="{155ABD23-A789-3243-AB65-5358991497ED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F3F14D-A70E-0940-A6B7-3FED47604727}" name="sheet1__3" displayName="sheet1__3" ref="A1:O25" tableType="queryTable" totalsRowShown="0">
  <autoFilter ref="A1:O25" xr:uid="{EAF3F14D-A70E-0940-A6B7-3FED47604727}"/>
  <tableColumns count="15">
    <tableColumn id="1" xr3:uid="{D5F4C932-9381-B047-A65E-87BE3CE675A6}" uniqueName="1" name="Time" queryTableFieldId="1"/>
    <tableColumn id="2" xr3:uid="{AD2BAC96-0B53-EB49-8C4B-849CC901E10A}" uniqueName="2" name="T1" queryTableFieldId="2"/>
    <tableColumn id="3" xr3:uid="{FA486BF7-6765-7446-8F02-AF4123CE339D}" uniqueName="3" name="T2" queryTableFieldId="3"/>
    <tableColumn id="4" xr3:uid="{925CF222-B1D6-AC48-90EA-2C255987D8B8}" uniqueName="4" name="T3" queryTableFieldId="4"/>
    <tableColumn id="5" xr3:uid="{3CFE58F3-4FF4-9448-8D5A-5D75027EECE8}" uniqueName="5" name="T4" queryTableFieldId="5"/>
    <tableColumn id="6" xr3:uid="{67896A3B-41D5-4347-8F38-75E4C2BD72FA}" uniqueName="6" name="T5" queryTableFieldId="6"/>
    <tableColumn id="7" xr3:uid="{38F263F1-D048-7B4B-A655-F72F5B121A96}" uniqueName="7" name="T6" queryTableFieldId="7"/>
    <tableColumn id="8" xr3:uid="{0E6DC5BC-82C4-D340-9262-8F805AA606AD}" uniqueName="8" name="T7" queryTableFieldId="8"/>
    <tableColumn id="9" xr3:uid="{06C2F717-96CB-404A-8089-4F63C463BB6D}" uniqueName="9" name="T8" queryTableFieldId="9"/>
    <tableColumn id="10" xr3:uid="{32514146-BD4B-9143-9C5C-8036834B0CC1}" uniqueName="10" name="RTD_IN" queryTableFieldId="10"/>
    <tableColumn id="11" xr3:uid="{D955042B-E010-914A-A2AC-5BF4FD0040BA}" uniqueName="11" name="RTD_OUT" queryTableFieldId="11"/>
    <tableColumn id="12" xr3:uid="{BF5044D1-C302-BC4F-8D12-B6665580D4A1}" uniqueName="12" name="DPT_TS" queryTableFieldId="12"/>
    <tableColumn id="13" xr3:uid="{659FAE80-E644-5C4D-B3C0-9AF3799F301A}" uniqueName="13" name="DPT_nozzle" queryTableFieldId="13"/>
    <tableColumn id="14" xr3:uid="{B52EB638-6133-874D-8224-6B1B7C84979B}" uniqueName="14" name="Flow_gps" queryTableFieldId="14"/>
    <tableColumn id="15" xr3:uid="{10557B12-A2DF-E34B-8005-9C0BFDE962FB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92ABF8-B82D-F14C-BD9E-D927F71A6B07}" name="sheet1__4" displayName="sheet1__4" ref="A1:O43" tableType="queryTable" totalsRowShown="0">
  <autoFilter ref="A1:O43" xr:uid="{D392ABF8-B82D-F14C-BD9E-D927F71A6B07}"/>
  <tableColumns count="15">
    <tableColumn id="1" xr3:uid="{644BF405-18D2-974A-824A-B950697A6956}" uniqueName="1" name="Time" queryTableFieldId="1"/>
    <tableColumn id="2" xr3:uid="{89743141-F935-9347-9966-06943F4D62B9}" uniqueName="2" name="T1" queryTableFieldId="2"/>
    <tableColumn id="3" xr3:uid="{13B1A3EF-F39A-DC46-9571-0CB63C08E2FB}" uniqueName="3" name="T2" queryTableFieldId="3"/>
    <tableColumn id="4" xr3:uid="{5C87FA29-2A20-4E4F-913F-E2F197F46E0B}" uniqueName="4" name="T3" queryTableFieldId="4"/>
    <tableColumn id="5" xr3:uid="{AF552DCE-2BB5-484D-BB51-B0E49A3D341E}" uniqueName="5" name="T4" queryTableFieldId="5"/>
    <tableColumn id="6" xr3:uid="{6C6541D5-1173-2B40-B8E9-CB9AD417CEF4}" uniqueName="6" name="T5" queryTableFieldId="6"/>
    <tableColumn id="7" xr3:uid="{77106686-3C97-4A4B-BB8A-5E3816E6DF18}" uniqueName="7" name="T6" queryTableFieldId="7"/>
    <tableColumn id="8" xr3:uid="{3A02F2F8-4CC3-534A-95E6-CBEA8AF2F937}" uniqueName="8" name="T7" queryTableFieldId="8"/>
    <tableColumn id="9" xr3:uid="{BFC67C7A-950C-1942-B38E-86D301AD37EE}" uniqueName="9" name="T8" queryTableFieldId="9"/>
    <tableColumn id="10" xr3:uid="{6F372AE9-073D-2A4C-BB62-2C24275B9459}" uniqueName="10" name="RTD_IN" queryTableFieldId="10"/>
    <tableColumn id="11" xr3:uid="{07A2B00C-5EA8-774D-BB44-4725E674A0E6}" uniqueName="11" name="RTD_OUT" queryTableFieldId="11"/>
    <tableColumn id="12" xr3:uid="{D41364C8-9332-4A41-A277-CAE38C9503F5}" uniqueName="12" name="DPT_TS" queryTableFieldId="12"/>
    <tableColumn id="13" xr3:uid="{88C76294-2B75-BA43-8AF6-C172D7E592DA}" uniqueName="13" name="DPT_nozzle" queryTableFieldId="13"/>
    <tableColumn id="14" xr3:uid="{A22D4DED-39B1-6043-B44B-C66EBACAA621}" uniqueName="14" name="Flow_gps" queryTableFieldId="14"/>
    <tableColumn id="15" xr3:uid="{2067265D-C1DB-6841-85EA-3FC96B442469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A645F6-2832-7949-A7D5-39977F957E61}" name="sheet1__5" displayName="sheet1__5" ref="A1:O32" tableType="queryTable" totalsRowShown="0">
  <autoFilter ref="A1:O32" xr:uid="{C2A645F6-2832-7949-A7D5-39977F957E61}"/>
  <tableColumns count="15">
    <tableColumn id="1" xr3:uid="{2C4C45A1-8CE5-7043-84BC-DC4EFC598F08}" uniqueName="1" name="Time" queryTableFieldId="1"/>
    <tableColumn id="2" xr3:uid="{F41C342D-806B-3344-A3A2-212D3D863A70}" uniqueName="2" name="T1" queryTableFieldId="2"/>
    <tableColumn id="3" xr3:uid="{BD9E2F05-1C00-1D4B-869C-507C9BE2ED6E}" uniqueName="3" name="T2" queryTableFieldId="3"/>
    <tableColumn id="4" xr3:uid="{AC9E835D-0C38-1D4F-85AA-D76C757A99DE}" uniqueName="4" name="T3" queryTableFieldId="4"/>
    <tableColumn id="5" xr3:uid="{FA655781-FC14-6D42-A2B7-B89E2EF4E3D7}" uniqueName="5" name="T4" queryTableFieldId="5"/>
    <tableColumn id="6" xr3:uid="{95308AF2-AF55-4F48-809B-78FFB8E7B28B}" uniqueName="6" name="T5" queryTableFieldId="6"/>
    <tableColumn id="7" xr3:uid="{6A404904-D9B2-1747-9291-2469545246AF}" uniqueName="7" name="T6" queryTableFieldId="7"/>
    <tableColumn id="8" xr3:uid="{001D6E86-509F-2544-8371-5C64E9CAA460}" uniqueName="8" name="T7" queryTableFieldId="8"/>
    <tableColumn id="9" xr3:uid="{31EEAA65-03CE-3B4C-972C-1D4CB48902F4}" uniqueName="9" name="T8" queryTableFieldId="9"/>
    <tableColumn id="10" xr3:uid="{5EB57AE2-668A-1A4D-8DDA-75E899ABA1F3}" uniqueName="10" name="RTD_IN" queryTableFieldId="10"/>
    <tableColumn id="11" xr3:uid="{7A7E7BDB-B821-CE4F-8AA5-DEA70B56B6F5}" uniqueName="11" name="RTD_OUT" queryTableFieldId="11"/>
    <tableColumn id="12" xr3:uid="{A607C9CA-5AA9-3345-A69F-37CF80A5AA2D}" uniqueName="12" name="DPT_TS" queryTableFieldId="12"/>
    <tableColumn id="13" xr3:uid="{F7DFFF0A-500A-494E-A86F-AB02730459C0}" uniqueName="13" name="DPT_nozzle" queryTableFieldId="13"/>
    <tableColumn id="14" xr3:uid="{542C01E2-4840-6A4F-B02E-C01DD2BAE325}" uniqueName="14" name="Flow_gps" queryTableFieldId="14"/>
    <tableColumn id="15" xr3:uid="{B9711A54-63E0-6945-BFA2-C08308BD7F22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11C905-8350-F84A-A758-2BD811F94AE6}" name="sheet1__6" displayName="sheet1__6" ref="A1:O57" tableType="queryTable" totalsRowShown="0">
  <autoFilter ref="A1:O57" xr:uid="{1811C905-8350-F84A-A758-2BD811F94AE6}"/>
  <tableColumns count="15">
    <tableColumn id="1" xr3:uid="{BCEF7E7F-E483-8B4A-836A-25CB93D20084}" uniqueName="1" name="Time" queryTableFieldId="1"/>
    <tableColumn id="2" xr3:uid="{5EDD7604-DF46-D845-92F4-7E27CE2B26BD}" uniqueName="2" name="T1" queryTableFieldId="2"/>
    <tableColumn id="3" xr3:uid="{D893D720-6CF0-6242-9874-116C115F1959}" uniqueName="3" name="T2" queryTableFieldId="3"/>
    <tableColumn id="4" xr3:uid="{F75663D9-A31D-554D-9476-DC68E35251F5}" uniqueName="4" name="T3" queryTableFieldId="4"/>
    <tableColumn id="5" xr3:uid="{E4102087-64E4-BA4C-9D7C-BD6E53E1C02F}" uniqueName="5" name="T4" queryTableFieldId="5"/>
    <tableColumn id="6" xr3:uid="{B94E7E8E-D7A0-E941-B48B-595BD592A6F3}" uniqueName="6" name="T5" queryTableFieldId="6"/>
    <tableColumn id="7" xr3:uid="{D72B2273-E393-3843-A008-4F2CA87911AE}" uniqueName="7" name="T6" queryTableFieldId="7"/>
    <tableColumn id="8" xr3:uid="{9D62BB19-DB34-6246-9F34-92F76666DDE9}" uniqueName="8" name="T7" queryTableFieldId="8"/>
    <tableColumn id="9" xr3:uid="{1DB457D2-9B43-0444-A4A8-D5D5DADA0D9A}" uniqueName="9" name="T8" queryTableFieldId="9"/>
    <tableColumn id="10" xr3:uid="{9A03329B-C919-EE4B-83F4-38087BB43823}" uniqueName="10" name="RTD_IN" queryTableFieldId="10"/>
    <tableColumn id="11" xr3:uid="{0D3F18DC-7DD0-1741-8F19-33AA24BAD575}" uniqueName="11" name="RTD_OUT" queryTableFieldId="11"/>
    <tableColumn id="12" xr3:uid="{0CDDCBE5-D3A3-2D49-B6ED-AEBC08AA3867}" uniqueName="12" name="DPT_TS" queryTableFieldId="12"/>
    <tableColumn id="13" xr3:uid="{99039F32-3FED-E549-ADEE-F78827F8835F}" uniqueName="13" name="DPT_nozzle" queryTableFieldId="13"/>
    <tableColumn id="14" xr3:uid="{903152B6-A162-444B-AB94-F5739763556C}" uniqueName="14" name="Flow_gps" queryTableFieldId="14"/>
    <tableColumn id="15" xr3:uid="{C46F92B6-FA7C-F243-918F-125C826770A9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D34899-D352-9845-AE67-B3CEAF324241}" name="sheet1__7" displayName="sheet1__7" ref="A1:O47" tableType="queryTable" totalsRowShown="0">
  <autoFilter ref="A1:O47" xr:uid="{15D34899-D352-9845-AE67-B3CEAF324241}"/>
  <tableColumns count="15">
    <tableColumn id="1" xr3:uid="{C837D5D8-6351-D540-B0A5-CAD0F6E1568F}" uniqueName="1" name="Time" queryTableFieldId="1"/>
    <tableColumn id="2" xr3:uid="{595A6ADD-A7D4-3346-B928-AF2F3239805A}" uniqueName="2" name="T1" queryTableFieldId="2"/>
    <tableColumn id="3" xr3:uid="{8ABC1A8E-FD09-D646-A22D-6339D948C3BD}" uniqueName="3" name="T2" queryTableFieldId="3"/>
    <tableColumn id="4" xr3:uid="{76D96803-0495-C545-8F75-41D3C9B800AB}" uniqueName="4" name="T3" queryTableFieldId="4"/>
    <tableColumn id="5" xr3:uid="{FE16D94E-398D-0C40-9681-F3216C8E9C40}" uniqueName="5" name="T4" queryTableFieldId="5"/>
    <tableColumn id="6" xr3:uid="{C88606BD-03B2-E447-811D-90E6CD7CEC0F}" uniqueName="6" name="T5" queryTableFieldId="6"/>
    <tableColumn id="7" xr3:uid="{E9F1DAED-EC02-094A-80B3-9E292EFE6917}" uniqueName="7" name="T6" queryTableFieldId="7"/>
    <tableColumn id="8" xr3:uid="{BB3232C5-595B-4243-93A8-245B4F021068}" uniqueName="8" name="T7" queryTableFieldId="8"/>
    <tableColumn id="9" xr3:uid="{D65671C1-E6AE-7641-BF31-820F7B376849}" uniqueName="9" name="T8" queryTableFieldId="9"/>
    <tableColumn id="10" xr3:uid="{FD61D287-FBF4-294C-9A70-3D3E2602E2B6}" uniqueName="10" name="RTD_IN" queryTableFieldId="10"/>
    <tableColumn id="11" xr3:uid="{D6502069-9E6D-7846-9650-E472B9E023B7}" uniqueName="11" name="RTD_OUT" queryTableFieldId="11"/>
    <tableColumn id="12" xr3:uid="{EC4D61B8-7B2E-7E49-A116-66775D893569}" uniqueName="12" name="DPT_TS" queryTableFieldId="12"/>
    <tableColumn id="13" xr3:uid="{0B4AD581-31F8-E040-9E29-306C31B95780}" uniqueName="13" name="DPT_nozzle" queryTableFieldId="13"/>
    <tableColumn id="14" xr3:uid="{1B0FB01E-709C-BA45-A2BC-FEF6A81AF210}" uniqueName="14" name="Flow_gps" queryTableFieldId="14"/>
    <tableColumn id="15" xr3:uid="{B0837E19-7211-A344-B0EF-4EDDDE293B56}" uniqueName="15" name="DP_liquid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779645-875A-8949-A634-EEB1CE5F17AE}" name="sheet1__8" displayName="sheet1__8" ref="A1:O51" tableType="queryTable" totalsRowShown="0">
  <autoFilter ref="A1:O51" xr:uid="{3A779645-875A-8949-A634-EEB1CE5F17AE}"/>
  <tableColumns count="15">
    <tableColumn id="1" xr3:uid="{1B9CF458-50D5-0B4D-9144-22E46A19E77B}" uniqueName="1" name="Time" queryTableFieldId="1"/>
    <tableColumn id="2" xr3:uid="{E0153612-C03B-4B4F-AF8D-C7B61F0154EA}" uniqueName="2" name="T1" queryTableFieldId="2"/>
    <tableColumn id="3" xr3:uid="{F165EF01-597A-1C4E-AA4D-F981689B7A30}" uniqueName="3" name="T2" queryTableFieldId="3"/>
    <tableColumn id="4" xr3:uid="{5DD63470-B2B5-5844-8582-6788ACBBE722}" uniqueName="4" name="T3" queryTableFieldId="4"/>
    <tableColumn id="5" xr3:uid="{5EDCA283-EBFB-894E-9892-3CA4DC0430DC}" uniqueName="5" name="T4" queryTableFieldId="5"/>
    <tableColumn id="6" xr3:uid="{F62492CA-75C6-A346-B153-7C807CD3C9F1}" uniqueName="6" name="T5" queryTableFieldId="6"/>
    <tableColumn id="7" xr3:uid="{0C15FE8F-FA3C-7A43-B8A4-01ED48BEA45E}" uniqueName="7" name="T6" queryTableFieldId="7"/>
    <tableColumn id="8" xr3:uid="{7047914D-03AE-D041-97F4-E70A68740572}" uniqueName="8" name="T7" queryTableFieldId="8"/>
    <tableColumn id="9" xr3:uid="{8A7DF315-A155-8249-8B3D-3E64F771A7EE}" uniqueName="9" name="T8" queryTableFieldId="9"/>
    <tableColumn id="10" xr3:uid="{BCF18487-951F-EA41-BFDD-F4F30A0EAF9A}" uniqueName="10" name="RTD_IN" queryTableFieldId="10"/>
    <tableColumn id="11" xr3:uid="{22762B9F-12F1-2C4D-9D97-76C104E19085}" uniqueName="11" name="RTD_OUT" queryTableFieldId="11"/>
    <tableColumn id="12" xr3:uid="{072434BC-E208-5D4B-BF19-62BE27AF5A74}" uniqueName="12" name="DPT_TS" queryTableFieldId="12"/>
    <tableColumn id="13" xr3:uid="{C973CEB3-2300-6A43-AB2E-0F0BB50EBFE3}" uniqueName="13" name="DPT_nozzle" queryTableFieldId="13"/>
    <tableColumn id="14" xr3:uid="{61582A78-C415-9F4C-B736-81C664E1A2C7}" uniqueName="14" name="Flow_gps" queryTableFieldId="14"/>
    <tableColumn id="15" xr3:uid="{39E498D8-155D-A74B-A1DB-B705A9F4D618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5F5A-B94C-8942-897C-70C82B9AC657}">
  <dimension ref="A1:B9"/>
  <sheetViews>
    <sheetView tabSelected="1" workbookViewId="0">
      <selection activeCell="B2" sqref="B2"/>
    </sheetView>
  </sheetViews>
  <sheetFormatPr baseColWidth="10" defaultRowHeight="16" x14ac:dyDescent="0.2"/>
  <cols>
    <col min="1" max="1" width="20.83203125" customWidth="1"/>
    <col min="2" max="2" width="2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275.80833409688296</v>
      </c>
    </row>
    <row r="3" spans="1:2" x14ac:dyDescent="0.2">
      <c r="A3" s="2">
        <v>2</v>
      </c>
      <c r="B3" s="2">
        <v>393.62823015770562</v>
      </c>
    </row>
    <row r="4" spans="1:2" x14ac:dyDescent="0.2">
      <c r="A4" s="2">
        <v>3</v>
      </c>
      <c r="B4" s="2">
        <v>475.46238284090987</v>
      </c>
    </row>
    <row r="5" spans="1:2" x14ac:dyDescent="0.2">
      <c r="A5" s="2">
        <v>4</v>
      </c>
      <c r="B5" s="2">
        <v>533.18434736365373</v>
      </c>
    </row>
    <row r="6" spans="1:2" x14ac:dyDescent="0.2">
      <c r="A6" s="2">
        <v>5</v>
      </c>
      <c r="B6" s="2">
        <v>582.63143745447621</v>
      </c>
    </row>
    <row r="7" spans="1:2" x14ac:dyDescent="0.2">
      <c r="A7" s="2">
        <v>6</v>
      </c>
      <c r="B7" s="2">
        <v>619.37411615765166</v>
      </c>
    </row>
    <row r="8" spans="1:2" x14ac:dyDescent="0.2">
      <c r="A8" s="2">
        <v>7</v>
      </c>
      <c r="B8" s="2">
        <v>646.51345867393752</v>
      </c>
    </row>
    <row r="9" spans="1:2" x14ac:dyDescent="0.2">
      <c r="A9" s="2">
        <v>8</v>
      </c>
      <c r="B9" s="2">
        <v>673.78193556774409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DBE6-23CC-EF41-AAA8-B237A8ADDEF8}">
  <dimension ref="A1:W39"/>
  <sheetViews>
    <sheetView workbookViewId="0">
      <selection activeCell="Y13" sqref="Y13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44660.863107639103</v>
      </c>
      <c r="B2">
        <v>20.518560999999998</v>
      </c>
      <c r="C2">
        <v>20.471032000000001</v>
      </c>
      <c r="D2">
        <v>20.311098000000001</v>
      </c>
      <c r="E2">
        <v>20.352274999999999</v>
      </c>
      <c r="F2">
        <v>46.326946</v>
      </c>
      <c r="G2">
        <v>47.997436</v>
      </c>
      <c r="H2">
        <v>37.720432000000002</v>
      </c>
      <c r="I2">
        <v>28.730188999999999</v>
      </c>
      <c r="J2">
        <v>56.517493000000002</v>
      </c>
      <c r="K2">
        <v>54.654586999999999</v>
      </c>
      <c r="L2">
        <v>6.2889239999999997</v>
      </c>
      <c r="M2">
        <v>-622.48897999999997</v>
      </c>
      <c r="N2">
        <v>2.1616149999999998</v>
      </c>
      <c r="O2">
        <v>14.841492000000001</v>
      </c>
      <c r="P2">
        <f t="shared" ref="P2:P65" si="0" xml:space="preserve"> N2*0.001/60</f>
        <v>3.6026916666666669E-5</v>
      </c>
      <c r="Q2" cm="1">
        <f t="array" ref="Q2">[1]!PropsSI("D","T",J2+273.15,"P",101325,"Water")</f>
        <v>984.95121588929942</v>
      </c>
      <c r="R2" cm="1">
        <f t="array" ref="R2">[1]!PropsSI("D","T",K2+273.15,"P",101325,"Water")</f>
        <v>985.85996278008133</v>
      </c>
      <c r="S2">
        <f t="shared" ref="S2:S65" si="1">(Q2+R2)/2</f>
        <v>985.40558933469038</v>
      </c>
      <c r="T2" cm="1">
        <f t="array" ref="T2">[1]!PropsSI("H","T",J2+273.15,"P",101325,"Water")</f>
        <v>236677.10750078302</v>
      </c>
      <c r="U2" cm="1">
        <f t="array" ref="U2">[1]!PropsSI("H","T",K2+273.15,"P",101325,"Water")</f>
        <v>228884.24884752862</v>
      </c>
      <c r="V2">
        <f t="shared" ref="V2:V65" si="2">S2*P2*(T2-U2)</f>
        <v>276.65524954482214</v>
      </c>
      <c r="W2" s="2">
        <f>AVERAGE(V2:V39)</f>
        <v>275.80833409688296</v>
      </c>
    </row>
    <row r="3" spans="1:23" x14ac:dyDescent="0.2">
      <c r="A3">
        <v>44660.8631655094</v>
      </c>
      <c r="B3">
        <v>20.519241000000001</v>
      </c>
      <c r="C3">
        <v>20.469617</v>
      </c>
      <c r="D3">
        <v>20.320824999999999</v>
      </c>
      <c r="E3">
        <v>20.363969000000001</v>
      </c>
      <c r="F3">
        <v>45.942162000000003</v>
      </c>
      <c r="G3">
        <v>48.098782</v>
      </c>
      <c r="H3">
        <v>37.932102999999998</v>
      </c>
      <c r="I3">
        <v>29.140053000000002</v>
      </c>
      <c r="J3">
        <v>56.517175000000002</v>
      </c>
      <c r="K3">
        <v>54.655383</v>
      </c>
      <c r="L3">
        <v>5.1318400000000004</v>
      </c>
      <c r="M3">
        <v>-622.49306200000001</v>
      </c>
      <c r="N3">
        <v>2.151329</v>
      </c>
      <c r="O3">
        <v>14.819711</v>
      </c>
      <c r="P3">
        <f t="shared" si="0"/>
        <v>3.5855483333333332E-5</v>
      </c>
      <c r="Q3" cm="1">
        <f t="array" ref="Q3">[1]!PropsSI("D","T",J3+273.15,"P",101325,"Water")</f>
        <v>984.95137283485906</v>
      </c>
      <c r="R3" cm="1">
        <f t="array" ref="R3">[1]!PropsSI("D","T",K3+273.15,"P",101325,"Water")</f>
        <v>985.85957906996157</v>
      </c>
      <c r="S3">
        <f t="shared" si="1"/>
        <v>985.40547595241037</v>
      </c>
      <c r="T3" cm="1">
        <f t="array" ref="T3">[1]!PropsSI("H","T",J3+273.15,"P",101325,"Water")</f>
        <v>236675.77714053038</v>
      </c>
      <c r="U3" cm="1">
        <f t="array" ref="U3">[1]!PropsSI("H","T",K3+273.15,"P",101325,"Water")</f>
        <v>228887.5783822026</v>
      </c>
      <c r="V3">
        <f t="shared" si="2"/>
        <v>275.17411532426956</v>
      </c>
      <c r="W3" s="2"/>
    </row>
    <row r="4" spans="1:23" x14ac:dyDescent="0.2">
      <c r="A4">
        <v>44660.863223958499</v>
      </c>
      <c r="B4">
        <v>20.490053</v>
      </c>
      <c r="C4">
        <v>20.450189999999999</v>
      </c>
      <c r="D4">
        <v>20.31231</v>
      </c>
      <c r="E4">
        <v>20.349568999999999</v>
      </c>
      <c r="F4">
        <v>46.571536999999999</v>
      </c>
      <c r="G4">
        <v>47.56427</v>
      </c>
      <c r="H4">
        <v>37.359509000000003</v>
      </c>
      <c r="I4">
        <v>28.937484000000001</v>
      </c>
      <c r="J4">
        <v>56.516537999999997</v>
      </c>
      <c r="K4">
        <v>54.657133000000002</v>
      </c>
      <c r="L4">
        <v>4.6816579999999997</v>
      </c>
      <c r="M4">
        <v>-622.493878</v>
      </c>
      <c r="N4">
        <v>2.1581809999999999</v>
      </c>
      <c r="O4">
        <v>14.827577</v>
      </c>
      <c r="P4">
        <f t="shared" si="0"/>
        <v>3.5969683333333332E-5</v>
      </c>
      <c r="Q4" cm="1">
        <f t="array" ref="Q4">[1]!PropsSI("D","T",J4+273.15,"P",101325,"Water")</f>
        <v>984.95168721770722</v>
      </c>
      <c r="R4" cm="1">
        <f t="array" ref="R4">[1]!PropsSI("D","T",K4+273.15,"P",101325,"Water")</f>
        <v>985.85873547225231</v>
      </c>
      <c r="S4">
        <f t="shared" si="1"/>
        <v>985.40521134497976</v>
      </c>
      <c r="T4" cm="1">
        <f t="array" ref="T4">[1]!PropsSI("H","T",J4+273.15,"P",101325,"Water")</f>
        <v>236673.11223655485</v>
      </c>
      <c r="U4" cm="1">
        <f t="array" ref="U4">[1]!PropsSI("H","T",K4+273.15,"P",101325,"Water")</f>
        <v>228894.89834005208</v>
      </c>
      <c r="V4">
        <f t="shared" si="2"/>
        <v>275.69656238062692</v>
      </c>
      <c r="W4" s="2"/>
    </row>
    <row r="5" spans="1:23" x14ac:dyDescent="0.2">
      <c r="A5">
        <v>44660.863281828897</v>
      </c>
      <c r="B5">
        <v>20.485434999999999</v>
      </c>
      <c r="C5">
        <v>20.452807</v>
      </c>
      <c r="D5">
        <v>20.305409999999998</v>
      </c>
      <c r="E5">
        <v>20.345956000000001</v>
      </c>
      <c r="F5">
        <v>46.088886000000002</v>
      </c>
      <c r="G5">
        <v>47.619681999999997</v>
      </c>
      <c r="H5">
        <v>37.956643</v>
      </c>
      <c r="I5">
        <v>29.379518000000001</v>
      </c>
      <c r="J5">
        <v>56.517015999999998</v>
      </c>
      <c r="K5">
        <v>54.658405999999999</v>
      </c>
      <c r="L5">
        <v>7.095415</v>
      </c>
      <c r="M5">
        <v>-622.49020499999995</v>
      </c>
      <c r="N5">
        <v>2.163389</v>
      </c>
      <c r="O5">
        <v>15.054641</v>
      </c>
      <c r="P5">
        <f t="shared" si="0"/>
        <v>3.6056483333333333E-5</v>
      </c>
      <c r="Q5" cm="1">
        <f t="array" ref="Q5">[1]!PropsSI("D","T",J5+273.15,"P",101325,"Water")</f>
        <v>984.95145130745061</v>
      </c>
      <c r="R5" cm="1">
        <f t="array" ref="R5">[1]!PropsSI("D","T",K5+273.15,"P",101325,"Water")</f>
        <v>985.85812180316202</v>
      </c>
      <c r="S5">
        <f t="shared" si="1"/>
        <v>985.40478655530637</v>
      </c>
      <c r="T5" cm="1">
        <f t="array" ref="T5">[1]!PropsSI("H","T",J5+273.15,"P",101325,"Water")</f>
        <v>236675.11196035668</v>
      </c>
      <c r="U5" cm="1">
        <f t="array" ref="U5">[1]!PropsSI("H","T",K5+273.15,"P",101325,"Water")</f>
        <v>228900.22308725672</v>
      </c>
      <c r="V5">
        <f t="shared" si="2"/>
        <v>276.24359970550933</v>
      </c>
      <c r="W5" s="2"/>
    </row>
    <row r="6" spans="1:23" x14ac:dyDescent="0.2">
      <c r="A6">
        <v>46122.863339699077</v>
      </c>
      <c r="B6">
        <v>20.479680999999999</v>
      </c>
      <c r="C6">
        <v>20.444780000000002</v>
      </c>
      <c r="D6">
        <v>20.308294</v>
      </c>
      <c r="E6">
        <v>20.33296</v>
      </c>
      <c r="F6">
        <v>46.388981999999999</v>
      </c>
      <c r="G6">
        <v>47.661969999999997</v>
      </c>
      <c r="H6">
        <v>37.455969000000003</v>
      </c>
      <c r="I6">
        <v>29.256191999999999</v>
      </c>
      <c r="J6">
        <v>56.517651999999998</v>
      </c>
      <c r="K6">
        <v>54.656497000000002</v>
      </c>
      <c r="L6">
        <v>6.5668699999999998</v>
      </c>
      <c r="M6">
        <v>-622.47224600000004</v>
      </c>
      <c r="N6">
        <v>2.1602459999999999</v>
      </c>
      <c r="O6">
        <v>15.481293000000001</v>
      </c>
      <c r="P6">
        <f t="shared" si="0"/>
        <v>3.6004099999999996E-5</v>
      </c>
      <c r="Q6" cm="1">
        <f t="array" ref="Q6">[1]!PropsSI("D","T",J6+273.15,"P",101325,"Water")</f>
        <v>984.9511374162829</v>
      </c>
      <c r="R6" cm="1">
        <f t="array" ref="R6">[1]!PropsSI("D","T",K6+273.15,"P",101325,"Water")</f>
        <v>985.85904206195892</v>
      </c>
      <c r="S6">
        <f t="shared" si="1"/>
        <v>985.40508973912097</v>
      </c>
      <c r="T6" cm="1">
        <f t="array" ref="T6">[1]!PropsSI("H","T",J6+273.15,"P",101325,"Water")</f>
        <v>236677.7726809078</v>
      </c>
      <c r="U6" cm="1">
        <f t="array" ref="U6">[1]!PropsSI("H","T",K6+273.15,"P",101325,"Water")</f>
        <v>228892.23805813771</v>
      </c>
      <c r="V6">
        <f t="shared" si="2"/>
        <v>276.22005078255955</v>
      </c>
      <c r="W6" s="2"/>
    </row>
    <row r="7" spans="1:23" x14ac:dyDescent="0.2">
      <c r="A7">
        <v>46122.863398148147</v>
      </c>
      <c r="B7">
        <v>20.465513000000001</v>
      </c>
      <c r="C7">
        <v>20.440712000000001</v>
      </c>
      <c r="D7">
        <v>20.298424000000001</v>
      </c>
      <c r="E7">
        <v>20.342258000000001</v>
      </c>
      <c r="F7">
        <v>46.046261999999999</v>
      </c>
      <c r="G7">
        <v>47.430007000000003</v>
      </c>
      <c r="H7">
        <v>37.757936000000001</v>
      </c>
      <c r="I7">
        <v>28.822265999999999</v>
      </c>
      <c r="J7">
        <v>56.517651999999998</v>
      </c>
      <c r="K7">
        <v>54.658565000000003</v>
      </c>
      <c r="L7">
        <v>6.5476869999999998</v>
      </c>
      <c r="M7">
        <v>-622.49632699999995</v>
      </c>
      <c r="N7">
        <v>2.161832</v>
      </c>
      <c r="O7">
        <v>14.811489</v>
      </c>
      <c r="P7">
        <f t="shared" si="0"/>
        <v>3.6030533333333333E-5</v>
      </c>
      <c r="Q7" cm="1">
        <f t="array" ref="Q7">[1]!PropsSI("D","T",J7+273.15,"P",101325,"Water")</f>
        <v>984.9511374162829</v>
      </c>
      <c r="R7" cm="1">
        <f t="array" ref="R7">[1]!PropsSI("D","T",K7+273.15,"P",101325,"Water")</f>
        <v>985.85804515409916</v>
      </c>
      <c r="S7">
        <f t="shared" si="1"/>
        <v>985.40459128519103</v>
      </c>
      <c r="T7" cm="1">
        <f t="array" ref="T7">[1]!PropsSI("H","T",J7+273.15,"P",101325,"Water")</f>
        <v>236677.7726809078</v>
      </c>
      <c r="U7" cm="1">
        <f t="array" ref="U7">[1]!PropsSI("H","T",K7+273.15,"P",101325,"Water")</f>
        <v>228900.88815780429</v>
      </c>
      <c r="V7">
        <f t="shared" si="2"/>
        <v>276.11558620482396</v>
      </c>
      <c r="W7" s="2"/>
    </row>
    <row r="8" spans="1:23" x14ac:dyDescent="0.2">
      <c r="A8">
        <v>46122.863456597224</v>
      </c>
      <c r="B8">
        <v>20.468938000000001</v>
      </c>
      <c r="C8">
        <v>20.425073000000001</v>
      </c>
      <c r="D8">
        <v>20.283716999999999</v>
      </c>
      <c r="E8">
        <v>20.326094000000001</v>
      </c>
      <c r="F8">
        <v>46.379618999999998</v>
      </c>
      <c r="G8">
        <v>47.331684000000003</v>
      </c>
      <c r="H8">
        <v>37.521712000000001</v>
      </c>
      <c r="I8">
        <v>28.826291000000001</v>
      </c>
      <c r="J8">
        <v>56.517811999999999</v>
      </c>
      <c r="K8">
        <v>54.659041999999999</v>
      </c>
      <c r="L8">
        <v>6.3448399999999996</v>
      </c>
      <c r="M8">
        <v>-622.50489800000003</v>
      </c>
      <c r="N8">
        <v>2.1642739999999998</v>
      </c>
      <c r="O8">
        <v>14.646134999999999</v>
      </c>
      <c r="P8">
        <f t="shared" si="0"/>
        <v>3.6071233333333335E-5</v>
      </c>
      <c r="Q8" cm="1">
        <f t="array" ref="Q8">[1]!PropsSI("D","T",J8+273.15,"P",101325,"Water")</f>
        <v>984.95105844956936</v>
      </c>
      <c r="R8" cm="1">
        <f t="array" ref="R8">[1]!PropsSI("D","T",K8+273.15,"P",101325,"Water")</f>
        <v>985.85781520589478</v>
      </c>
      <c r="S8">
        <f t="shared" si="1"/>
        <v>985.40443682773207</v>
      </c>
      <c r="T8" cm="1">
        <f t="array" ref="T8">[1]!PropsSI("H","T",J8+273.15,"P",101325,"Water")</f>
        <v>236678.44204460285</v>
      </c>
      <c r="U8" cm="1">
        <f t="array" ref="U8">[1]!PropsSI("H","T",K8+273.15,"P",101325,"Water")</f>
        <v>228902.88336963952</v>
      </c>
      <c r="V8">
        <f t="shared" si="2"/>
        <v>276.38031540398947</v>
      </c>
      <c r="W8" s="2"/>
    </row>
    <row r="9" spans="1:23" x14ac:dyDescent="0.2">
      <c r="A9">
        <v>46122.863514467594</v>
      </c>
      <c r="B9">
        <v>20.449323</v>
      </c>
      <c r="C9">
        <v>20.436496999999999</v>
      </c>
      <c r="D9">
        <v>20.288174999999999</v>
      </c>
      <c r="E9">
        <v>20.326371999999999</v>
      </c>
      <c r="F9">
        <v>45.965601999999997</v>
      </c>
      <c r="G9">
        <v>47.112991999999998</v>
      </c>
      <c r="H9">
        <v>38.358178000000002</v>
      </c>
      <c r="I9">
        <v>29.204017</v>
      </c>
      <c r="J9">
        <v>56.518289000000003</v>
      </c>
      <c r="K9">
        <v>54.659838000000001</v>
      </c>
      <c r="L9">
        <v>5.6383450000000002</v>
      </c>
      <c r="M9">
        <v>-622.48122499999999</v>
      </c>
      <c r="N9">
        <v>2.1598609999999998</v>
      </c>
      <c r="O9">
        <v>15.030609999999999</v>
      </c>
      <c r="P9">
        <f t="shared" si="0"/>
        <v>3.5997683333333333E-5</v>
      </c>
      <c r="Q9" cm="1">
        <f t="array" ref="Q9">[1]!PropsSI("D","T",J9+273.15,"P",101325,"Water")</f>
        <v>984.95082302910635</v>
      </c>
      <c r="R9" cm="1">
        <f t="array" ref="R9">[1]!PropsSI("D","T",K9+273.15,"P",101325,"Water")</f>
        <v>985.85743147366566</v>
      </c>
      <c r="S9">
        <f t="shared" si="1"/>
        <v>985.40412725138594</v>
      </c>
      <c r="T9" cm="1">
        <f t="array" ref="T9">[1]!PropsSI("H","T",J9+273.15,"P",101325,"Water")</f>
        <v>236680.43758515976</v>
      </c>
      <c r="U9" cm="1">
        <f t="array" ref="U9">[1]!PropsSI("H","T",K9+273.15,"P",101325,"Water")</f>
        <v>228906.21290564237</v>
      </c>
      <c r="V9">
        <f t="shared" si="2"/>
        <v>275.76936366222208</v>
      </c>
      <c r="W9" s="2"/>
    </row>
    <row r="10" spans="1:23" x14ac:dyDescent="0.2">
      <c r="A10">
        <v>44660.863572338101</v>
      </c>
      <c r="B10">
        <v>20.447944</v>
      </c>
      <c r="C10">
        <v>20.408897</v>
      </c>
      <c r="D10">
        <v>20.277524</v>
      </c>
      <c r="E10">
        <v>20.320884</v>
      </c>
      <c r="F10">
        <v>46.996428999999999</v>
      </c>
      <c r="G10">
        <v>47.312924000000002</v>
      </c>
      <c r="H10">
        <v>38.881357999999999</v>
      </c>
      <c r="I10">
        <v>28.738714000000002</v>
      </c>
      <c r="J10">
        <v>56.517651999999998</v>
      </c>
      <c r="K10">
        <v>54.661110999999998</v>
      </c>
      <c r="L10">
        <v>6.3285140000000002</v>
      </c>
      <c r="M10">
        <v>-622.50489800000003</v>
      </c>
      <c r="N10">
        <v>2.1574550000000001</v>
      </c>
      <c r="O10">
        <v>14.847478000000001</v>
      </c>
      <c r="P10">
        <f t="shared" si="0"/>
        <v>3.5957583333333333E-5</v>
      </c>
      <c r="Q10" cm="1">
        <f t="array" ref="Q10">[1]!PropsSI("D","T",J10+273.15,"P",101325,"Water")</f>
        <v>984.9511374162829</v>
      </c>
      <c r="R10" cm="1">
        <f t="array" ref="R10">[1]!PropsSI("D","T",K10+273.15,"P",101325,"Water")</f>
        <v>985.85681778312971</v>
      </c>
      <c r="S10">
        <f t="shared" si="1"/>
        <v>985.40397759970631</v>
      </c>
      <c r="T10" cm="1">
        <f t="array" ref="T10">[1]!PropsSI("H","T",J10+273.15,"P",101325,"Water")</f>
        <v>236677.7726809078</v>
      </c>
      <c r="U10" cm="1">
        <f t="array" ref="U10">[1]!PropsSI("H","T",K10+273.15,"P",101325,"Water")</f>
        <v>228911.5376540756</v>
      </c>
      <c r="V10">
        <f t="shared" si="2"/>
        <v>275.17903029816074</v>
      </c>
    </row>
    <row r="11" spans="1:23" x14ac:dyDescent="0.2">
      <c r="A11">
        <v>44660.8636302085</v>
      </c>
      <c r="B11">
        <v>20.463075</v>
      </c>
      <c r="C11">
        <v>20.447581</v>
      </c>
      <c r="D11">
        <v>20.296006999999999</v>
      </c>
      <c r="E11">
        <v>20.335272</v>
      </c>
      <c r="F11">
        <v>46.140070999999999</v>
      </c>
      <c r="G11">
        <v>47.828924999999998</v>
      </c>
      <c r="H11">
        <v>37.329785999999999</v>
      </c>
      <c r="I11">
        <v>28.995168</v>
      </c>
      <c r="J11">
        <v>56.516537999999997</v>
      </c>
      <c r="K11">
        <v>54.658247000000003</v>
      </c>
      <c r="L11">
        <v>6.7248210000000004</v>
      </c>
      <c r="M11">
        <v>-622.47224600000004</v>
      </c>
      <c r="N11">
        <v>2.1563780000000001</v>
      </c>
      <c r="O11">
        <v>14.458186</v>
      </c>
      <c r="P11">
        <f t="shared" si="0"/>
        <v>3.5939633333333331E-5</v>
      </c>
      <c r="Q11" cm="1">
        <f t="array" ref="Q11">[1]!PropsSI("D","T",J11+273.15,"P",101325,"Water")</f>
        <v>984.95168721770722</v>
      </c>
      <c r="R11" cm="1">
        <f t="array" ref="R11">[1]!PropsSI("D","T",K11+273.15,"P",101325,"Water")</f>
        <v>985.85819845210835</v>
      </c>
      <c r="S11">
        <f t="shared" si="1"/>
        <v>985.40494283490784</v>
      </c>
      <c r="T11" cm="1">
        <f t="array" ref="T11">[1]!PropsSI("H","T",J11+273.15,"P",101325,"Water")</f>
        <v>236673.11223655485</v>
      </c>
      <c r="U11" cm="1">
        <f t="array" ref="U11">[1]!PropsSI("H","T",K11+273.15,"P",101325,"Water")</f>
        <v>228899.55801668856</v>
      </c>
      <c r="V11">
        <f t="shared" si="2"/>
        <v>275.30114043147557</v>
      </c>
    </row>
    <row r="12" spans="1:23" x14ac:dyDescent="0.2">
      <c r="A12">
        <v>44660.863688657599</v>
      </c>
      <c r="B12">
        <v>20.445419000000001</v>
      </c>
      <c r="C12">
        <v>20.426126</v>
      </c>
      <c r="D12">
        <v>20.283608000000001</v>
      </c>
      <c r="E12">
        <v>20.318406</v>
      </c>
      <c r="F12">
        <v>45.818843999999999</v>
      </c>
      <c r="G12">
        <v>47.464302000000004</v>
      </c>
      <c r="H12">
        <v>38.823290999999998</v>
      </c>
      <c r="I12">
        <v>29.411698999999999</v>
      </c>
      <c r="J12">
        <v>56.516537999999997</v>
      </c>
      <c r="K12">
        <v>54.657929000000003</v>
      </c>
      <c r="L12">
        <v>6.203214</v>
      </c>
      <c r="M12">
        <v>-622.47918500000003</v>
      </c>
      <c r="N12">
        <v>2.1614100000000001</v>
      </c>
      <c r="O12">
        <v>14.743515</v>
      </c>
      <c r="P12">
        <f t="shared" si="0"/>
        <v>3.6023499999999998E-5</v>
      </c>
      <c r="Q12" cm="1">
        <f t="array" ref="Q12">[1]!PropsSI("D","T",J12+273.15,"P",101325,"Water")</f>
        <v>984.95168721770722</v>
      </c>
      <c r="R12" cm="1">
        <f t="array" ref="R12">[1]!PropsSI("D","T",K12+273.15,"P",101325,"Water")</f>
        <v>985.85835174947795</v>
      </c>
      <c r="S12">
        <f t="shared" si="1"/>
        <v>985.40501948359258</v>
      </c>
      <c r="T12" cm="1">
        <f t="array" ref="T12">[1]!PropsSI("H","T",J12+273.15,"P",101325,"Water")</f>
        <v>236673.11223655485</v>
      </c>
      <c r="U12" cm="1">
        <f t="array" ref="U12">[1]!PropsSI("H","T",K12+273.15,"P",101325,"Water")</f>
        <v>228898.22787560947</v>
      </c>
      <c r="V12">
        <f t="shared" si="2"/>
        <v>275.99080584324878</v>
      </c>
    </row>
    <row r="13" spans="1:23" x14ac:dyDescent="0.2">
      <c r="A13">
        <v>44660.863747106698</v>
      </c>
      <c r="B13">
        <v>20.449472</v>
      </c>
      <c r="C13">
        <v>20.432699</v>
      </c>
      <c r="D13">
        <v>20.296679000000001</v>
      </c>
      <c r="E13">
        <v>20.323761999999999</v>
      </c>
      <c r="F13">
        <v>46.475524999999998</v>
      </c>
      <c r="G13">
        <v>47.337547999999998</v>
      </c>
      <c r="H13">
        <v>37.816445999999999</v>
      </c>
      <c r="I13">
        <v>28.816669999999998</v>
      </c>
      <c r="J13">
        <v>56.516855999999997</v>
      </c>
      <c r="K13">
        <v>54.658087999999999</v>
      </c>
      <c r="L13">
        <v>6.9684819999999998</v>
      </c>
      <c r="M13">
        <v>-622.51346899999999</v>
      </c>
      <c r="N13">
        <v>2.160533</v>
      </c>
      <c r="O13">
        <v>14.697703000000001</v>
      </c>
      <c r="P13">
        <f t="shared" si="0"/>
        <v>3.6008883333333337E-5</v>
      </c>
      <c r="Q13" cm="1">
        <f t="array" ref="Q13">[1]!PropsSI("D","T",J13+273.15,"P",101325,"Water")</f>
        <v>984.95153027336698</v>
      </c>
      <c r="R13" cm="1">
        <f t="array" ref="R13">[1]!PropsSI("D","T",K13+273.15,"P",101325,"Water")</f>
        <v>985.85827510086767</v>
      </c>
      <c r="S13">
        <f t="shared" si="1"/>
        <v>985.40490268711733</v>
      </c>
      <c r="T13" cm="1">
        <f t="array" ref="T13">[1]!PropsSI("H","T",J13+273.15,"P",101325,"Water")</f>
        <v>236674.44259675249</v>
      </c>
      <c r="U13" cm="1">
        <f t="array" ref="U13">[1]!PropsSI("H","T",K13+273.15,"P",101325,"Water")</f>
        <v>228898.89294611433</v>
      </c>
      <c r="V13">
        <f t="shared" si="2"/>
        <v>275.90239556090171</v>
      </c>
    </row>
    <row r="14" spans="1:23" x14ac:dyDescent="0.2">
      <c r="A14">
        <v>44660.863804977002</v>
      </c>
      <c r="B14">
        <v>20.463716000000002</v>
      </c>
      <c r="C14">
        <v>20.441716</v>
      </c>
      <c r="D14">
        <v>20.302909</v>
      </c>
      <c r="E14">
        <v>20.337278999999999</v>
      </c>
      <c r="F14">
        <v>46.013812999999999</v>
      </c>
      <c r="G14">
        <v>47.940902999999999</v>
      </c>
      <c r="H14">
        <v>38.203004</v>
      </c>
      <c r="I14">
        <v>29.241544999999999</v>
      </c>
      <c r="J14">
        <v>56.517493000000002</v>
      </c>
      <c r="K14">
        <v>54.656655999999998</v>
      </c>
      <c r="L14">
        <v>5.0889850000000001</v>
      </c>
      <c r="M14">
        <v>-622.50653</v>
      </c>
      <c r="N14">
        <v>2.1637209999999998</v>
      </c>
      <c r="O14">
        <v>14.751787999999999</v>
      </c>
      <c r="P14">
        <f t="shared" si="0"/>
        <v>3.6062016666666665E-5</v>
      </c>
      <c r="Q14" cm="1">
        <f t="array" ref="Q14">[1]!PropsSI("D","T",J14+273.15,"P",101325,"Water")</f>
        <v>984.95121588929942</v>
      </c>
      <c r="R14" cm="1">
        <f t="array" ref="R14">[1]!PropsSI("D","T",K14+273.15,"P",101325,"Water")</f>
        <v>985.85896541477223</v>
      </c>
      <c r="S14">
        <f t="shared" si="1"/>
        <v>985.40509065203582</v>
      </c>
      <c r="T14" cm="1">
        <f t="array" ref="T14">[1]!PropsSI("H","T",J14+273.15,"P",101325,"Water")</f>
        <v>236677.10750078302</v>
      </c>
      <c r="U14" cm="1">
        <f t="array" ref="U14">[1]!PropsSI("H","T",K14+273.15,"P",101325,"Water")</f>
        <v>228892.90312860656</v>
      </c>
      <c r="V14">
        <f t="shared" si="2"/>
        <v>276.61711085004151</v>
      </c>
    </row>
    <row r="15" spans="1:23" x14ac:dyDescent="0.2">
      <c r="A15">
        <v>46122.863863425926</v>
      </c>
      <c r="B15">
        <v>20.458552000000001</v>
      </c>
      <c r="C15">
        <v>20.410129999999999</v>
      </c>
      <c r="D15">
        <v>20.283864000000001</v>
      </c>
      <c r="E15">
        <v>20.331523000000001</v>
      </c>
      <c r="F15">
        <v>46.641694000000001</v>
      </c>
      <c r="G15">
        <v>47.450713</v>
      </c>
      <c r="H15">
        <v>37.526876999999999</v>
      </c>
      <c r="I15">
        <v>29.230352</v>
      </c>
      <c r="J15">
        <v>56.518607000000003</v>
      </c>
      <c r="K15">
        <v>54.660314999999997</v>
      </c>
      <c r="L15">
        <v>5.6297740000000003</v>
      </c>
      <c r="M15">
        <v>-622.49795900000004</v>
      </c>
      <c r="N15">
        <v>2.1626150000000002</v>
      </c>
      <c r="O15">
        <v>14.846728000000001</v>
      </c>
      <c r="P15">
        <f t="shared" si="0"/>
        <v>3.6043583333333338E-5</v>
      </c>
      <c r="Q15" cm="1">
        <f t="array" ref="Q15">[1]!PropsSI("D","T",J15+273.15,"P",101325,"Water")</f>
        <v>984.95066608138086</v>
      </c>
      <c r="R15" cm="1">
        <f t="array" ref="R15">[1]!PropsSI("D","T",K15+273.15,"P",101325,"Water")</f>
        <v>985.85720152168778</v>
      </c>
      <c r="S15">
        <f t="shared" si="1"/>
        <v>985.40393380153432</v>
      </c>
      <c r="T15" cm="1">
        <f t="array" ref="T15">[1]!PropsSI("H","T",J15+273.15,"P",101325,"Water")</f>
        <v>236681.76794555481</v>
      </c>
      <c r="U15" cm="1">
        <f t="array" ref="U15">[1]!PropsSI("H","T",K15+273.15,"P",101325,"Water")</f>
        <v>228908.20811769043</v>
      </c>
      <c r="V15">
        <f t="shared" si="2"/>
        <v>276.09732416093811</v>
      </c>
    </row>
    <row r="16" spans="1:23" x14ac:dyDescent="0.2">
      <c r="A16">
        <v>46122.863921875003</v>
      </c>
      <c r="B16">
        <v>20.454103</v>
      </c>
      <c r="C16">
        <v>20.429165999999999</v>
      </c>
      <c r="D16">
        <v>20.283861999999999</v>
      </c>
      <c r="E16">
        <v>20.314982000000001</v>
      </c>
      <c r="F16">
        <v>46.491044000000002</v>
      </c>
      <c r="G16">
        <v>47.225637999999996</v>
      </c>
      <c r="H16">
        <v>37.870914999999997</v>
      </c>
      <c r="I16">
        <v>29.173310000000001</v>
      </c>
      <c r="J16">
        <v>56.520518000000003</v>
      </c>
      <c r="K16">
        <v>54.663497</v>
      </c>
      <c r="L16">
        <v>5.17347</v>
      </c>
      <c r="M16">
        <v>-622.47796000000005</v>
      </c>
      <c r="N16">
        <v>2.1664620000000001</v>
      </c>
      <c r="O16">
        <v>14.918348999999999</v>
      </c>
      <c r="P16">
        <f t="shared" si="0"/>
        <v>3.61077E-5</v>
      </c>
      <c r="Q16" cm="1">
        <f t="array" ref="Q16">[1]!PropsSI("D","T",J16+273.15,"P",101325,"Water")</f>
        <v>984.94972290127737</v>
      </c>
      <c r="R16" cm="1">
        <f t="array" ref="R16">[1]!PropsSI("D","T",K16+273.15,"P",101325,"Water")</f>
        <v>985.85566750804264</v>
      </c>
      <c r="S16">
        <f t="shared" si="1"/>
        <v>985.40269520465995</v>
      </c>
      <c r="T16" cm="1">
        <f t="array" ref="T16">[1]!PropsSI("H","T",J16+273.15,"P",101325,"Water")</f>
        <v>236689.76265935163</v>
      </c>
      <c r="U16" cm="1">
        <f t="array" ref="U16">[1]!PropsSI("H","T",K16+273.15,"P",101325,"Water")</f>
        <v>228921.51789885768</v>
      </c>
      <c r="V16">
        <f t="shared" si="2"/>
        <v>276.39900293620269</v>
      </c>
    </row>
    <row r="17" spans="1:22" x14ac:dyDescent="0.2">
      <c r="A17">
        <v>46122.863980324073</v>
      </c>
      <c r="B17">
        <v>20.460609000000002</v>
      </c>
      <c r="C17">
        <v>20.442350000000001</v>
      </c>
      <c r="D17">
        <v>20.295650999999999</v>
      </c>
      <c r="E17">
        <v>20.351689</v>
      </c>
      <c r="F17">
        <v>46.113380999999997</v>
      </c>
      <c r="G17">
        <v>47.542088999999997</v>
      </c>
      <c r="H17">
        <v>37.832087999999999</v>
      </c>
      <c r="I17">
        <v>29.082674000000001</v>
      </c>
      <c r="J17">
        <v>56.522427999999998</v>
      </c>
      <c r="K17">
        <v>54.663497</v>
      </c>
      <c r="L17">
        <v>6.7533909999999997</v>
      </c>
      <c r="M17">
        <v>-622.49102100000005</v>
      </c>
      <c r="N17">
        <v>2.151735</v>
      </c>
      <c r="O17">
        <v>14.915426</v>
      </c>
      <c r="P17">
        <f t="shared" si="0"/>
        <v>3.586225E-5</v>
      </c>
      <c r="Q17" cm="1">
        <f t="array" ref="Q17">[1]!PropsSI("D","T",J17+273.15,"P",101325,"Water")</f>
        <v>984.94878019243993</v>
      </c>
      <c r="R17" cm="1">
        <f t="array" ref="R17">[1]!PropsSI("D","T",K17+273.15,"P",101325,"Water")</f>
        <v>985.85566750804264</v>
      </c>
      <c r="S17">
        <f t="shared" si="1"/>
        <v>985.40222385024128</v>
      </c>
      <c r="T17" cm="1">
        <f t="array" ref="T17">[1]!PropsSI("H","T",J17+273.15,"P",101325,"Water")</f>
        <v>236697.75319106862</v>
      </c>
      <c r="U17" cm="1">
        <f t="array" ref="U17">[1]!PropsSI("H","T",K17+273.15,"P",101325,"Water")</f>
        <v>228921.51789885768</v>
      </c>
      <c r="V17">
        <f t="shared" si="2"/>
        <v>274.80236418655613</v>
      </c>
    </row>
    <row r="18" spans="1:22" x14ac:dyDescent="0.2">
      <c r="A18">
        <v>46122.86403877315</v>
      </c>
      <c r="B18">
        <v>20.474716000000001</v>
      </c>
      <c r="C18">
        <v>20.430105999999999</v>
      </c>
      <c r="D18">
        <v>20.295014999999999</v>
      </c>
      <c r="E18">
        <v>20.342559999999999</v>
      </c>
      <c r="F18">
        <v>46.196804999999998</v>
      </c>
      <c r="G18">
        <v>47.713867</v>
      </c>
      <c r="H18">
        <v>38.772953999999999</v>
      </c>
      <c r="I18">
        <v>28.958134999999999</v>
      </c>
      <c r="J18">
        <v>56.524338</v>
      </c>
      <c r="K18">
        <v>54.666043000000002</v>
      </c>
      <c r="L18">
        <v>5.3457059999999998</v>
      </c>
      <c r="M18">
        <v>-622.50163299999997</v>
      </c>
      <c r="N18">
        <v>2.1654990000000001</v>
      </c>
      <c r="O18">
        <v>14.660228</v>
      </c>
      <c r="P18">
        <f t="shared" si="0"/>
        <v>3.6091650000000002E-5</v>
      </c>
      <c r="Q18" cm="1">
        <f t="array" ref="Q18">[1]!PropsSI("D","T",J18+273.15,"P",101325,"Water")</f>
        <v>984.94783746131952</v>
      </c>
      <c r="R18" cm="1">
        <f t="array" ref="R18">[1]!PropsSI("D","T",K18+273.15,"P",101325,"Water")</f>
        <v>985.85444005887553</v>
      </c>
      <c r="S18">
        <f t="shared" si="1"/>
        <v>985.40113876009752</v>
      </c>
      <c r="T18" cm="1">
        <f t="array" ref="T18">[1]!PropsSI("H","T",J18+273.15,"P",101325,"Water")</f>
        <v>236705.74372416773</v>
      </c>
      <c r="U18" cm="1">
        <f t="array" ref="U18">[1]!PropsSI("H","T",K18+273.15,"P",101325,"Water")</f>
        <v>228932.16739955146</v>
      </c>
      <c r="V18">
        <f t="shared" si="2"/>
        <v>276.46532198726908</v>
      </c>
    </row>
    <row r="19" spans="1:22" x14ac:dyDescent="0.2">
      <c r="A19">
        <v>46122.86409664352</v>
      </c>
      <c r="B19">
        <v>20.486583</v>
      </c>
      <c r="C19">
        <v>20.449535000000001</v>
      </c>
      <c r="D19">
        <v>20.302603000000001</v>
      </c>
      <c r="E19">
        <v>20.355122999999999</v>
      </c>
      <c r="F19">
        <v>46.668649000000002</v>
      </c>
      <c r="G19">
        <v>47.934254000000003</v>
      </c>
      <c r="H19">
        <v>37.633826999999997</v>
      </c>
      <c r="I19">
        <v>28.791682000000002</v>
      </c>
      <c r="J19">
        <v>56.525612000000002</v>
      </c>
      <c r="K19">
        <v>54.665883999999998</v>
      </c>
      <c r="L19">
        <v>6.1366870000000002</v>
      </c>
      <c r="M19">
        <v>-622.48122499999999</v>
      </c>
      <c r="N19">
        <v>2.1633360000000001</v>
      </c>
      <c r="O19">
        <v>14.585328000000001</v>
      </c>
      <c r="P19">
        <f t="shared" ref="P19:P39" si="3" xml:space="preserve"> N19*0.001/60</f>
        <v>3.6055600000000001E-5</v>
      </c>
      <c r="Q19" cm="1">
        <f t="array" ref="Q19">[1]!PropsSI("D","T",J19+273.15,"P",101325,"Water")</f>
        <v>984.9472086324397</v>
      </c>
      <c r="R19" cm="1">
        <f t="array" ref="R19">[1]!PropsSI("D","T",K19+273.15,"P",101325,"Water")</f>
        <v>985.85451671537237</v>
      </c>
      <c r="S19">
        <f t="shared" ref="S19:S39" si="4">(Q19+R19)/2</f>
        <v>985.40086267390598</v>
      </c>
      <c r="T19" cm="1">
        <f t="array" ref="T19">[1]!PropsSI("H","T",J19+273.15,"P",101325,"Water")</f>
        <v>236711.07353603479</v>
      </c>
      <c r="U19" cm="1">
        <f t="array" ref="U19">[1]!PropsSI("H","T",K19+273.15,"P",101325,"Water")</f>
        <v>228931.50232850935</v>
      </c>
      <c r="V19">
        <f t="shared" ref="V19:V39" si="5">S19*P19*(T19-U19)</f>
        <v>276.402091836191</v>
      </c>
    </row>
    <row r="20" spans="1:22" x14ac:dyDescent="0.2">
      <c r="A20">
        <v>46122.864155092589</v>
      </c>
      <c r="B20">
        <v>20.471221</v>
      </c>
      <c r="C20">
        <v>20.439176</v>
      </c>
      <c r="D20">
        <v>20.298280999999999</v>
      </c>
      <c r="E20">
        <v>20.349927000000001</v>
      </c>
      <c r="F20">
        <v>47.053516000000002</v>
      </c>
      <c r="G20">
        <v>47.021205999999999</v>
      </c>
      <c r="H20">
        <v>37.792242999999999</v>
      </c>
      <c r="I20">
        <v>28.933731000000002</v>
      </c>
      <c r="J20">
        <v>56.52402</v>
      </c>
      <c r="K20">
        <v>54.665883999999998</v>
      </c>
      <c r="L20">
        <v>7.7549729999999997</v>
      </c>
      <c r="M20">
        <v>-622.51061200000004</v>
      </c>
      <c r="N20">
        <v>2.1577139999999999</v>
      </c>
      <c r="O20">
        <v>15.020075</v>
      </c>
      <c r="P20">
        <f t="shared" si="3"/>
        <v>3.5961899999999999E-5</v>
      </c>
      <c r="Q20" cm="1">
        <f t="array" ref="Q20">[1]!PropsSI("D","T",J20+273.15,"P",101325,"Water")</f>
        <v>984.94799442019848</v>
      </c>
      <c r="R20" cm="1">
        <f t="array" ref="R20">[1]!PropsSI("D","T",K20+273.15,"P",101325,"Water")</f>
        <v>985.85451671537237</v>
      </c>
      <c r="S20">
        <f t="shared" si="4"/>
        <v>985.40125556778548</v>
      </c>
      <c r="T20" cm="1">
        <f t="array" ref="T20">[1]!PropsSI("H","T",J20+273.15,"P",101325,"Water")</f>
        <v>236704.41336305882</v>
      </c>
      <c r="U20" cm="1">
        <f t="array" ref="U20">[1]!PropsSI("H","T",K20+273.15,"P",101325,"Water")</f>
        <v>228931.50232850935</v>
      </c>
      <c r="V20">
        <f t="shared" si="5"/>
        <v>275.44788202026467</v>
      </c>
    </row>
    <row r="21" spans="1:22" x14ac:dyDescent="0.2">
      <c r="A21">
        <v>46122.864212962966</v>
      </c>
      <c r="B21">
        <v>20.463878000000001</v>
      </c>
      <c r="C21">
        <v>20.438161999999998</v>
      </c>
      <c r="D21">
        <v>20.292393000000001</v>
      </c>
      <c r="E21">
        <v>20.336289000000001</v>
      </c>
      <c r="F21">
        <v>46.319025000000003</v>
      </c>
      <c r="G21">
        <v>48.106605999999999</v>
      </c>
      <c r="H21">
        <v>38.329259999999998</v>
      </c>
      <c r="I21">
        <v>29.030866</v>
      </c>
      <c r="J21">
        <v>56.523065000000003</v>
      </c>
      <c r="K21">
        <v>54.665247999999998</v>
      </c>
      <c r="L21">
        <v>7.158677</v>
      </c>
      <c r="M21">
        <v>-622.49142900000004</v>
      </c>
      <c r="N21">
        <v>2.1617660000000001</v>
      </c>
      <c r="O21">
        <v>14.99147</v>
      </c>
      <c r="P21">
        <f t="shared" si="3"/>
        <v>3.6029433333333338E-5</v>
      </c>
      <c r="Q21" cm="1">
        <f t="array" ref="Q21">[1]!PropsSI("D","T",J21+273.15,"P",101325,"Water")</f>
        <v>984.94846578669205</v>
      </c>
      <c r="R21" cm="1">
        <f t="array" ref="R21">[1]!PropsSI("D","T",K21+273.15,"P",101325,"Water")</f>
        <v>985.85482333974983</v>
      </c>
      <c r="S21">
        <f t="shared" si="4"/>
        <v>985.401644563221</v>
      </c>
      <c r="T21" cm="1">
        <f t="array" ref="T21">[1]!PropsSI("H","T",J21+273.15,"P",101325,"Water")</f>
        <v>236700.41809647091</v>
      </c>
      <c r="U21" cm="1">
        <f t="array" ref="U21">[1]!PropsSI("H","T",K21+273.15,"P",101325,"Water")</f>
        <v>228928.84204457555</v>
      </c>
      <c r="V21">
        <f t="shared" si="5"/>
        <v>275.91786171706224</v>
      </c>
    </row>
    <row r="22" spans="1:22" x14ac:dyDescent="0.2">
      <c r="A22">
        <v>46122.864270833335</v>
      </c>
      <c r="B22">
        <v>20.477692000000001</v>
      </c>
      <c r="C22">
        <v>20.447683000000001</v>
      </c>
      <c r="D22">
        <v>20.286360999999999</v>
      </c>
      <c r="E22">
        <v>20.335602999999999</v>
      </c>
      <c r="F22">
        <v>46.972642</v>
      </c>
      <c r="G22">
        <v>47.751454000000003</v>
      </c>
      <c r="H22">
        <v>38.135891000000001</v>
      </c>
      <c r="I22">
        <v>29.263607</v>
      </c>
      <c r="J22">
        <v>56.522905000000002</v>
      </c>
      <c r="K22">
        <v>54.666679999999999</v>
      </c>
      <c r="L22">
        <v>6.468915</v>
      </c>
      <c r="M22">
        <v>-622.506122</v>
      </c>
      <c r="N22">
        <v>2.1613730000000002</v>
      </c>
      <c r="O22">
        <v>14.698516</v>
      </c>
      <c r="P22">
        <f t="shared" si="3"/>
        <v>3.602288333333334E-5</v>
      </c>
      <c r="Q22" cm="1">
        <f t="array" ref="Q22">[1]!PropsSI("D","T",J22+273.15,"P",101325,"Water")</f>
        <v>984.94854475852492</v>
      </c>
      <c r="R22" cm="1">
        <f t="array" ref="R22">[1]!PropsSI("D","T",K22+273.15,"P",101325,"Water")</f>
        <v>985.85413294921477</v>
      </c>
      <c r="S22">
        <f t="shared" si="4"/>
        <v>985.4013388538699</v>
      </c>
      <c r="T22" cm="1">
        <f t="array" ref="T22">[1]!PropsSI("H","T",J22+273.15,"P",101325,"Water")</f>
        <v>236699.74873245618</v>
      </c>
      <c r="U22" cm="1">
        <f t="array" ref="U22">[1]!PropsSI("H","T",K22+273.15,"P",101325,"Water")</f>
        <v>228934.83186651094</v>
      </c>
      <c r="V22">
        <f t="shared" si="5"/>
        <v>275.63123431449611</v>
      </c>
    </row>
    <row r="23" spans="1:22" x14ac:dyDescent="0.2">
      <c r="A23">
        <v>46122.864329282405</v>
      </c>
      <c r="B23">
        <v>20.494537999999999</v>
      </c>
      <c r="C23">
        <v>20.468333999999999</v>
      </c>
      <c r="D23">
        <v>20.294011000000001</v>
      </c>
      <c r="E23">
        <v>20.334215</v>
      </c>
      <c r="F23">
        <v>46.391835999999998</v>
      </c>
      <c r="G23">
        <v>46.891979999999997</v>
      </c>
      <c r="H23">
        <v>38.161650999999999</v>
      </c>
      <c r="I23">
        <v>28.015331</v>
      </c>
      <c r="J23">
        <v>56.523860999999997</v>
      </c>
      <c r="K23">
        <v>54.665883999999998</v>
      </c>
      <c r="L23">
        <v>5.9991430000000001</v>
      </c>
      <c r="M23">
        <v>-622.45632899999998</v>
      </c>
      <c r="N23">
        <v>2.1656059999999999</v>
      </c>
      <c r="O23">
        <v>14.919136999999999</v>
      </c>
      <c r="P23">
        <f t="shared" si="3"/>
        <v>3.6093433333333336E-5</v>
      </c>
      <c r="Q23" cm="1">
        <f t="array" ref="Q23">[1]!PropsSI("D","T",J23+273.15,"P",101325,"Water")</f>
        <v>984.94807289939661</v>
      </c>
      <c r="R23" cm="1">
        <f t="array" ref="R23">[1]!PropsSI("D","T",K23+273.15,"P",101325,"Water")</f>
        <v>985.85451671537237</v>
      </c>
      <c r="S23">
        <f t="shared" si="4"/>
        <v>985.40129480738449</v>
      </c>
      <c r="T23" cm="1">
        <f t="array" ref="T23">[1]!PropsSI("H","T",J23+273.15,"P",101325,"Water")</f>
        <v>236703.74818252976</v>
      </c>
      <c r="U23" cm="1">
        <f t="array" ref="U23">[1]!PropsSI("H","T",K23+273.15,"P",101325,"Water")</f>
        <v>228931.50232850935</v>
      </c>
      <c r="V23">
        <f t="shared" si="5"/>
        <v>276.43170606213943</v>
      </c>
    </row>
    <row r="24" spans="1:22" x14ac:dyDescent="0.2">
      <c r="A24">
        <v>46122.864387731483</v>
      </c>
      <c r="B24">
        <v>20.471105000000001</v>
      </c>
      <c r="C24">
        <v>20.450436</v>
      </c>
      <c r="D24">
        <v>20.281222</v>
      </c>
      <c r="E24">
        <v>20.334192000000002</v>
      </c>
      <c r="F24">
        <v>46.488210000000002</v>
      </c>
      <c r="G24">
        <v>47.643906000000001</v>
      </c>
      <c r="H24">
        <v>38.893877000000003</v>
      </c>
      <c r="I24">
        <v>29.043614999999999</v>
      </c>
      <c r="J24">
        <v>56.525292999999998</v>
      </c>
      <c r="K24">
        <v>54.665725000000002</v>
      </c>
      <c r="L24">
        <v>6.8950170000000002</v>
      </c>
      <c r="M24">
        <v>-622.52122299999996</v>
      </c>
      <c r="N24">
        <v>2.1614749999999998</v>
      </c>
      <c r="O24">
        <v>14.711529000000001</v>
      </c>
      <c r="P24">
        <f t="shared" si="3"/>
        <v>3.6024583333333331E-5</v>
      </c>
      <c r="Q24" cm="1">
        <f t="array" ref="Q24">[1]!PropsSI("D","T",J24+273.15,"P",101325,"Water")</f>
        <v>984.94736608739754</v>
      </c>
      <c r="R24" cm="1">
        <f t="array" ref="R24">[1]!PropsSI("D","T",K24+273.15,"P",101325,"Water")</f>
        <v>985.85459337168845</v>
      </c>
      <c r="S24">
        <f t="shared" si="4"/>
        <v>985.400979729543</v>
      </c>
      <c r="T24" cm="1">
        <f t="array" ref="T24">[1]!PropsSI("H","T",J24+273.15,"P",101325,"Water")</f>
        <v>236709.73899125992</v>
      </c>
      <c r="U24" cm="1">
        <f t="array" ref="U24">[1]!PropsSI("H","T",K24+273.15,"P",101325,"Water")</f>
        <v>228930.83725755772</v>
      </c>
      <c r="V24">
        <f t="shared" si="5"/>
        <v>276.14058557012061</v>
      </c>
    </row>
    <row r="25" spans="1:22" x14ac:dyDescent="0.2">
      <c r="A25">
        <v>46122.864445601852</v>
      </c>
      <c r="B25">
        <v>20.487825000000001</v>
      </c>
      <c r="C25">
        <v>20.465855999999999</v>
      </c>
      <c r="D25">
        <v>20.286194999999999</v>
      </c>
      <c r="E25">
        <v>20.345316</v>
      </c>
      <c r="F25">
        <v>46.417555999999998</v>
      </c>
      <c r="G25">
        <v>48.049754</v>
      </c>
      <c r="H25">
        <v>37.784925999999999</v>
      </c>
      <c r="I25">
        <v>29.407397</v>
      </c>
      <c r="J25">
        <v>56.528635999999999</v>
      </c>
      <c r="K25">
        <v>54.670498000000002</v>
      </c>
      <c r="L25">
        <v>5.5710009999999999</v>
      </c>
      <c r="M25">
        <v>-622.506122</v>
      </c>
      <c r="N25">
        <v>2.1633149999999999</v>
      </c>
      <c r="O25">
        <v>14.402996</v>
      </c>
      <c r="P25">
        <f t="shared" si="3"/>
        <v>3.6055249999999997E-5</v>
      </c>
      <c r="Q25" cm="1">
        <f t="array" ref="Q25">[1]!PropsSI("D","T",J25+273.15,"P",101325,"Water")</f>
        <v>984.94571598794391</v>
      </c>
      <c r="R25" cm="1">
        <f t="array" ref="R25">[1]!PropsSI("D","T",K25+273.15,"P",101325,"Water")</f>
        <v>985.85229216670598</v>
      </c>
      <c r="S25">
        <f t="shared" si="4"/>
        <v>985.39900407732489</v>
      </c>
      <c r="T25" cm="1">
        <f t="array" ref="T25">[1]!PropsSI("H","T",J25+273.15,"P",101325,"Water")</f>
        <v>236723.72452054406</v>
      </c>
      <c r="U25" cm="1">
        <f t="array" ref="U25">[1]!PropsSI("H","T",K25+273.15,"P",101325,"Water")</f>
        <v>228950.80193989803</v>
      </c>
      <c r="V25">
        <f t="shared" si="5"/>
        <v>276.16266962747301</v>
      </c>
    </row>
    <row r="26" spans="1:22" x14ac:dyDescent="0.2">
      <c r="A26">
        <v>46122.864504050929</v>
      </c>
      <c r="B26">
        <v>20.502586999999998</v>
      </c>
      <c r="C26">
        <v>20.462154999999999</v>
      </c>
      <c r="D26">
        <v>20.2941</v>
      </c>
      <c r="E26">
        <v>20.347626000000002</v>
      </c>
      <c r="F26">
        <v>46.338799000000002</v>
      </c>
      <c r="G26">
        <v>47.5991</v>
      </c>
      <c r="H26">
        <v>37.990233000000003</v>
      </c>
      <c r="I26">
        <v>29.307033000000001</v>
      </c>
      <c r="J26">
        <v>56.528795000000002</v>
      </c>
      <c r="K26">
        <v>54.668748000000001</v>
      </c>
      <c r="L26">
        <v>5.8301720000000001</v>
      </c>
      <c r="M26">
        <v>-622.47918500000003</v>
      </c>
      <c r="N26">
        <v>2.165934</v>
      </c>
      <c r="O26">
        <v>14.668767000000001</v>
      </c>
      <c r="P26">
        <f t="shared" si="3"/>
        <v>3.6098900000000001E-5</v>
      </c>
      <c r="Q26" cm="1">
        <f t="array" ref="Q26">[1]!PropsSI("D","T",J26+273.15,"P",101325,"Water")</f>
        <v>984.94563750410794</v>
      </c>
      <c r="R26" cm="1">
        <f t="array" ref="R26">[1]!PropsSI("D","T",K26+273.15,"P",101325,"Water")</f>
        <v>985.8531359101363</v>
      </c>
      <c r="S26">
        <f t="shared" si="4"/>
        <v>985.39938670712218</v>
      </c>
      <c r="T26" cm="1">
        <f t="array" ref="T26">[1]!PropsSI("H","T",J26+273.15,"P",101325,"Water")</f>
        <v>236724.38970138089</v>
      </c>
      <c r="U26" cm="1">
        <f t="array" ref="U26">[1]!PropsSI("H","T",K26+273.15,"P",101325,"Water")</f>
        <v>228943.48197368739</v>
      </c>
      <c r="V26">
        <f t="shared" si="5"/>
        <v>276.78115744259588</v>
      </c>
    </row>
    <row r="27" spans="1:22" x14ac:dyDescent="0.2">
      <c r="A27">
        <v>46122.864561921298</v>
      </c>
      <c r="B27">
        <v>20.486077000000002</v>
      </c>
      <c r="C27">
        <v>20.457854999999999</v>
      </c>
      <c r="D27">
        <v>20.294675000000002</v>
      </c>
      <c r="E27">
        <v>20.346817000000001</v>
      </c>
      <c r="F27">
        <v>46.013703</v>
      </c>
      <c r="G27">
        <v>47.170177000000002</v>
      </c>
      <c r="H27">
        <v>37.683984000000002</v>
      </c>
      <c r="I27">
        <v>28.646694</v>
      </c>
      <c r="J27">
        <v>56.527363000000001</v>
      </c>
      <c r="K27">
        <v>54.671294000000003</v>
      </c>
      <c r="L27">
        <v>7.1296989999999996</v>
      </c>
      <c r="M27">
        <v>-622.49102100000005</v>
      </c>
      <c r="N27">
        <v>2.1630569999999998</v>
      </c>
      <c r="O27">
        <v>16.093848999999999</v>
      </c>
      <c r="P27">
        <f t="shared" si="3"/>
        <v>3.6050950000000001E-5</v>
      </c>
      <c r="Q27" cm="1">
        <f t="array" ref="Q27">[1]!PropsSI("D","T",J27+273.15,"P",101325,"Water")</f>
        <v>984.94634434675561</v>
      </c>
      <c r="R27" cm="1">
        <f t="array" ref="R27">[1]!PropsSI("D","T",K27+273.15,"P",101325,"Water")</f>
        <v>985.85190837766879</v>
      </c>
      <c r="S27">
        <f t="shared" si="4"/>
        <v>985.3991263622122</v>
      </c>
      <c r="T27" cm="1">
        <f t="array" ref="T27">[1]!PropsSI("H","T",J27+273.15,"P",101325,"Water")</f>
        <v>236718.39889072534</v>
      </c>
      <c r="U27" cm="1">
        <f t="array" ref="U27">[1]!PropsSI("H","T",K27+273.15,"P",101325,"Water")</f>
        <v>228954.13147914986</v>
      </c>
      <c r="V27">
        <f t="shared" si="5"/>
        <v>275.82229714494503</v>
      </c>
    </row>
    <row r="28" spans="1:22" x14ac:dyDescent="0.2">
      <c r="A28">
        <v>46122.864619791668</v>
      </c>
      <c r="B28">
        <v>20.494814999999999</v>
      </c>
      <c r="C28">
        <v>20.455376999999999</v>
      </c>
      <c r="D28">
        <v>20.297999000000001</v>
      </c>
      <c r="E28">
        <v>20.356539999999999</v>
      </c>
      <c r="F28">
        <v>46.152800999999997</v>
      </c>
      <c r="G28">
        <v>47.757610999999997</v>
      </c>
      <c r="H28">
        <v>38.073891000000003</v>
      </c>
      <c r="I28">
        <v>29.222799999999999</v>
      </c>
      <c r="J28">
        <v>56.527043999999997</v>
      </c>
      <c r="K28">
        <v>54.670180000000002</v>
      </c>
      <c r="L28">
        <v>6.6827819999999996</v>
      </c>
      <c r="M28">
        <v>-622.48653100000001</v>
      </c>
      <c r="N28">
        <v>2.1578409999999999</v>
      </c>
      <c r="O28">
        <v>13.809222</v>
      </c>
      <c r="P28">
        <f t="shared" si="3"/>
        <v>3.596401666666666E-5</v>
      </c>
      <c r="Q28" cm="1">
        <f t="array" ref="Q28">[1]!PropsSI("D","T",J28+273.15,"P",101325,"Water")</f>
        <v>984.94650180511576</v>
      </c>
      <c r="R28" cm="1">
        <f t="array" ref="R28">[1]!PropsSI("D","T",K28+273.15,"P",101325,"Water")</f>
        <v>985.8524454883584</v>
      </c>
      <c r="S28">
        <f t="shared" si="4"/>
        <v>985.39947364673708</v>
      </c>
      <c r="T28" cm="1">
        <f t="array" ref="T28">[1]!PropsSI("H","T",J28+273.15,"P",101325,"Water")</f>
        <v>236717.06434570719</v>
      </c>
      <c r="U28" cm="1">
        <f t="array" ref="U28">[1]!PropsSI("H","T",K28+273.15,"P",101325,"Water")</f>
        <v>228949.47179737306</v>
      </c>
      <c r="V28">
        <f t="shared" si="5"/>
        <v>275.27511494249029</v>
      </c>
    </row>
    <row r="29" spans="1:22" x14ac:dyDescent="0.2">
      <c r="A29">
        <v>46122.864678240738</v>
      </c>
      <c r="B29">
        <v>20.499684999999999</v>
      </c>
      <c r="C29">
        <v>20.451152</v>
      </c>
      <c r="D29">
        <v>20.302363</v>
      </c>
      <c r="E29">
        <v>20.344549000000001</v>
      </c>
      <c r="F29">
        <v>46.473804999999999</v>
      </c>
      <c r="G29">
        <v>48.038339000000001</v>
      </c>
      <c r="H29">
        <v>38.897314999999999</v>
      </c>
      <c r="I29">
        <v>28.515452</v>
      </c>
      <c r="J29">
        <v>56.526248000000002</v>
      </c>
      <c r="K29">
        <v>54.670498000000002</v>
      </c>
      <c r="L29">
        <v>5.8860869999999998</v>
      </c>
      <c r="M29">
        <v>-622.49469399999998</v>
      </c>
      <c r="N29">
        <v>2.1630690000000001</v>
      </c>
      <c r="O29">
        <v>14.746095</v>
      </c>
      <c r="P29">
        <f t="shared" si="3"/>
        <v>3.6051150000000001E-5</v>
      </c>
      <c r="Q29" cm="1">
        <f t="array" ref="Q29">[1]!PropsSI("D","T",J29+273.15,"P",101325,"Water")</f>
        <v>984.94689470788535</v>
      </c>
      <c r="R29" cm="1">
        <f t="array" ref="R29">[1]!PropsSI("D","T",K29+273.15,"P",101325,"Water")</f>
        <v>985.85229216670598</v>
      </c>
      <c r="S29">
        <f t="shared" si="4"/>
        <v>985.39959343729561</v>
      </c>
      <c r="T29" cm="1">
        <f t="array" ref="T29">[1]!PropsSI("H","T",J29+273.15,"P",101325,"Water")</f>
        <v>236713.73425866273</v>
      </c>
      <c r="U29" cm="1">
        <f t="array" ref="U29">[1]!PropsSI("H","T",K29+273.15,"P",101325,"Water")</f>
        <v>228950.80193989803</v>
      </c>
      <c r="V29">
        <f t="shared" si="5"/>
        <v>275.77652917495459</v>
      </c>
    </row>
    <row r="30" spans="1:22" x14ac:dyDescent="0.2">
      <c r="A30">
        <v>46122.864736689815</v>
      </c>
      <c r="B30">
        <v>20.496286999999999</v>
      </c>
      <c r="C30">
        <v>20.477498000000001</v>
      </c>
      <c r="D30">
        <v>20.305726</v>
      </c>
      <c r="E30">
        <v>20.355917000000002</v>
      </c>
      <c r="F30">
        <v>46.443235000000001</v>
      </c>
      <c r="G30">
        <v>47.940933999999999</v>
      </c>
      <c r="H30">
        <v>37.795453999999999</v>
      </c>
      <c r="I30">
        <v>28.769644</v>
      </c>
      <c r="J30">
        <v>56.525770999999999</v>
      </c>
      <c r="K30">
        <v>54.670656999999999</v>
      </c>
      <c r="L30">
        <v>5.1661239999999999</v>
      </c>
      <c r="M30">
        <v>-622.51836600000001</v>
      </c>
      <c r="N30">
        <v>2.1635200000000001</v>
      </c>
      <c r="O30">
        <v>14.880188</v>
      </c>
      <c r="P30">
        <f t="shared" si="3"/>
        <v>3.6058666666666667E-5</v>
      </c>
      <c r="Q30" cm="1">
        <f t="array" ref="Q30">[1]!PropsSI("D","T",J30+273.15,"P",101325,"Water")</f>
        <v>984.94713015154196</v>
      </c>
      <c r="R30" cm="1">
        <f t="array" ref="R30">[1]!PropsSI("D","T",K30+273.15,"P",101325,"Water")</f>
        <v>985.85221550565336</v>
      </c>
      <c r="S30">
        <f t="shared" si="4"/>
        <v>985.39967282859766</v>
      </c>
      <c r="T30" cm="1">
        <f t="array" ref="T30">[1]!PropsSI("H","T",J30+273.15,"P",101325,"Water")</f>
        <v>236711.73871668344</v>
      </c>
      <c r="U30" cm="1">
        <f t="array" ref="U30">[1]!PropsSI("H","T",K30+273.15,"P",101325,"Water")</f>
        <v>228951.46701116441</v>
      </c>
      <c r="V30">
        <f t="shared" si="5"/>
        <v>275.73951338150897</v>
      </c>
    </row>
    <row r="31" spans="1:22" x14ac:dyDescent="0.2">
      <c r="A31">
        <v>46122.864794560184</v>
      </c>
      <c r="B31">
        <v>20.506108999999999</v>
      </c>
      <c r="C31">
        <v>20.483986999999999</v>
      </c>
      <c r="D31">
        <v>20.313838000000001</v>
      </c>
      <c r="E31">
        <v>20.381404</v>
      </c>
      <c r="F31">
        <v>46.316825999999999</v>
      </c>
      <c r="G31">
        <v>48.051817999999997</v>
      </c>
      <c r="H31">
        <v>37.072969000000001</v>
      </c>
      <c r="I31">
        <v>28.833544</v>
      </c>
      <c r="J31">
        <v>56.526406999999999</v>
      </c>
      <c r="K31">
        <v>54.673521000000001</v>
      </c>
      <c r="L31">
        <v>6.2419880000000001</v>
      </c>
      <c r="M31">
        <v>-622.46408299999996</v>
      </c>
      <c r="N31">
        <v>2.1622949999999999</v>
      </c>
      <c r="O31">
        <v>14.721784</v>
      </c>
      <c r="P31">
        <f t="shared" si="3"/>
        <v>3.603825E-5</v>
      </c>
      <c r="Q31" cm="1">
        <f t="array" ref="Q31">[1]!PropsSI("D","T",J31+273.15,"P",101325,"Water")</f>
        <v>984.94681622636767</v>
      </c>
      <c r="R31" cm="1">
        <f t="array" ref="R31">[1]!PropsSI("D","T",K31+273.15,"P",101325,"Water")</f>
        <v>985.8508346152712</v>
      </c>
      <c r="S31">
        <f t="shared" si="4"/>
        <v>985.39882542081943</v>
      </c>
      <c r="T31" cm="1">
        <f t="array" ref="T31">[1]!PropsSI("H","T",J31+273.15,"P",101325,"Water")</f>
        <v>236714.39943936578</v>
      </c>
      <c r="U31" cm="1">
        <f t="array" ref="U31">[1]!PropsSI("H","T",K31+273.15,"P",101325,"Water")</f>
        <v>228963.44666118926</v>
      </c>
      <c r="V31">
        <f t="shared" si="5"/>
        <v>275.25221656221987</v>
      </c>
    </row>
    <row r="32" spans="1:22" x14ac:dyDescent="0.2">
      <c r="A32">
        <v>46122.864853009261</v>
      </c>
      <c r="B32">
        <v>20.487334000000001</v>
      </c>
      <c r="C32">
        <v>20.466761999999999</v>
      </c>
      <c r="D32">
        <v>20.317042000000001</v>
      </c>
      <c r="E32">
        <v>20.362981999999999</v>
      </c>
      <c r="F32">
        <v>45.992486</v>
      </c>
      <c r="G32">
        <v>47.717019999999998</v>
      </c>
      <c r="H32">
        <v>37.901926000000003</v>
      </c>
      <c r="I32">
        <v>28.475095</v>
      </c>
      <c r="J32">
        <v>56.524496999999997</v>
      </c>
      <c r="K32">
        <v>54.669862000000002</v>
      </c>
      <c r="L32">
        <v>9.0753160000000008</v>
      </c>
      <c r="M32">
        <v>-622.487348</v>
      </c>
      <c r="N32">
        <v>2.1637780000000002</v>
      </c>
      <c r="O32">
        <v>14.768117</v>
      </c>
      <c r="P32">
        <f t="shared" si="3"/>
        <v>3.606296666666667E-5</v>
      </c>
      <c r="Q32" cm="1">
        <f t="array" ref="Q32">[1]!PropsSI("D","T",J32+273.15,"P",101325,"Water")</f>
        <v>984.94775898165551</v>
      </c>
      <c r="R32" cm="1">
        <f t="array" ref="R32">[1]!PropsSI("D","T",K32+273.15,"P",101325,"Water")</f>
        <v>985.852598809391</v>
      </c>
      <c r="S32">
        <f t="shared" si="4"/>
        <v>985.40017889552325</v>
      </c>
      <c r="T32" cm="1">
        <f t="array" ref="T32">[1]!PropsSI("H","T",J32+273.15,"P",101325,"Water")</f>
        <v>236706.40890472077</v>
      </c>
      <c r="U32" cm="1">
        <f t="array" ref="U32">[1]!PropsSI("H","T",K32+273.15,"P",101325,"Water")</f>
        <v>228948.14165490959</v>
      </c>
      <c r="V32">
        <f t="shared" si="5"/>
        <v>275.70130572849189</v>
      </c>
    </row>
    <row r="33" spans="1:22" x14ac:dyDescent="0.2">
      <c r="A33">
        <v>46122.864910879631</v>
      </c>
      <c r="B33">
        <v>20.473845000000001</v>
      </c>
      <c r="C33">
        <v>20.450368000000001</v>
      </c>
      <c r="D33">
        <v>20.312487000000001</v>
      </c>
      <c r="E33">
        <v>20.358474000000001</v>
      </c>
      <c r="F33">
        <v>46.225495000000002</v>
      </c>
      <c r="G33">
        <v>47.392705999999997</v>
      </c>
      <c r="H33">
        <v>37.677993999999998</v>
      </c>
      <c r="I33">
        <v>28.971662999999999</v>
      </c>
      <c r="J33">
        <v>56.525292999999998</v>
      </c>
      <c r="K33">
        <v>54.674635000000002</v>
      </c>
      <c r="L33">
        <v>5.1959179999999998</v>
      </c>
      <c r="M33">
        <v>-622.51142800000002</v>
      </c>
      <c r="N33">
        <v>2.163856</v>
      </c>
      <c r="O33">
        <v>14.867772</v>
      </c>
      <c r="P33">
        <f t="shared" si="3"/>
        <v>3.6064266666666666E-5</v>
      </c>
      <c r="Q33" cm="1">
        <f t="array" ref="Q33">[1]!PropsSI("D","T",J33+273.15,"P",101325,"Water")</f>
        <v>984.94736608739754</v>
      </c>
      <c r="R33" cm="1">
        <f t="array" ref="R33">[1]!PropsSI("D","T",K33+273.15,"P",101325,"Water")</f>
        <v>985.85029748139902</v>
      </c>
      <c r="S33">
        <f t="shared" si="4"/>
        <v>985.39883178439823</v>
      </c>
      <c r="T33" cm="1">
        <f t="array" ref="T33">[1]!PropsSI("H","T",J33+273.15,"P",101325,"Water")</f>
        <v>236709.73899125992</v>
      </c>
      <c r="U33" cm="1">
        <f t="array" ref="U33">[1]!PropsSI("H","T",K33+273.15,"P",101325,"Water")</f>
        <v>228968.10634429843</v>
      </c>
      <c r="V33">
        <f t="shared" si="5"/>
        <v>275.11971201236832</v>
      </c>
    </row>
    <row r="34" spans="1:22" x14ac:dyDescent="0.2">
      <c r="A34">
        <v>46122.86496875</v>
      </c>
      <c r="B34">
        <v>20.471738999999999</v>
      </c>
      <c r="C34">
        <v>20.444333</v>
      </c>
      <c r="D34">
        <v>20.301116</v>
      </c>
      <c r="E34">
        <v>20.346301</v>
      </c>
      <c r="F34">
        <v>45.958216</v>
      </c>
      <c r="G34">
        <v>47.525199000000001</v>
      </c>
      <c r="H34">
        <v>38.623035000000002</v>
      </c>
      <c r="I34">
        <v>29.143267000000002</v>
      </c>
      <c r="J34">
        <v>56.526406999999999</v>
      </c>
      <c r="K34">
        <v>54.672885000000001</v>
      </c>
      <c r="L34">
        <v>6.7297190000000002</v>
      </c>
      <c r="M34">
        <v>-622.48489900000004</v>
      </c>
      <c r="N34">
        <v>2.1642130000000002</v>
      </c>
      <c r="O34">
        <v>14.915222999999999</v>
      </c>
      <c r="P34">
        <f t="shared" si="3"/>
        <v>3.6070216666666669E-5</v>
      </c>
      <c r="Q34" cm="1">
        <f t="array" ref="Q34">[1]!PropsSI("D","T",J34+273.15,"P",101325,"Water")</f>
        <v>984.94681622636767</v>
      </c>
      <c r="R34" cm="1">
        <f t="array" ref="R34">[1]!PropsSI("D","T",K34+273.15,"P",101325,"Water")</f>
        <v>985.85114126992937</v>
      </c>
      <c r="S34">
        <f t="shared" si="4"/>
        <v>985.39897874814847</v>
      </c>
      <c r="T34" cm="1">
        <f t="array" ref="T34">[1]!PropsSI("H","T",J34+273.15,"P",101325,"Water")</f>
        <v>236714.39943936578</v>
      </c>
      <c r="U34" cm="1">
        <f t="array" ref="U34">[1]!PropsSI("H","T",K34+273.15,"P",101325,"Water")</f>
        <v>228960.78637550763</v>
      </c>
      <c r="V34">
        <f t="shared" si="5"/>
        <v>275.59096979857878</v>
      </c>
    </row>
    <row r="35" spans="1:22" x14ac:dyDescent="0.2">
      <c r="A35">
        <v>46122.865027199077</v>
      </c>
      <c r="B35">
        <v>20.4651</v>
      </c>
      <c r="C35">
        <v>20.445641999999999</v>
      </c>
      <c r="D35">
        <v>20.301496</v>
      </c>
      <c r="E35">
        <v>20.355176</v>
      </c>
      <c r="F35">
        <v>46.687474000000002</v>
      </c>
      <c r="G35">
        <v>47.146439000000001</v>
      </c>
      <c r="H35">
        <v>37.949375000000003</v>
      </c>
      <c r="I35">
        <v>29.001249000000001</v>
      </c>
      <c r="J35">
        <v>56.526885</v>
      </c>
      <c r="K35">
        <v>54.673679999999997</v>
      </c>
      <c r="L35">
        <v>6.1219939999999999</v>
      </c>
      <c r="M35">
        <v>-622.51877500000001</v>
      </c>
      <c r="N35">
        <v>2.1582750000000002</v>
      </c>
      <c r="O35">
        <v>14.536161</v>
      </c>
      <c r="P35">
        <f t="shared" si="3"/>
        <v>3.5971250000000002E-5</v>
      </c>
      <c r="Q35" cm="1">
        <f t="array" ref="Q35">[1]!PropsSI("D","T",J35+273.15,"P",101325,"Water")</f>
        <v>984.94658028726576</v>
      </c>
      <c r="R35" cm="1">
        <f t="array" ref="R35">[1]!PropsSI("D","T",K35+273.15,"P",101325,"Water")</f>
        <v>985.85075795121043</v>
      </c>
      <c r="S35">
        <f t="shared" si="4"/>
        <v>985.39866911923809</v>
      </c>
      <c r="T35" cm="1">
        <f t="array" ref="T35">[1]!PropsSI("H","T",J35+273.15,"P",101325,"Water")</f>
        <v>236716.39916500461</v>
      </c>
      <c r="U35" cm="1">
        <f t="array" ref="U35">[1]!PropsSI("H","T",K35+273.15,"P",101325,"Water")</f>
        <v>228964.11173262357</v>
      </c>
      <c r="V35">
        <f t="shared" si="5"/>
        <v>274.78774992152381</v>
      </c>
    </row>
    <row r="36" spans="1:22" x14ac:dyDescent="0.2">
      <c r="A36">
        <v>46122.865085069447</v>
      </c>
      <c r="B36">
        <v>20.449242000000002</v>
      </c>
      <c r="C36">
        <v>20.430845000000001</v>
      </c>
      <c r="D36">
        <v>20.295521999999998</v>
      </c>
      <c r="E36">
        <v>20.337548999999999</v>
      </c>
      <c r="F36">
        <v>46.297381000000001</v>
      </c>
      <c r="G36">
        <v>47.301929999999999</v>
      </c>
      <c r="H36">
        <v>37.831505</v>
      </c>
      <c r="I36">
        <v>28.881036999999999</v>
      </c>
      <c r="J36">
        <v>56.526567</v>
      </c>
      <c r="K36">
        <v>54.673361999999997</v>
      </c>
      <c r="L36">
        <v>9.7965040000000005</v>
      </c>
      <c r="M36">
        <v>-622.49265300000002</v>
      </c>
      <c r="N36">
        <v>2.1621800000000002</v>
      </c>
      <c r="O36">
        <v>14.690155000000001</v>
      </c>
      <c r="P36">
        <f t="shared" si="3"/>
        <v>3.6036333333333333E-5</v>
      </c>
      <c r="Q36" cm="1">
        <f t="array" ref="Q36">[1]!PropsSI("D","T",J36+273.15,"P",101325,"Water")</f>
        <v>984.94673725108737</v>
      </c>
      <c r="R36" cm="1">
        <f t="array" ref="R36">[1]!PropsSI("D","T",K36+273.15,"P",101325,"Water")</f>
        <v>985.85091127918224</v>
      </c>
      <c r="S36">
        <f t="shared" si="4"/>
        <v>985.39882426513486</v>
      </c>
      <c r="T36" cm="1">
        <f t="array" ref="T36">[1]!PropsSI("H","T",J36+273.15,"P",101325,"Water")</f>
        <v>236715.06880357594</v>
      </c>
      <c r="U36" cm="1">
        <f t="array" ref="U36">[1]!PropsSI("H","T",K36+273.15,"P",101325,"Water")</f>
        <v>228962.78158976827</v>
      </c>
      <c r="V36">
        <f t="shared" si="5"/>
        <v>275.28496318497417</v>
      </c>
    </row>
    <row r="37" spans="1:22" x14ac:dyDescent="0.2">
      <c r="A37">
        <v>46122.865143518517</v>
      </c>
      <c r="B37">
        <v>20.466197000000001</v>
      </c>
      <c r="C37">
        <v>20.439997999999999</v>
      </c>
      <c r="D37">
        <v>20.302119999999999</v>
      </c>
      <c r="E37">
        <v>20.361307</v>
      </c>
      <c r="F37">
        <v>46.351061999999999</v>
      </c>
      <c r="G37">
        <v>47.691775</v>
      </c>
      <c r="H37">
        <v>38.094816000000002</v>
      </c>
      <c r="I37">
        <v>29.300543000000001</v>
      </c>
      <c r="J37">
        <v>56.525134000000001</v>
      </c>
      <c r="K37">
        <v>54.671453</v>
      </c>
      <c r="L37">
        <v>5.0710259999999998</v>
      </c>
      <c r="M37">
        <v>-622.48938799999996</v>
      </c>
      <c r="N37">
        <v>2.1622539999999999</v>
      </c>
      <c r="O37">
        <v>14.873999</v>
      </c>
      <c r="P37">
        <f t="shared" si="3"/>
        <v>3.6037566666666662E-5</v>
      </c>
      <c r="Q37" cm="1">
        <f t="array" ref="Q37">[1]!PropsSI("D","T",J37+273.15,"P",101325,"Water")</f>
        <v>984.94744456783758</v>
      </c>
      <c r="R37" cm="1">
        <f t="array" ref="R37">[1]!PropsSI("D","T",K37+273.15,"P",101325,"Water")</f>
        <v>985.85183171583799</v>
      </c>
      <c r="S37">
        <f t="shared" si="4"/>
        <v>985.39963814183784</v>
      </c>
      <c r="T37" cm="1">
        <f t="array" ref="T37">[1]!PropsSI("H","T",J37+273.15,"P",101325,"Water")</f>
        <v>236709.07381064323</v>
      </c>
      <c r="U37" cm="1">
        <f t="array" ref="U37">[1]!PropsSI("H","T",K37+273.15,"P",101325,"Water")</f>
        <v>228954.79655045801</v>
      </c>
      <c r="V37">
        <f t="shared" si="5"/>
        <v>275.36528145393549</v>
      </c>
    </row>
    <row r="38" spans="1:22" x14ac:dyDescent="0.2">
      <c r="A38">
        <v>44660.865201967797</v>
      </c>
      <c r="B38">
        <v>20.464642000000001</v>
      </c>
      <c r="C38">
        <v>20.443563999999999</v>
      </c>
      <c r="D38">
        <v>20.303595999999999</v>
      </c>
      <c r="E38">
        <v>20.355647000000001</v>
      </c>
      <c r="F38">
        <v>46.507762999999997</v>
      </c>
      <c r="G38">
        <v>47.775782</v>
      </c>
      <c r="H38">
        <v>38.293066000000003</v>
      </c>
      <c r="I38">
        <v>29.729035</v>
      </c>
      <c r="J38">
        <v>56.523860999999997</v>
      </c>
      <c r="K38">
        <v>54.669066000000001</v>
      </c>
      <c r="L38">
        <v>6.4668749999999999</v>
      </c>
      <c r="M38">
        <v>-622.48285799999996</v>
      </c>
      <c r="N38">
        <v>2.1612170000000002</v>
      </c>
      <c r="O38">
        <v>15.033659999999999</v>
      </c>
      <c r="P38">
        <f t="shared" si="3"/>
        <v>3.6020283333333335E-5</v>
      </c>
      <c r="Q38" cm="1">
        <f t="array" ref="Q38">[1]!PropsSI("D","T",J38+273.15,"P",101325,"Water")</f>
        <v>984.94807289939661</v>
      </c>
      <c r="R38" cm="1">
        <f t="array" ref="R38">[1]!PropsSI("D","T",K38+273.15,"P",101325,"Water")</f>
        <v>985.85298259132605</v>
      </c>
      <c r="S38">
        <f t="shared" si="4"/>
        <v>985.40052774536139</v>
      </c>
      <c r="T38" cm="1">
        <f t="array" ref="T38">[1]!PropsSI("H","T",J38+273.15,"P",101325,"Water")</f>
        <v>236703.74818252976</v>
      </c>
      <c r="U38" cm="1">
        <f t="array" ref="U38">[1]!PropsSI("H","T",K38+273.15,"P",101325,"Water")</f>
        <v>228944.81211605485</v>
      </c>
      <c r="V38">
        <f t="shared" si="5"/>
        <v>275.39882847142803</v>
      </c>
    </row>
    <row r="39" spans="1:22" x14ac:dyDescent="0.2">
      <c r="A39">
        <v>44660.865259838101</v>
      </c>
      <c r="B39">
        <v>20.464887999999998</v>
      </c>
      <c r="C39">
        <v>20.434521</v>
      </c>
      <c r="D39">
        <v>20.290841</v>
      </c>
      <c r="E39">
        <v>20.33774</v>
      </c>
      <c r="F39">
        <v>45.941662000000001</v>
      </c>
      <c r="G39">
        <v>47.672814000000002</v>
      </c>
      <c r="H39">
        <v>38.066856999999999</v>
      </c>
      <c r="I39">
        <v>28.80294</v>
      </c>
      <c r="J39">
        <v>56.526406999999999</v>
      </c>
      <c r="K39">
        <v>54.670180000000002</v>
      </c>
      <c r="L39">
        <v>9.0871519999999997</v>
      </c>
      <c r="M39">
        <v>-622.51142800000002</v>
      </c>
      <c r="N39">
        <v>2.1617380000000002</v>
      </c>
      <c r="O39">
        <v>14.779059</v>
      </c>
      <c r="P39">
        <f t="shared" si="3"/>
        <v>3.602896666666667E-5</v>
      </c>
      <c r="Q39" cm="1">
        <f t="array" ref="Q39">[1]!PropsSI("D","T",J39+273.15,"P",101325,"Water")</f>
        <v>984.94681622636767</v>
      </c>
      <c r="R39" cm="1">
        <f t="array" ref="R39">[1]!PropsSI("D","T",K39+273.15,"P",101325,"Water")</f>
        <v>985.8524454883584</v>
      </c>
      <c r="S39">
        <f t="shared" si="4"/>
        <v>985.39963085736304</v>
      </c>
      <c r="T39" cm="1">
        <f t="array" ref="T39">[1]!PropsSI("H","T",J39+273.15,"P",101325,"Water")</f>
        <v>236714.39943936578</v>
      </c>
      <c r="U39" cm="1">
        <f t="array" ref="U39">[1]!PropsSI("H","T",K39+273.15,"P",101325,"Water")</f>
        <v>228949.47179737306</v>
      </c>
      <c r="V39">
        <f t="shared" si="5"/>
        <v>275.67768605017056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6777-F1AD-1940-9B58-0A24F7EEB8A8}">
  <dimension ref="A1:W54"/>
  <sheetViews>
    <sheetView topLeftCell="J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44660.866637731699</v>
      </c>
      <c r="B2">
        <v>20.368669000000001</v>
      </c>
      <c r="C2">
        <v>20.387163999999999</v>
      </c>
      <c r="D2">
        <v>20.182447</v>
      </c>
      <c r="E2">
        <v>20.233446000000001</v>
      </c>
      <c r="F2">
        <v>39.609893999999997</v>
      </c>
      <c r="G2">
        <v>37.266739000000001</v>
      </c>
      <c r="H2">
        <v>34.217410000000001</v>
      </c>
      <c r="I2">
        <v>27.464314999999999</v>
      </c>
      <c r="J2">
        <v>56.482632000000002</v>
      </c>
      <c r="K2">
        <v>53.863275999999999</v>
      </c>
      <c r="L2">
        <v>18.665039</v>
      </c>
      <c r="M2">
        <v>-622.51428499999997</v>
      </c>
      <c r="N2">
        <v>2.1596440000000001</v>
      </c>
      <c r="O2">
        <v>14.943879000000001</v>
      </c>
      <c r="P2">
        <f t="shared" ref="P2:P65" si="0" xml:space="preserve"> N2*0.001/60</f>
        <v>3.5994066666666668E-5</v>
      </c>
      <c r="Q2" cm="1">
        <f t="array" ref="Q2">[1]!PropsSI("D","T",J2+273.15,"P",101325,"Water")</f>
        <v>984.96841749104624</v>
      </c>
      <c r="R2" cm="1">
        <f t="array" ref="R2">[1]!PropsSI("D","T",K2+273.15,"P",101325,"Water")</f>
        <v>986.23945444064202</v>
      </c>
      <c r="S2">
        <f t="shared" ref="S2:S65" si="1">(Q2+R2)/2</f>
        <v>985.60393596584413</v>
      </c>
      <c r="T2" cm="1">
        <f t="array" ref="T2">[1]!PropsSI("H","T",J2+273.15,"P",101325,"Water")</f>
        <v>236531.26594197587</v>
      </c>
      <c r="U2" cm="1">
        <f t="array" ref="U2">[1]!PropsSI("H","T",K2+273.15,"P",101325,"Water")</f>
        <v>225574.4378543015</v>
      </c>
      <c r="V2">
        <f t="shared" ref="V2:V65" si="2">S2*P2*(T2-U2)</f>
        <v>388.70326938305936</v>
      </c>
      <c r="W2" s="2">
        <f>AVERAGE(V6:V58)</f>
        <v>393.62823015770562</v>
      </c>
    </row>
    <row r="3" spans="1:23" x14ac:dyDescent="0.2">
      <c r="A3">
        <v>44660.866696180703</v>
      </c>
      <c r="B3">
        <v>20.384958999999998</v>
      </c>
      <c r="C3">
        <v>20.404478000000001</v>
      </c>
      <c r="D3">
        <v>20.159137000000001</v>
      </c>
      <c r="E3">
        <v>20.218876000000002</v>
      </c>
      <c r="F3">
        <v>39.863385999999998</v>
      </c>
      <c r="G3">
        <v>37.689498</v>
      </c>
      <c r="H3">
        <v>34.697831000000001</v>
      </c>
      <c r="I3">
        <v>27.780244</v>
      </c>
      <c r="J3">
        <v>56.475946</v>
      </c>
      <c r="K3">
        <v>53.853890999999997</v>
      </c>
      <c r="L3">
        <v>18.223428999999999</v>
      </c>
      <c r="M3">
        <v>-622.506122</v>
      </c>
      <c r="N3">
        <v>2.1653479999999998</v>
      </c>
      <c r="O3">
        <v>14.887418</v>
      </c>
      <c r="P3">
        <f t="shared" si="0"/>
        <v>3.6089133333333326E-5</v>
      </c>
      <c r="Q3" cm="1">
        <f t="array" ref="Q3">[1]!PropsSI("D","T",J3+273.15,"P",101325,"Water")</f>
        <v>984.9717157415671</v>
      </c>
      <c r="R3" cm="1">
        <f t="array" ref="R3">[1]!PropsSI("D","T",K3+273.15,"P",101325,"Water")</f>
        <v>986.24393169406369</v>
      </c>
      <c r="S3">
        <f t="shared" si="1"/>
        <v>985.60782371781534</v>
      </c>
      <c r="T3" cm="1">
        <f t="array" ref="T3">[1]!PropsSI("H","T",J3+273.15,"P",101325,"Water")</f>
        <v>236503.29500589435</v>
      </c>
      <c r="U3" cm="1">
        <f t="array" ref="U3">[1]!PropsSI("H","T",K3+273.15,"P",101325,"Water")</f>
        <v>225535.18458914847</v>
      </c>
      <c r="V3">
        <f t="shared" si="2"/>
        <v>390.13274987462859</v>
      </c>
      <c r="W3" s="2"/>
    </row>
    <row r="4" spans="1:23" x14ac:dyDescent="0.2">
      <c r="A4">
        <v>44660.866754051101</v>
      </c>
      <c r="B4">
        <v>20.373919000000001</v>
      </c>
      <c r="C4">
        <v>20.378208000000001</v>
      </c>
      <c r="D4">
        <v>20.152135999999999</v>
      </c>
      <c r="E4">
        <v>20.225961999999999</v>
      </c>
      <c r="F4">
        <v>39.895490000000002</v>
      </c>
      <c r="G4">
        <v>37.648879999999998</v>
      </c>
      <c r="H4">
        <v>34.795476999999998</v>
      </c>
      <c r="I4">
        <v>27.552854</v>
      </c>
      <c r="J4">
        <v>56.471966999999999</v>
      </c>
      <c r="K4">
        <v>53.847051</v>
      </c>
      <c r="L4">
        <v>19.092773000000001</v>
      </c>
      <c r="M4">
        <v>-622.45388000000003</v>
      </c>
      <c r="N4">
        <v>2.1591480000000001</v>
      </c>
      <c r="O4">
        <v>14.652526999999999</v>
      </c>
      <c r="P4">
        <f t="shared" si="0"/>
        <v>3.5985800000000004E-5</v>
      </c>
      <c r="Q4" cm="1">
        <f t="array" ref="Q4">[1]!PropsSI("D","T",J4+273.15,"P",101325,"Water")</f>
        <v>984.97367848031547</v>
      </c>
      <c r="R4" cm="1">
        <f t="array" ref="R4">[1]!PropsSI("D","T",K4+273.15,"P",101325,"Water")</f>
        <v>986.24719446883012</v>
      </c>
      <c r="S4">
        <f t="shared" si="1"/>
        <v>985.61043647457279</v>
      </c>
      <c r="T4" cm="1">
        <f t="array" ref="T4">[1]!PropsSI("H","T",J4+273.15,"P",101325,"Water")</f>
        <v>236486.64883481897</v>
      </c>
      <c r="U4" cm="1">
        <f t="array" ref="U4">[1]!PropsSI("H","T",K4+273.15,"P",101325,"Water")</f>
        <v>225506.57594188146</v>
      </c>
      <c r="V4">
        <f t="shared" si="2"/>
        <v>389.44100625810916</v>
      </c>
      <c r="W4" s="2"/>
    </row>
    <row r="5" spans="1:23" x14ac:dyDescent="0.2">
      <c r="A5">
        <v>44660.8668119215</v>
      </c>
      <c r="B5">
        <v>20.374780999999999</v>
      </c>
      <c r="C5">
        <v>20.388580999999999</v>
      </c>
      <c r="D5">
        <v>20.150205</v>
      </c>
      <c r="E5">
        <v>20.217388</v>
      </c>
      <c r="F5">
        <v>39.617936999999998</v>
      </c>
      <c r="G5">
        <v>37.468809</v>
      </c>
      <c r="H5">
        <v>35.147624999999998</v>
      </c>
      <c r="I5">
        <v>27.169709000000001</v>
      </c>
      <c r="J5">
        <v>56.465280999999997</v>
      </c>
      <c r="K5">
        <v>53.838937999999999</v>
      </c>
      <c r="L5">
        <v>19.101752000000001</v>
      </c>
      <c r="M5">
        <v>-622.48326599999996</v>
      </c>
      <c r="N5">
        <v>2.1625160000000001</v>
      </c>
      <c r="O5">
        <v>14.935288999999999</v>
      </c>
      <c r="P5">
        <f t="shared" si="0"/>
        <v>3.6041933333333338E-5</v>
      </c>
      <c r="Q5" cm="1">
        <f t="array" ref="Q5">[1]!PropsSI("D","T",J5+273.15,"P",101325,"Water")</f>
        <v>984.9769762948232</v>
      </c>
      <c r="R5" cm="1">
        <f t="array" ref="R5">[1]!PropsSI("D","T",K5+273.15,"P",101325,"Water")</f>
        <v>986.25106410101796</v>
      </c>
      <c r="S5">
        <f t="shared" si="1"/>
        <v>985.61402019792058</v>
      </c>
      <c r="T5" cm="1">
        <f t="array" ref="T5">[1]!PropsSI("H","T",J5+273.15,"P",101325,"Water")</f>
        <v>236458.67792615824</v>
      </c>
      <c r="U5" cm="1">
        <f t="array" ref="U5">[1]!PropsSI("H","T",K5+273.15,"P",101325,"Water")</f>
        <v>225472.64292837508</v>
      </c>
      <c r="V5">
        <f t="shared" si="2"/>
        <v>390.2616980462447</v>
      </c>
      <c r="W5" s="2"/>
    </row>
    <row r="6" spans="1:23" x14ac:dyDescent="0.2">
      <c r="A6">
        <v>46122.866870370373</v>
      </c>
      <c r="B6">
        <v>20.382334</v>
      </c>
      <c r="C6">
        <v>20.390035000000001</v>
      </c>
      <c r="D6">
        <v>20.164193999999998</v>
      </c>
      <c r="E6">
        <v>20.225489</v>
      </c>
      <c r="F6">
        <v>40.156179000000002</v>
      </c>
      <c r="G6">
        <v>36.889006999999999</v>
      </c>
      <c r="H6">
        <v>34.825657999999997</v>
      </c>
      <c r="I6">
        <v>27.334351000000002</v>
      </c>
      <c r="J6">
        <v>56.461461</v>
      </c>
      <c r="K6">
        <v>53.832734000000002</v>
      </c>
      <c r="L6">
        <v>18.860948</v>
      </c>
      <c r="M6">
        <v>-622.49959200000001</v>
      </c>
      <c r="N6">
        <v>2.16534</v>
      </c>
      <c r="O6">
        <v>14.810117</v>
      </c>
      <c r="P6">
        <f t="shared" si="0"/>
        <v>3.6089E-5</v>
      </c>
      <c r="Q6" cm="1">
        <f t="array" ref="Q6">[1]!PropsSI("D","T",J6+273.15,"P",101325,"Water")</f>
        <v>984.97886035570468</v>
      </c>
      <c r="R6" cm="1">
        <f t="array" ref="R6">[1]!PropsSI("D","T",K6+273.15,"P",101325,"Water")</f>
        <v>986.25402292434273</v>
      </c>
      <c r="S6">
        <f t="shared" si="1"/>
        <v>985.61644164002371</v>
      </c>
      <c r="T6" cm="1">
        <f t="array" ref="T6">[1]!PropsSI("H","T",J6+273.15,"P",101325,"Water")</f>
        <v>236442.69694802651</v>
      </c>
      <c r="U6" cm="1">
        <f t="array" ref="U6">[1]!PropsSI("H","T",K6+273.15,"P",101325,"Water")</f>
        <v>225446.69441466988</v>
      </c>
      <c r="V6">
        <f t="shared" si="2"/>
        <v>391.12683985003736</v>
      </c>
      <c r="W6" s="2"/>
    </row>
    <row r="7" spans="1:23" x14ac:dyDescent="0.2">
      <c r="A7">
        <v>46122.866928819443</v>
      </c>
      <c r="B7">
        <v>20.389220999999999</v>
      </c>
      <c r="C7">
        <v>20.388507000000001</v>
      </c>
      <c r="D7">
        <v>20.143398999999999</v>
      </c>
      <c r="E7">
        <v>20.209962999999998</v>
      </c>
      <c r="F7">
        <v>39.936309999999999</v>
      </c>
      <c r="G7">
        <v>37.509552999999997</v>
      </c>
      <c r="H7">
        <v>35.117365999999997</v>
      </c>
      <c r="I7">
        <v>27.154547999999998</v>
      </c>
      <c r="J7">
        <v>56.460824000000002</v>
      </c>
      <c r="K7">
        <v>53.830188999999997</v>
      </c>
      <c r="L7">
        <v>19.813962</v>
      </c>
      <c r="M7">
        <v>-622.493878</v>
      </c>
      <c r="N7">
        <v>2.1595580000000001</v>
      </c>
      <c r="O7">
        <v>14.931158999999999</v>
      </c>
      <c r="P7">
        <f t="shared" si="0"/>
        <v>3.5992633333333338E-5</v>
      </c>
      <c r="Q7" cm="1">
        <f t="array" ref="Q7">[1]!PropsSI("D","T",J7+273.15,"P",101325,"Water")</f>
        <v>984.97917452158811</v>
      </c>
      <c r="R7" cm="1">
        <f t="array" ref="R7">[1]!PropsSI("D","T",K7+273.15,"P",101325,"Water")</f>
        <v>986.25523662054843</v>
      </c>
      <c r="S7">
        <f t="shared" si="1"/>
        <v>985.61720557106833</v>
      </c>
      <c r="T7" cm="1">
        <f t="array" ref="T7">[1]!PropsSI("H","T",J7+273.15,"P",101325,"Water")</f>
        <v>236440.03205775755</v>
      </c>
      <c r="U7" cm="1">
        <f t="array" ref="U7">[1]!PropsSI("H","T",K7+273.15,"P",101325,"Water")</f>
        <v>225436.04983960697</v>
      </c>
      <c r="V7">
        <f t="shared" si="2"/>
        <v>390.36581458295979</v>
      </c>
      <c r="W7" s="2"/>
    </row>
    <row r="8" spans="1:23" x14ac:dyDescent="0.2">
      <c r="A8">
        <v>46122.86698726852</v>
      </c>
      <c r="B8">
        <v>20.409935999999998</v>
      </c>
      <c r="C8">
        <v>20.409281</v>
      </c>
      <c r="D8">
        <v>20.140260999999999</v>
      </c>
      <c r="E8">
        <v>20.224087999999998</v>
      </c>
      <c r="F8">
        <v>39.836154000000001</v>
      </c>
      <c r="G8">
        <v>36.651721999999999</v>
      </c>
      <c r="H8">
        <v>35.250104</v>
      </c>
      <c r="I8">
        <v>27.328842999999999</v>
      </c>
      <c r="J8">
        <v>56.456525999999997</v>
      </c>
      <c r="K8">
        <v>53.827007999999999</v>
      </c>
      <c r="L8">
        <v>18.791972000000001</v>
      </c>
      <c r="M8">
        <v>-622.49959200000001</v>
      </c>
      <c r="N8">
        <v>2.1595580000000001</v>
      </c>
      <c r="O8">
        <v>14.762589</v>
      </c>
      <c r="P8">
        <f t="shared" si="0"/>
        <v>3.5992633333333338E-5</v>
      </c>
      <c r="Q8" cm="1">
        <f t="array" ref="Q8">[1]!PropsSI("D","T",J8+273.15,"P",101325,"Water")</f>
        <v>984.98129421324234</v>
      </c>
      <c r="R8" cm="1">
        <f t="array" ref="R8">[1]!PropsSI("D","T",K8+273.15,"P",101325,"Water")</f>
        <v>986.25675356433339</v>
      </c>
      <c r="S8">
        <f t="shared" si="1"/>
        <v>985.61902388878786</v>
      </c>
      <c r="T8" cm="1">
        <f t="array" ref="T8">[1]!PropsSI("H","T",J8+273.15,"P",101325,"Water")</f>
        <v>236422.05137339848</v>
      </c>
      <c r="U8" cm="1">
        <f t="array" ref="U8">[1]!PropsSI("H","T",K8+273.15,"P",101325,"Water")</f>
        <v>225422.74516954474</v>
      </c>
      <c r="V8">
        <f t="shared" si="2"/>
        <v>390.20065303002571</v>
      </c>
      <c r="W8" s="2"/>
    </row>
    <row r="9" spans="1:23" x14ac:dyDescent="0.2">
      <c r="A9">
        <v>46122.86704571759</v>
      </c>
      <c r="B9">
        <v>20.404985</v>
      </c>
      <c r="C9">
        <v>20.42596</v>
      </c>
      <c r="D9">
        <v>20.150672</v>
      </c>
      <c r="E9">
        <v>20.216242000000001</v>
      </c>
      <c r="F9">
        <v>39.957433000000002</v>
      </c>
      <c r="G9">
        <v>37.051149000000002</v>
      </c>
      <c r="H9">
        <v>34.618907</v>
      </c>
      <c r="I9">
        <v>27.140221</v>
      </c>
      <c r="J9">
        <v>56.453184</v>
      </c>
      <c r="K9">
        <v>53.820168000000002</v>
      </c>
      <c r="L9">
        <v>19.308681</v>
      </c>
      <c r="M9">
        <v>-622.49183700000003</v>
      </c>
      <c r="N9">
        <v>2.1619259999999998</v>
      </c>
      <c r="O9">
        <v>14.544650000000001</v>
      </c>
      <c r="P9">
        <f t="shared" si="0"/>
        <v>3.6032099999999997E-5</v>
      </c>
      <c r="Q9" cm="1">
        <f t="array" ref="Q9">[1]!PropsSI("D","T",J9+273.15,"P",101325,"Water")</f>
        <v>984.98294234586763</v>
      </c>
      <c r="R9" cm="1">
        <f t="array" ref="R9">[1]!PropsSI("D","T",K9+273.15,"P",101325,"Water")</f>
        <v>986.26001518340411</v>
      </c>
      <c r="S9">
        <f t="shared" si="1"/>
        <v>985.62147876463587</v>
      </c>
      <c r="T9" cm="1">
        <f t="array" ref="T9">[1]!PropsSI("H","T",J9+273.15,"P",101325,"Water")</f>
        <v>236408.07012025683</v>
      </c>
      <c r="U9" cm="1">
        <f t="array" ref="U9">[1]!PropsSI("H","T",K9+273.15,"P",101325,"Water")</f>
        <v>225394.13658554008</v>
      </c>
      <c r="V9">
        <f t="shared" si="2"/>
        <v>391.14896424969152</v>
      </c>
      <c r="W9" s="2"/>
    </row>
    <row r="10" spans="1:23" x14ac:dyDescent="0.2">
      <c r="A10">
        <v>44660.867103588098</v>
      </c>
      <c r="B10">
        <v>20.391075000000001</v>
      </c>
      <c r="C10">
        <v>20.439097</v>
      </c>
      <c r="D10">
        <v>20.146629999999998</v>
      </c>
      <c r="E10">
        <v>20.220053</v>
      </c>
      <c r="F10">
        <v>39.841911000000003</v>
      </c>
      <c r="G10">
        <v>37.785356999999998</v>
      </c>
      <c r="H10">
        <v>34.272436999999996</v>
      </c>
      <c r="I10">
        <v>27.587195000000001</v>
      </c>
      <c r="J10">
        <v>56.451273</v>
      </c>
      <c r="K10">
        <v>53.818736000000001</v>
      </c>
      <c r="L10">
        <v>19.317252</v>
      </c>
      <c r="M10">
        <v>-622.48897999999997</v>
      </c>
      <c r="N10">
        <v>2.1622050000000002</v>
      </c>
      <c r="O10">
        <v>14.464005999999999</v>
      </c>
      <c r="P10">
        <f t="shared" si="0"/>
        <v>3.6036750000000004E-5</v>
      </c>
      <c r="Q10" cm="1">
        <f t="array" ref="Q10">[1]!PropsSI("D","T",J10+273.15,"P",101325,"Water")</f>
        <v>984.98388473933073</v>
      </c>
      <c r="R10" cm="1">
        <f t="array" ref="R10">[1]!PropsSI("D","T",K10+273.15,"P",101325,"Water")</f>
        <v>986.26069798803371</v>
      </c>
      <c r="S10">
        <f t="shared" si="1"/>
        <v>985.62229136368228</v>
      </c>
      <c r="T10" cm="1">
        <f t="array" ref="T10">[1]!PropsSI("H","T",J10+273.15,"P",101325,"Water")</f>
        <v>236400.07545584021</v>
      </c>
      <c r="U10" cm="1">
        <f t="array" ref="U10">[1]!PropsSI("H","T",K10+273.15,"P",101325,"Water")</f>
        <v>225388.14718811942</v>
      </c>
      <c r="V10">
        <f t="shared" si="2"/>
        <v>391.1285408487401</v>
      </c>
    </row>
    <row r="11" spans="1:23" x14ac:dyDescent="0.2">
      <c r="A11">
        <v>44660.867161458496</v>
      </c>
      <c r="B11">
        <v>20.389004</v>
      </c>
      <c r="C11">
        <v>20.426597000000001</v>
      </c>
      <c r="D11">
        <v>20.144808999999999</v>
      </c>
      <c r="E11">
        <v>20.216412999999999</v>
      </c>
      <c r="F11">
        <v>39.876350000000002</v>
      </c>
      <c r="G11">
        <v>38.698582000000002</v>
      </c>
      <c r="H11">
        <v>33.724569000000002</v>
      </c>
      <c r="I11">
        <v>27.272062999999999</v>
      </c>
      <c r="J11">
        <v>56.446339000000002</v>
      </c>
      <c r="K11">
        <v>53.816032</v>
      </c>
      <c r="L11">
        <v>16.482292000000001</v>
      </c>
      <c r="M11">
        <v>-622.50081599999999</v>
      </c>
      <c r="N11">
        <v>2.1673070000000001</v>
      </c>
      <c r="O11">
        <v>14.989971000000001</v>
      </c>
      <c r="P11">
        <f t="shared" si="0"/>
        <v>3.612178333333334E-5</v>
      </c>
      <c r="Q11" cm="1">
        <f t="array" ref="Q11">[1]!PropsSI("D","T",J11+273.15,"P",101325,"Water")</f>
        <v>984.98631779627942</v>
      </c>
      <c r="R11" cm="1">
        <f t="array" ref="R11">[1]!PropsSI("D","T",K11+273.15,"P",101325,"Water")</f>
        <v>986.26198727116991</v>
      </c>
      <c r="S11">
        <f t="shared" si="1"/>
        <v>985.62415253372467</v>
      </c>
      <c r="T11" cm="1">
        <f t="array" ref="T11">[1]!PropsSI("H","T",J11+273.15,"P",101325,"Water")</f>
        <v>236379.43408396991</v>
      </c>
      <c r="U11" cm="1">
        <f t="array" ref="U11">[1]!PropsSI("H","T",K11+273.15,"P",101325,"Water")</f>
        <v>225376.83760163203</v>
      </c>
      <c r="V11">
        <f t="shared" si="2"/>
        <v>391.71996421300918</v>
      </c>
    </row>
    <row r="12" spans="1:23" x14ac:dyDescent="0.2">
      <c r="A12">
        <v>44660.867219907603</v>
      </c>
      <c r="B12">
        <v>20.377791999999999</v>
      </c>
      <c r="C12">
        <v>20.425462</v>
      </c>
      <c r="D12">
        <v>20.147387999999999</v>
      </c>
      <c r="E12">
        <v>20.213911</v>
      </c>
      <c r="F12">
        <v>39.505401999999997</v>
      </c>
      <c r="G12">
        <v>37.116033999999999</v>
      </c>
      <c r="H12">
        <v>34.507129999999997</v>
      </c>
      <c r="I12">
        <v>27.804779</v>
      </c>
      <c r="J12">
        <v>56.445225000000001</v>
      </c>
      <c r="K12">
        <v>53.808714999999999</v>
      </c>
      <c r="L12">
        <v>19.191544</v>
      </c>
      <c r="M12">
        <v>-622.49673499999994</v>
      </c>
      <c r="N12">
        <v>2.1625290000000001</v>
      </c>
      <c r="O12">
        <v>14.44131</v>
      </c>
      <c r="P12">
        <f t="shared" si="0"/>
        <v>3.6042150000000002E-5</v>
      </c>
      <c r="Q12" cm="1">
        <f t="array" ref="Q12">[1]!PropsSI("D","T",J12+273.15,"P",101325,"Water")</f>
        <v>984.98686711201537</v>
      </c>
      <c r="R12" cm="1">
        <f t="array" ref="R12">[1]!PropsSI("D","T",K12+273.15,"P",101325,"Water")</f>
        <v>986.26547582941646</v>
      </c>
      <c r="S12">
        <f t="shared" si="1"/>
        <v>985.62617147071592</v>
      </c>
      <c r="T12" cm="1">
        <f t="array" ref="T12">[1]!PropsSI("H","T",J12+273.15,"P",101325,"Water")</f>
        <v>236374.77367017273</v>
      </c>
      <c r="U12" cm="1">
        <f t="array" ref="U12">[1]!PropsSI("H","T",K12+273.15,"P",101325,"Water")</f>
        <v>225346.23397349054</v>
      </c>
      <c r="V12">
        <f t="shared" si="2"/>
        <v>391.77879612517847</v>
      </c>
    </row>
    <row r="13" spans="1:23" x14ac:dyDescent="0.2">
      <c r="A13">
        <v>44660.867277778001</v>
      </c>
      <c r="B13">
        <v>20.391472</v>
      </c>
      <c r="C13">
        <v>20.427419</v>
      </c>
      <c r="D13">
        <v>20.142845000000001</v>
      </c>
      <c r="E13">
        <v>20.206427999999999</v>
      </c>
      <c r="F13">
        <v>39.856555</v>
      </c>
      <c r="G13">
        <v>36.500970000000002</v>
      </c>
      <c r="H13">
        <v>35.422756</v>
      </c>
      <c r="I13">
        <v>27.209323999999999</v>
      </c>
      <c r="J13">
        <v>56.440449000000001</v>
      </c>
      <c r="K13">
        <v>53.807284000000003</v>
      </c>
      <c r="L13">
        <v>16.725545</v>
      </c>
      <c r="M13">
        <v>-622.51224400000001</v>
      </c>
      <c r="N13">
        <v>2.164971</v>
      </c>
      <c r="O13">
        <v>14.935632</v>
      </c>
      <c r="P13">
        <f t="shared" si="0"/>
        <v>3.6082849999999996E-5</v>
      </c>
      <c r="Q13" cm="1">
        <f t="array" ref="Q13">[1]!PropsSI("D","T",J13+273.15,"P",101325,"Water")</f>
        <v>984.98922208155898</v>
      </c>
      <c r="R13" cm="1">
        <f t="array" ref="R13">[1]!PropsSI("D","T",K13+273.15,"P",101325,"Water")</f>
        <v>986.26615805421909</v>
      </c>
      <c r="S13">
        <f t="shared" si="1"/>
        <v>985.62769006788903</v>
      </c>
      <c r="T13" cm="1">
        <f t="array" ref="T13">[1]!PropsSI("H","T",J13+273.15,"P",101325,"Water")</f>
        <v>236354.79330169232</v>
      </c>
      <c r="U13" cm="1">
        <f t="array" ref="U13">[1]!PropsSI("H","T",K13+273.15,"P",101325,"Water")</f>
        <v>225340.2487642437</v>
      </c>
      <c r="V13">
        <f t="shared" si="2"/>
        <v>391.72408271685606</v>
      </c>
    </row>
    <row r="14" spans="1:23" x14ac:dyDescent="0.2">
      <c r="A14">
        <v>44660.867336226998</v>
      </c>
      <c r="B14">
        <v>20.384623000000001</v>
      </c>
      <c r="C14">
        <v>20.432699</v>
      </c>
      <c r="D14">
        <v>20.121894000000001</v>
      </c>
      <c r="E14">
        <v>20.191896</v>
      </c>
      <c r="F14">
        <v>39.896783999999997</v>
      </c>
      <c r="G14">
        <v>35.474257999999999</v>
      </c>
      <c r="H14">
        <v>35.193368</v>
      </c>
      <c r="I14">
        <v>27.473718000000002</v>
      </c>
      <c r="J14">
        <v>56.442359000000003</v>
      </c>
      <c r="K14">
        <v>53.806966000000003</v>
      </c>
      <c r="L14">
        <v>18.347912000000001</v>
      </c>
      <c r="M14">
        <v>-622.50775499999997</v>
      </c>
      <c r="N14">
        <v>2.1637870000000001</v>
      </c>
      <c r="O14">
        <v>14.876972</v>
      </c>
      <c r="P14">
        <f t="shared" si="0"/>
        <v>3.6063116666666674E-5</v>
      </c>
      <c r="Q14" cm="1">
        <f t="array" ref="Q14">[1]!PropsSI("D","T",J14+273.15,"P",101325,"Water")</f>
        <v>984.98828030772711</v>
      </c>
      <c r="R14" cm="1">
        <f t="array" ref="R14">[1]!PropsSI("D","T",K14+273.15,"P",101325,"Water")</f>
        <v>986.26630965798654</v>
      </c>
      <c r="S14">
        <f t="shared" si="1"/>
        <v>985.62729498285682</v>
      </c>
      <c r="T14" cm="1">
        <f t="array" ref="T14">[1]!PropsSI("H","T",J14+273.15,"P",101325,"Water")</f>
        <v>236362.78377457353</v>
      </c>
      <c r="U14" cm="1">
        <f t="array" ref="U14">[1]!PropsSI("H","T",K14+273.15,"P",101325,"Water")</f>
        <v>225338.91871784558</v>
      </c>
      <c r="V14">
        <f t="shared" si="2"/>
        <v>391.84099189753397</v>
      </c>
    </row>
    <row r="15" spans="1:23" x14ac:dyDescent="0.2">
      <c r="A15">
        <v>46122.867394097222</v>
      </c>
      <c r="B15">
        <v>20.360803000000001</v>
      </c>
      <c r="C15">
        <v>20.406991000000001</v>
      </c>
      <c r="D15">
        <v>20.110811999999999</v>
      </c>
      <c r="E15">
        <v>20.191496000000001</v>
      </c>
      <c r="F15">
        <v>39.764885</v>
      </c>
      <c r="G15">
        <v>38.564697000000002</v>
      </c>
      <c r="H15">
        <v>35.239389000000003</v>
      </c>
      <c r="I15">
        <v>26.995567000000001</v>
      </c>
      <c r="J15">
        <v>56.439335</v>
      </c>
      <c r="K15">
        <v>53.803624999999997</v>
      </c>
      <c r="L15">
        <v>19.716415000000001</v>
      </c>
      <c r="M15">
        <v>-622.50244899999996</v>
      </c>
      <c r="N15">
        <v>2.1564019999999999</v>
      </c>
      <c r="O15">
        <v>14.959357000000001</v>
      </c>
      <c r="P15">
        <f t="shared" si="0"/>
        <v>3.5940033333333332E-5</v>
      </c>
      <c r="Q15" cm="1">
        <f t="array" ref="Q15">[1]!PropsSI("D","T",J15+273.15,"P",101325,"Water")</f>
        <v>984.98977135715893</v>
      </c>
      <c r="R15" cm="1">
        <f t="array" ref="R15">[1]!PropsSI("D","T",K15+273.15,"P",101325,"Water")</f>
        <v>986.26790241257288</v>
      </c>
      <c r="S15">
        <f t="shared" si="1"/>
        <v>985.6288368848659</v>
      </c>
      <c r="T15" cm="1">
        <f t="array" ref="T15">[1]!PropsSI("H","T",J15+273.15,"P",101325,"Water")</f>
        <v>236350.13289030871</v>
      </c>
      <c r="U15" cm="1">
        <f t="array" ref="U15">[1]!PropsSI("H","T",K15+273.15,"P",101325,"Water")</f>
        <v>225324.94486761207</v>
      </c>
      <c r="V15">
        <f t="shared" si="2"/>
        <v>390.55111453084817</v>
      </c>
    </row>
    <row r="16" spans="1:23" x14ac:dyDescent="0.2">
      <c r="A16">
        <v>46122.867451967591</v>
      </c>
      <c r="B16">
        <v>20.318539000000001</v>
      </c>
      <c r="C16">
        <v>20.380869000000001</v>
      </c>
      <c r="D16">
        <v>20.119281000000001</v>
      </c>
      <c r="E16">
        <v>20.198039999999999</v>
      </c>
      <c r="F16">
        <v>39.866171000000001</v>
      </c>
      <c r="G16">
        <v>37.592582</v>
      </c>
      <c r="H16">
        <v>34.367018000000002</v>
      </c>
      <c r="I16">
        <v>26.926396</v>
      </c>
      <c r="J16">
        <v>56.437266000000001</v>
      </c>
      <c r="K16">
        <v>53.796308000000003</v>
      </c>
      <c r="L16">
        <v>17.944258999999999</v>
      </c>
      <c r="M16">
        <v>-622.50857099999996</v>
      </c>
      <c r="N16">
        <v>2.1595740000000001</v>
      </c>
      <c r="O16">
        <v>14.937042</v>
      </c>
      <c r="P16">
        <f t="shared" si="0"/>
        <v>3.5992899999999999E-5</v>
      </c>
      <c r="Q16" cm="1">
        <f t="array" ref="Q16">[1]!PropsSI("D","T",J16+273.15,"P",101325,"Water")</f>
        <v>984.99079149071281</v>
      </c>
      <c r="R16" cm="1">
        <f t="array" ref="R16">[1]!PropsSI("D","T",K16+273.15,"P",101325,"Water")</f>
        <v>986.27139040003942</v>
      </c>
      <c r="S16">
        <f t="shared" si="1"/>
        <v>985.63109094537617</v>
      </c>
      <c r="T16" cm="1">
        <f t="array" ref="T16">[1]!PropsSI("H","T",J16+273.15,"P",101325,"Water")</f>
        <v>236341.47724435769</v>
      </c>
      <c r="U16" cm="1">
        <f t="array" ref="U16">[1]!PropsSI("H","T",K16+273.15,"P",101325,"Water")</f>
        <v>225294.34127071302</v>
      </c>
      <c r="V16">
        <f t="shared" si="2"/>
        <v>391.90511689007235</v>
      </c>
    </row>
    <row r="17" spans="1:22" x14ac:dyDescent="0.2">
      <c r="A17">
        <v>46122.867510416669</v>
      </c>
      <c r="B17">
        <v>20.309594000000001</v>
      </c>
      <c r="C17">
        <v>20.373857000000001</v>
      </c>
      <c r="D17">
        <v>20.128519000000001</v>
      </c>
      <c r="E17">
        <v>20.191790000000001</v>
      </c>
      <c r="F17">
        <v>39.674176000000003</v>
      </c>
      <c r="G17">
        <v>37.402208999999999</v>
      </c>
      <c r="H17">
        <v>34.920884999999998</v>
      </c>
      <c r="I17">
        <v>27.703268999999999</v>
      </c>
      <c r="J17">
        <v>56.437106</v>
      </c>
      <c r="K17">
        <v>53.792968000000002</v>
      </c>
      <c r="L17">
        <v>17.838142000000001</v>
      </c>
      <c r="M17">
        <v>-622.49183700000003</v>
      </c>
      <c r="N17">
        <v>2.165848</v>
      </c>
      <c r="O17">
        <v>14.652946</v>
      </c>
      <c r="P17">
        <f t="shared" si="0"/>
        <v>3.6097466666666671E-5</v>
      </c>
      <c r="Q17" cm="1">
        <f t="array" ref="Q17">[1]!PropsSI("D","T",J17+273.15,"P",101325,"Water")</f>
        <v>984.99087037864012</v>
      </c>
      <c r="R17" cm="1">
        <f t="array" ref="R17">[1]!PropsSI("D","T",K17+273.15,"P",101325,"Water")</f>
        <v>986.27298245408178</v>
      </c>
      <c r="S17">
        <f t="shared" si="1"/>
        <v>985.63192641636101</v>
      </c>
      <c r="T17" cm="1">
        <f t="array" ref="T17">[1]!PropsSI("H","T",J17+273.15,"P",101325,"Water")</f>
        <v>236340.80788561786</v>
      </c>
      <c r="U17" cm="1">
        <f t="array" ref="U17">[1]!PropsSI("H","T",K17+273.15,"P",101325,"Water")</f>
        <v>225280.37161519972</v>
      </c>
      <c r="V17">
        <f t="shared" si="2"/>
        <v>393.51722262491546</v>
      </c>
    </row>
    <row r="18" spans="1:22" x14ac:dyDescent="0.2">
      <c r="A18">
        <v>46122.867568287038</v>
      </c>
      <c r="B18">
        <v>20.307561</v>
      </c>
      <c r="C18">
        <v>20.365341000000001</v>
      </c>
      <c r="D18">
        <v>20.126038999999999</v>
      </c>
      <c r="E18">
        <v>20.197607000000001</v>
      </c>
      <c r="F18">
        <v>39.863481</v>
      </c>
      <c r="G18">
        <v>36.985053000000001</v>
      </c>
      <c r="H18">
        <v>34.186120000000003</v>
      </c>
      <c r="I18">
        <v>27.290382000000001</v>
      </c>
      <c r="J18">
        <v>56.435037000000001</v>
      </c>
      <c r="K18">
        <v>53.791376999999997</v>
      </c>
      <c r="L18">
        <v>19.026654000000001</v>
      </c>
      <c r="M18">
        <v>-622.48489900000004</v>
      </c>
      <c r="N18">
        <v>2.1689539999999998</v>
      </c>
      <c r="O18">
        <v>14.837896000000001</v>
      </c>
      <c r="P18">
        <f t="shared" si="0"/>
        <v>3.6149233333333329E-5</v>
      </c>
      <c r="Q18" cm="1">
        <f t="array" ref="Q18">[1]!PropsSI("D","T",J18+273.15,"P",101325,"Water")</f>
        <v>984.99189048398875</v>
      </c>
      <c r="R18" cm="1">
        <f t="array" ref="R18">[1]!PropsSI("D","T",K18+273.15,"P",101325,"Water")</f>
        <v>986.27374080006712</v>
      </c>
      <c r="S18">
        <f t="shared" si="1"/>
        <v>985.63281564202794</v>
      </c>
      <c r="T18" cm="1">
        <f t="array" ref="T18">[1]!PropsSI("H","T",J18+273.15,"P",101325,"Water")</f>
        <v>236332.15224136625</v>
      </c>
      <c r="U18" cm="1">
        <f t="array" ref="U18">[1]!PropsSI("H","T",K18+273.15,"P",101325,"Water")</f>
        <v>225273.71720879502</v>
      </c>
      <c r="V18">
        <f t="shared" si="2"/>
        <v>394.01060962095886</v>
      </c>
    </row>
    <row r="19" spans="1:22" x14ac:dyDescent="0.2">
      <c r="A19">
        <v>46122.867626157407</v>
      </c>
      <c r="B19">
        <v>20.335856</v>
      </c>
      <c r="C19">
        <v>20.391772</v>
      </c>
      <c r="D19">
        <v>20.131575999999999</v>
      </c>
      <c r="E19">
        <v>20.200789</v>
      </c>
      <c r="F19">
        <v>39.721978</v>
      </c>
      <c r="G19">
        <v>38.680712999999997</v>
      </c>
      <c r="H19">
        <v>34.411442999999998</v>
      </c>
      <c r="I19">
        <v>27.211027999999999</v>
      </c>
      <c r="J19">
        <v>56.431534999999997</v>
      </c>
      <c r="K19">
        <v>53.785491999999998</v>
      </c>
      <c r="L19">
        <v>17.521014999999998</v>
      </c>
      <c r="M19">
        <v>-622.47306300000002</v>
      </c>
      <c r="N19">
        <v>2.1612089999999999</v>
      </c>
      <c r="O19">
        <v>14.760771999999999</v>
      </c>
      <c r="P19">
        <f t="shared" si="0"/>
        <v>3.6020150000000001E-5</v>
      </c>
      <c r="Q19" cm="1">
        <f t="array" ref="Q19">[1]!PropsSI("D","T",J19+273.15,"P",101325,"Water")</f>
        <v>984.99361705983608</v>
      </c>
      <c r="R19" cm="1">
        <f t="array" ref="R19">[1]!PropsSI("D","T",K19+273.15,"P",101325,"Water")</f>
        <v>986.27654573158418</v>
      </c>
      <c r="S19">
        <f t="shared" si="1"/>
        <v>985.63508139571013</v>
      </c>
      <c r="T19" cm="1">
        <f t="array" ref="T19">[1]!PropsSI("H","T",J19+273.15,"P",101325,"Water")</f>
        <v>236317.50165741082</v>
      </c>
      <c r="U19" cm="1">
        <f t="array" ref="U19">[1]!PropsSI("H","T",K19+273.15,"P",101325,"Water")</f>
        <v>225249.10302300061</v>
      </c>
      <c r="V19">
        <f t="shared" si="2"/>
        <v>392.9582960521717</v>
      </c>
    </row>
    <row r="20" spans="1:22" x14ac:dyDescent="0.2">
      <c r="A20">
        <v>46122.867684606485</v>
      </c>
      <c r="B20">
        <v>20.348018</v>
      </c>
      <c r="C20">
        <v>20.406618000000002</v>
      </c>
      <c r="D20">
        <v>20.134117</v>
      </c>
      <c r="E20">
        <v>20.237765</v>
      </c>
      <c r="F20">
        <v>39.798926999999999</v>
      </c>
      <c r="G20">
        <v>37.315545</v>
      </c>
      <c r="H20">
        <v>35.095415000000003</v>
      </c>
      <c r="I20">
        <v>27.347935</v>
      </c>
      <c r="J20">
        <v>56.429783999999998</v>
      </c>
      <c r="K20">
        <v>53.787081999999998</v>
      </c>
      <c r="L20">
        <v>18.171187</v>
      </c>
      <c r="M20">
        <v>-622.47591999999997</v>
      </c>
      <c r="N20">
        <v>2.162131</v>
      </c>
      <c r="O20">
        <v>14.933471000000001</v>
      </c>
      <c r="P20">
        <f t="shared" si="0"/>
        <v>3.6035516666666668E-5</v>
      </c>
      <c r="Q20" cm="1">
        <f t="array" ref="Q20">[1]!PropsSI("D","T",J20+273.15,"P",101325,"Water")</f>
        <v>984.99448031964266</v>
      </c>
      <c r="R20" cm="1">
        <f t="array" ref="R20">[1]!PropsSI("D","T",K20+273.15,"P",101325,"Water")</f>
        <v>986.27578792108841</v>
      </c>
      <c r="S20">
        <f t="shared" si="1"/>
        <v>985.63513412036559</v>
      </c>
      <c r="T20" cm="1">
        <f t="array" ref="T20">[1]!PropsSI("H","T",J20+273.15,"P",101325,"Water")</f>
        <v>236310.17636712894</v>
      </c>
      <c r="U20" cm="1">
        <f t="array" ref="U20">[1]!PropsSI("H","T",K20+273.15,"P",101325,"Water")</f>
        <v>225255.75324368983</v>
      </c>
      <c r="V20">
        <f t="shared" si="2"/>
        <v>392.6295778255224</v>
      </c>
    </row>
    <row r="21" spans="1:22" x14ac:dyDescent="0.2">
      <c r="A21">
        <v>46122.867743055554</v>
      </c>
      <c r="B21">
        <v>20.378209999999999</v>
      </c>
      <c r="C21">
        <v>20.413803999999999</v>
      </c>
      <c r="D21">
        <v>20.142230999999999</v>
      </c>
      <c r="E21">
        <v>20.227644999999999</v>
      </c>
      <c r="F21">
        <v>40.164411999999999</v>
      </c>
      <c r="G21">
        <v>35.731439000000002</v>
      </c>
      <c r="H21">
        <v>34.994776000000002</v>
      </c>
      <c r="I21">
        <v>26.986499999999999</v>
      </c>
      <c r="J21">
        <v>56.428829</v>
      </c>
      <c r="K21">
        <v>53.784537</v>
      </c>
      <c r="L21">
        <v>16.515350999999999</v>
      </c>
      <c r="M21">
        <v>-622.47877700000004</v>
      </c>
      <c r="N21">
        <v>2.1592180000000001</v>
      </c>
      <c r="O21">
        <v>14.840641</v>
      </c>
      <c r="P21">
        <f t="shared" si="0"/>
        <v>3.5986966666666666E-5</v>
      </c>
      <c r="Q21" cm="1">
        <f t="array" ref="Q21">[1]!PropsSI("D","T",J21+273.15,"P",101325,"Water")</f>
        <v>984.99495113589808</v>
      </c>
      <c r="R21" cm="1">
        <f t="array" ref="R21">[1]!PropsSI("D","T",K21+273.15,"P",101325,"Water")</f>
        <v>986.27700088684821</v>
      </c>
      <c r="S21">
        <f t="shared" si="1"/>
        <v>985.63597601137315</v>
      </c>
      <c r="T21" cm="1">
        <f t="array" ref="T21">[1]!PropsSI("H","T",J21+273.15,"P",101325,"Water")</f>
        <v>236306.18113512985</v>
      </c>
      <c r="U21" cm="1">
        <f t="array" ref="U21">[1]!PropsSI("H","T",K21+273.15,"P",101325,"Water")</f>
        <v>225245.10870852362</v>
      </c>
      <c r="V21">
        <f t="shared" si="2"/>
        <v>392.33678112121476</v>
      </c>
    </row>
    <row r="22" spans="1:22" x14ac:dyDescent="0.2">
      <c r="A22">
        <v>46122.867801504632</v>
      </c>
      <c r="B22">
        <v>20.381240999999999</v>
      </c>
      <c r="C22">
        <v>20.421685</v>
      </c>
      <c r="D22">
        <v>20.150342999999999</v>
      </c>
      <c r="E22">
        <v>20.235904000000001</v>
      </c>
      <c r="F22">
        <v>39.74888</v>
      </c>
      <c r="G22">
        <v>38.467624999999998</v>
      </c>
      <c r="H22">
        <v>34.176074999999997</v>
      </c>
      <c r="I22">
        <v>26.98123</v>
      </c>
      <c r="J22">
        <v>56.425804999999997</v>
      </c>
      <c r="K22">
        <v>53.783265</v>
      </c>
      <c r="L22">
        <v>19.193992999999999</v>
      </c>
      <c r="M22">
        <v>-622.49183700000003</v>
      </c>
      <c r="N22">
        <v>2.1557219999999999</v>
      </c>
      <c r="O22">
        <v>14.522525999999999</v>
      </c>
      <c r="P22">
        <f t="shared" si="0"/>
        <v>3.59287E-5</v>
      </c>
      <c r="Q22" cm="1">
        <f t="array" ref="Q22">[1]!PropsSI("D","T",J22+273.15,"P",101325,"Water")</f>
        <v>984.99644193507356</v>
      </c>
      <c r="R22" cm="1">
        <f t="array" ref="R22">[1]!PropsSI("D","T",K22+273.15,"P",101325,"Water")</f>
        <v>986.27760711616202</v>
      </c>
      <c r="S22">
        <f t="shared" si="1"/>
        <v>985.63702452561779</v>
      </c>
      <c r="T22" cm="1">
        <f t="array" ref="T22">[1]!PropsSI("H","T",J22+273.15,"P",101325,"Water")</f>
        <v>236293.53026653253</v>
      </c>
      <c r="U22" cm="1">
        <f t="array" ref="U22">[1]!PropsSI("H","T",K22+273.15,"P",101325,"Water")</f>
        <v>225239.78853305246</v>
      </c>
      <c r="V22">
        <f t="shared" si="2"/>
        <v>391.4423641661399</v>
      </c>
    </row>
    <row r="23" spans="1:22" x14ac:dyDescent="0.2">
      <c r="A23">
        <v>46122.867859953702</v>
      </c>
      <c r="B23">
        <v>20.401693999999999</v>
      </c>
      <c r="C23">
        <v>20.437322999999999</v>
      </c>
      <c r="D23">
        <v>20.152747999999999</v>
      </c>
      <c r="E23">
        <v>20.243798000000002</v>
      </c>
      <c r="F23">
        <v>39.881601000000003</v>
      </c>
      <c r="G23">
        <v>37.365372000000001</v>
      </c>
      <c r="H23">
        <v>34.558604000000003</v>
      </c>
      <c r="I23">
        <v>27.225020000000001</v>
      </c>
      <c r="J23">
        <v>56.424689999999998</v>
      </c>
      <c r="K23">
        <v>53.778810999999997</v>
      </c>
      <c r="L23">
        <v>18.126698999999999</v>
      </c>
      <c r="M23">
        <v>-622.46979699999997</v>
      </c>
      <c r="N23">
        <v>2.1615700000000002</v>
      </c>
      <c r="O23">
        <v>14.515943</v>
      </c>
      <c r="P23">
        <f t="shared" si="0"/>
        <v>3.6026166666666671E-5</v>
      </c>
      <c r="Q23" cm="1">
        <f t="array" ref="Q23">[1]!PropsSI("D","T",J23+273.15,"P",101325,"Water")</f>
        <v>984.99699160386569</v>
      </c>
      <c r="R23" cm="1">
        <f t="array" ref="R23">[1]!PropsSI("D","T",K23+273.15,"P",101325,"Water")</f>
        <v>986.27972979171716</v>
      </c>
      <c r="S23">
        <f t="shared" si="1"/>
        <v>985.63836069779143</v>
      </c>
      <c r="T23" cm="1">
        <f t="array" ref="T23">[1]!PropsSI("H","T",J23+273.15,"P",101325,"Water")</f>
        <v>236288.86567797331</v>
      </c>
      <c r="U23" cm="1">
        <f t="array" ref="U23">[1]!PropsSI("H","T",K23+273.15,"P",101325,"Water")</f>
        <v>225221.15955818706</v>
      </c>
      <c r="V23">
        <f t="shared" si="2"/>
        <v>393.0006515718614</v>
      </c>
    </row>
    <row r="24" spans="1:22" x14ac:dyDescent="0.2">
      <c r="A24">
        <v>46122.867917824071</v>
      </c>
      <c r="B24">
        <v>20.393832</v>
      </c>
      <c r="C24">
        <v>20.420009</v>
      </c>
      <c r="D24">
        <v>20.147970999999998</v>
      </c>
      <c r="E24">
        <v>20.248028999999999</v>
      </c>
      <c r="F24">
        <v>39.805872000000001</v>
      </c>
      <c r="G24">
        <v>36.522333000000003</v>
      </c>
      <c r="H24">
        <v>34.668982</v>
      </c>
      <c r="I24">
        <v>27.163164999999999</v>
      </c>
      <c r="J24">
        <v>56.420870000000001</v>
      </c>
      <c r="K24">
        <v>53.776743000000003</v>
      </c>
      <c r="L24">
        <v>18.263019</v>
      </c>
      <c r="M24">
        <v>-622.49142900000004</v>
      </c>
      <c r="N24">
        <v>2.16093</v>
      </c>
      <c r="O24">
        <v>14.955062</v>
      </c>
      <c r="P24">
        <f t="shared" si="0"/>
        <v>3.6015500000000001E-5</v>
      </c>
      <c r="Q24" cm="1">
        <f t="array" ref="Q24">[1]!PropsSI("D","T",J24+273.15,"P",101325,"Water")</f>
        <v>984.99887471639761</v>
      </c>
      <c r="R24" cm="1">
        <f t="array" ref="R24">[1]!PropsSI("D","T",K24+273.15,"P",101325,"Water")</f>
        <v>986.28071531131297</v>
      </c>
      <c r="S24">
        <f t="shared" si="1"/>
        <v>985.63979501385529</v>
      </c>
      <c r="T24" cm="1">
        <f t="array" ref="T24">[1]!PropsSI("H","T",J24+273.15,"P",101325,"Water")</f>
        <v>236272.88475937126</v>
      </c>
      <c r="U24" cm="1">
        <f t="array" ref="U24">[1]!PropsSI("H","T",K24+273.15,"P",101325,"Water")</f>
        <v>225212.51009482538</v>
      </c>
      <c r="V24">
        <f t="shared" si="2"/>
        <v>392.62460897098526</v>
      </c>
    </row>
    <row r="25" spans="1:22" x14ac:dyDescent="0.2">
      <c r="A25">
        <v>46122.867975694448</v>
      </c>
      <c r="B25">
        <v>20.379845</v>
      </c>
      <c r="C25">
        <v>20.414729000000001</v>
      </c>
      <c r="D25">
        <v>20.146173000000001</v>
      </c>
      <c r="E25">
        <v>20.244183</v>
      </c>
      <c r="F25">
        <v>39.561028999999998</v>
      </c>
      <c r="G25">
        <v>36.990498000000002</v>
      </c>
      <c r="H25">
        <v>35.362475000000003</v>
      </c>
      <c r="I25">
        <v>27.240031999999999</v>
      </c>
      <c r="J25">
        <v>56.419119000000002</v>
      </c>
      <c r="K25">
        <v>53.772607000000001</v>
      </c>
      <c r="L25">
        <v>19.573156999999998</v>
      </c>
      <c r="M25">
        <v>-622.49020499999995</v>
      </c>
      <c r="N25">
        <v>2.1621060000000001</v>
      </c>
      <c r="O25">
        <v>14.905844999999999</v>
      </c>
      <c r="P25">
        <f t="shared" si="0"/>
        <v>3.6035100000000003E-5</v>
      </c>
      <c r="Q25" cm="1">
        <f t="array" ref="Q25">[1]!PropsSI("D","T",J25+273.15,"P",101325,"Water")</f>
        <v>984.99973786195608</v>
      </c>
      <c r="R25" cm="1">
        <f t="array" ref="R25">[1]!PropsSI("D","T",K25+273.15,"P",101325,"Water")</f>
        <v>986.28268626976637</v>
      </c>
      <c r="S25">
        <f t="shared" si="1"/>
        <v>985.64121206586128</v>
      </c>
      <c r="T25" cm="1">
        <f t="array" ref="T25">[1]!PropsSI("H","T",J25+273.15,"P",101325,"Water")</f>
        <v>236265.55947627546</v>
      </c>
      <c r="U25" cm="1">
        <f t="array" ref="U25">[1]!PropsSI("H","T",K25+273.15,"P",101325,"Water")</f>
        <v>225195.21117257097</v>
      </c>
      <c r="V25">
        <f t="shared" si="2"/>
        <v>393.19308456431764</v>
      </c>
    </row>
    <row r="26" spans="1:22" x14ac:dyDescent="0.2">
      <c r="A26">
        <v>46122.868034143517</v>
      </c>
      <c r="B26">
        <v>20.400644</v>
      </c>
      <c r="C26">
        <v>20.421424999999999</v>
      </c>
      <c r="D26">
        <v>20.157278999999999</v>
      </c>
      <c r="E26">
        <v>20.264823</v>
      </c>
      <c r="F26">
        <v>39.975642999999998</v>
      </c>
      <c r="G26">
        <v>37.224440000000001</v>
      </c>
      <c r="H26">
        <v>35.061518</v>
      </c>
      <c r="I26">
        <v>26.824569</v>
      </c>
      <c r="J26">
        <v>56.420233000000003</v>
      </c>
      <c r="K26">
        <v>53.767516999999998</v>
      </c>
      <c r="L26">
        <v>16.684322000000002</v>
      </c>
      <c r="M26">
        <v>-622.46898099999999</v>
      </c>
      <c r="N26">
        <v>2.165057</v>
      </c>
      <c r="O26">
        <v>14.839586000000001</v>
      </c>
      <c r="P26">
        <f t="shared" si="0"/>
        <v>3.6084283333333339E-5</v>
      </c>
      <c r="Q26" cm="1">
        <f t="array" ref="Q26">[1]!PropsSI("D","T",J26+273.15,"P",101325,"Water")</f>
        <v>984.99918872411627</v>
      </c>
      <c r="R26" cm="1">
        <f t="array" ref="R26">[1]!PropsSI("D","T",K26+273.15,"P",101325,"Water")</f>
        <v>986.2851116971932</v>
      </c>
      <c r="S26">
        <f t="shared" si="1"/>
        <v>985.64215021065479</v>
      </c>
      <c r="T26" cm="1">
        <f t="array" ref="T26">[1]!PropsSI("H","T",J26+273.15,"P",101325,"Water")</f>
        <v>236270.2198789434</v>
      </c>
      <c r="U26" cm="1">
        <f t="array" ref="U26">[1]!PropsSI("H","T",K26+273.15,"P",101325,"Water")</f>
        <v>225173.9221297233</v>
      </c>
      <c r="V26">
        <f t="shared" si="2"/>
        <v>394.65304085265984</v>
      </c>
    </row>
    <row r="27" spans="1:22" x14ac:dyDescent="0.2">
      <c r="A27">
        <v>46122.868092013887</v>
      </c>
      <c r="B27">
        <v>20.4115</v>
      </c>
      <c r="C27">
        <v>20.418956000000001</v>
      </c>
      <c r="D27">
        <v>20.167577999999999</v>
      </c>
      <c r="E27">
        <v>20.271339000000001</v>
      </c>
      <c r="F27">
        <v>39.964635999999999</v>
      </c>
      <c r="G27">
        <v>35.790278999999998</v>
      </c>
      <c r="H27">
        <v>35.414878999999999</v>
      </c>
      <c r="I27">
        <v>27.223621999999999</v>
      </c>
      <c r="J27">
        <v>56.424371999999998</v>
      </c>
      <c r="K27">
        <v>53.772765999999997</v>
      </c>
      <c r="L27">
        <v>17.468772999999999</v>
      </c>
      <c r="M27">
        <v>-622.52856999999995</v>
      </c>
      <c r="N27">
        <v>2.1621679999999999</v>
      </c>
      <c r="O27">
        <v>15.040343999999999</v>
      </c>
      <c r="P27">
        <f t="shared" si="0"/>
        <v>3.6036133333333332E-5</v>
      </c>
      <c r="Q27" cm="1">
        <f t="array" ref="Q27">[1]!PropsSI("D","T",J27+273.15,"P",101325,"Water")</f>
        <v>984.9971483689867</v>
      </c>
      <c r="R27" cm="1">
        <f t="array" ref="R27">[1]!PropsSI("D","T",K27+273.15,"P",101325,"Water")</f>
        <v>986.28261050234562</v>
      </c>
      <c r="S27">
        <f t="shared" si="1"/>
        <v>985.63987943566622</v>
      </c>
      <c r="T27" cm="1">
        <f t="array" ref="T27">[1]!PropsSI("H","T",J27+273.15,"P",101325,"Water")</f>
        <v>236287.5353290285</v>
      </c>
      <c r="U27" cm="1">
        <f t="array" ref="U27">[1]!PropsSI("H","T",K27+273.15,"P",101325,"Water")</f>
        <v>225195.876193884</v>
      </c>
      <c r="V27">
        <f t="shared" si="2"/>
        <v>393.96076000488546</v>
      </c>
    </row>
    <row r="28" spans="1:22" x14ac:dyDescent="0.2">
      <c r="A28">
        <v>46122.868150462964</v>
      </c>
      <c r="B28">
        <v>20.42015</v>
      </c>
      <c r="C28">
        <v>20.432175999999998</v>
      </c>
      <c r="D28">
        <v>20.168493999999999</v>
      </c>
      <c r="E28">
        <v>20.257773</v>
      </c>
      <c r="F28">
        <v>39.936787000000002</v>
      </c>
      <c r="G28">
        <v>35.021531000000003</v>
      </c>
      <c r="H28">
        <v>35.075310999999999</v>
      </c>
      <c r="I28">
        <v>26.884094999999999</v>
      </c>
      <c r="J28">
        <v>56.424053999999998</v>
      </c>
      <c r="K28">
        <v>53.777538</v>
      </c>
      <c r="L28">
        <v>19.010736000000001</v>
      </c>
      <c r="M28">
        <v>-622.50081599999999</v>
      </c>
      <c r="N28">
        <v>2.1651310000000001</v>
      </c>
      <c r="O28">
        <v>14.284178000000001</v>
      </c>
      <c r="P28">
        <f t="shared" si="0"/>
        <v>3.6085516666666669E-5</v>
      </c>
      <c r="Q28" cm="1">
        <f t="array" ref="Q28">[1]!PropsSI("D","T",J28+273.15,"P",101325,"Water")</f>
        <v>984.99730513350073</v>
      </c>
      <c r="R28" cm="1">
        <f t="array" ref="R28">[1]!PropsSI("D","T",K28+273.15,"P",101325,"Water")</f>
        <v>986.2803364517996</v>
      </c>
      <c r="S28">
        <f t="shared" si="1"/>
        <v>985.63882079265022</v>
      </c>
      <c r="T28" cm="1">
        <f t="array" ref="T28">[1]!PropsSI("H","T",J28+273.15,"P",101325,"Water")</f>
        <v>236286.20498015182</v>
      </c>
      <c r="U28" cm="1">
        <f t="array" ref="U28">[1]!PropsSI("H","T",K28+273.15,"P",101325,"Water")</f>
        <v>225215.83520265651</v>
      </c>
      <c r="V28">
        <f t="shared" si="2"/>
        <v>393.74300905391436</v>
      </c>
    </row>
    <row r="29" spans="1:22" x14ac:dyDescent="0.2">
      <c r="A29">
        <v>46122.868208333333</v>
      </c>
      <c r="B29">
        <v>20.436955000000001</v>
      </c>
      <c r="C29">
        <v>20.442805</v>
      </c>
      <c r="D29">
        <v>20.171461999999998</v>
      </c>
      <c r="E29">
        <v>20.265075</v>
      </c>
      <c r="F29">
        <v>39.813612999999997</v>
      </c>
      <c r="G29">
        <v>38.179820999999997</v>
      </c>
      <c r="H29">
        <v>34.393267999999999</v>
      </c>
      <c r="I29">
        <v>27.131433999999999</v>
      </c>
      <c r="J29">
        <v>56.424689999999998</v>
      </c>
      <c r="K29">
        <v>53.776743000000003</v>
      </c>
      <c r="L29">
        <v>14.12445</v>
      </c>
      <c r="M29">
        <v>-622.47836800000005</v>
      </c>
      <c r="N29">
        <v>2.1645120000000002</v>
      </c>
      <c r="O29">
        <v>14.926316999999999</v>
      </c>
      <c r="P29">
        <f t="shared" si="0"/>
        <v>3.6075200000000003E-5</v>
      </c>
      <c r="Q29" cm="1">
        <f t="array" ref="Q29">[1]!PropsSI("D","T",J29+273.15,"P",101325,"Water")</f>
        <v>984.99699160386569</v>
      </c>
      <c r="R29" cm="1">
        <f t="array" ref="R29">[1]!PropsSI("D","T",K29+273.15,"P",101325,"Water")</f>
        <v>986.28071531131297</v>
      </c>
      <c r="S29">
        <f t="shared" si="1"/>
        <v>985.63885345758933</v>
      </c>
      <c r="T29" cm="1">
        <f t="array" ref="T29">[1]!PropsSI("H","T",J29+273.15,"P",101325,"Water")</f>
        <v>236288.86567797331</v>
      </c>
      <c r="U29" cm="1">
        <f t="array" ref="U29">[1]!PropsSI("H","T",K29+273.15,"P",101325,"Water")</f>
        <v>225212.51009482538</v>
      </c>
      <c r="V29">
        <f t="shared" si="2"/>
        <v>393.84329096724309</v>
      </c>
    </row>
    <row r="30" spans="1:22" x14ac:dyDescent="0.2">
      <c r="A30">
        <v>46122.868266782411</v>
      </c>
      <c r="B30">
        <v>20.451101000000001</v>
      </c>
      <c r="C30">
        <v>20.477726000000001</v>
      </c>
      <c r="D30">
        <v>20.170399</v>
      </c>
      <c r="E30">
        <v>20.276199999999999</v>
      </c>
      <c r="F30">
        <v>39.806691999999998</v>
      </c>
      <c r="G30">
        <v>37.696036999999997</v>
      </c>
      <c r="H30">
        <v>34.318097999999999</v>
      </c>
      <c r="I30">
        <v>27.091522999999999</v>
      </c>
      <c r="J30">
        <v>56.424531000000002</v>
      </c>
      <c r="K30">
        <v>53.774833999999998</v>
      </c>
      <c r="L30">
        <v>17.376532999999998</v>
      </c>
      <c r="M30">
        <v>-622.49795900000004</v>
      </c>
      <c r="N30">
        <v>2.158849</v>
      </c>
      <c r="O30">
        <v>14.961759000000001</v>
      </c>
      <c r="P30">
        <f t="shared" si="0"/>
        <v>3.598081666666667E-5</v>
      </c>
      <c r="Q30" cm="1">
        <f t="array" ref="Q30">[1]!PropsSI("D","T",J30+273.15,"P",101325,"Water")</f>
        <v>984.9970699865263</v>
      </c>
      <c r="R30" cm="1">
        <f t="array" ref="R30">[1]!PropsSI("D","T",K30+273.15,"P",101325,"Water")</f>
        <v>986.2816250344855</v>
      </c>
      <c r="S30">
        <f t="shared" si="1"/>
        <v>985.6393475105059</v>
      </c>
      <c r="T30" cm="1">
        <f t="array" ref="T30">[1]!PropsSI("H","T",J30+273.15,"P",101325,"Water")</f>
        <v>236288.20050346784</v>
      </c>
      <c r="U30" cm="1">
        <f t="array" ref="U30">[1]!PropsSI("H","T",K30+273.15,"P",101325,"Water")</f>
        <v>225204.52565439316</v>
      </c>
      <c r="V30">
        <f t="shared" si="2"/>
        <v>393.07264922439333</v>
      </c>
    </row>
    <row r="31" spans="1:22" x14ac:dyDescent="0.2">
      <c r="A31">
        <v>46122.86832523148</v>
      </c>
      <c r="B31">
        <v>20.465997999999999</v>
      </c>
      <c r="C31">
        <v>20.476944</v>
      </c>
      <c r="D31">
        <v>20.184705999999998</v>
      </c>
      <c r="E31">
        <v>20.263940000000002</v>
      </c>
      <c r="F31">
        <v>39.868626999999996</v>
      </c>
      <c r="G31">
        <v>36.920983</v>
      </c>
      <c r="H31">
        <v>34.200118000000003</v>
      </c>
      <c r="I31">
        <v>27.265177000000001</v>
      </c>
      <c r="J31">
        <v>56.423257999999997</v>
      </c>
      <c r="K31">
        <v>53.772129999999997</v>
      </c>
      <c r="L31">
        <v>16.159041999999999</v>
      </c>
      <c r="M31">
        <v>-622.51510099999996</v>
      </c>
      <c r="N31">
        <v>2.1614140000000002</v>
      </c>
      <c r="O31">
        <v>14.999387</v>
      </c>
      <c r="P31">
        <f t="shared" si="0"/>
        <v>3.6023566666666672E-5</v>
      </c>
      <c r="Q31" cm="1">
        <f t="array" ref="Q31">[1]!PropsSI("D","T",J31+273.15,"P",101325,"Water")</f>
        <v>984.99769753504449</v>
      </c>
      <c r="R31" cm="1">
        <f t="array" ref="R31">[1]!PropsSI("D","T",K31+273.15,"P",101325,"Water")</f>
        <v>986.28291357117143</v>
      </c>
      <c r="S31">
        <f t="shared" si="1"/>
        <v>985.64030555310796</v>
      </c>
      <c r="T31" cm="1">
        <f t="array" ref="T31">[1]!PropsSI("H","T",J31+273.15,"P",101325,"Water")</f>
        <v>236282.87492457812</v>
      </c>
      <c r="U31" cm="1">
        <f t="array" ref="U31">[1]!PropsSI("H","T",K31+273.15,"P",101325,"Water")</f>
        <v>225193.21610866199</v>
      </c>
      <c r="V31">
        <f t="shared" si="2"/>
        <v>393.75252277662753</v>
      </c>
    </row>
    <row r="32" spans="1:22" x14ac:dyDescent="0.2">
      <c r="A32">
        <v>46122.868383680558</v>
      </c>
      <c r="B32">
        <v>20.426262000000001</v>
      </c>
      <c r="C32">
        <v>20.459595</v>
      </c>
      <c r="D32">
        <v>20.173393999999998</v>
      </c>
      <c r="E32">
        <v>20.251825</v>
      </c>
      <c r="F32">
        <v>39.739894999999997</v>
      </c>
      <c r="G32">
        <v>37.978208000000002</v>
      </c>
      <c r="H32">
        <v>34.162312</v>
      </c>
      <c r="I32">
        <v>27.494482000000001</v>
      </c>
      <c r="J32">
        <v>56.425167999999999</v>
      </c>
      <c r="K32">
        <v>53.775151999999999</v>
      </c>
      <c r="L32">
        <v>18.634837000000001</v>
      </c>
      <c r="M32">
        <v>-622.47224600000004</v>
      </c>
      <c r="N32">
        <v>2.1587260000000001</v>
      </c>
      <c r="O32">
        <v>14.867683</v>
      </c>
      <c r="P32">
        <f t="shared" si="0"/>
        <v>3.5978766666666668E-5</v>
      </c>
      <c r="Q32" cm="1">
        <f t="array" ref="Q32">[1]!PropsSI("D","T",J32+273.15,"P",101325,"Water")</f>
        <v>984.99675596203178</v>
      </c>
      <c r="R32" cm="1">
        <f t="array" ref="R32">[1]!PropsSI("D","T",K32+273.15,"P",101325,"Water")</f>
        <v>986.28147349497578</v>
      </c>
      <c r="S32">
        <f t="shared" si="1"/>
        <v>985.63911472850373</v>
      </c>
      <c r="T32" cm="1">
        <f t="array" ref="T32">[1]!PropsSI("H","T",J32+273.15,"P",101325,"Water")</f>
        <v>236290.86538494914</v>
      </c>
      <c r="U32" cm="1">
        <f t="array" ref="U32">[1]!PropsSI("H","T",K32+273.15,"P",101325,"Water")</f>
        <v>225205.85569730811</v>
      </c>
      <c r="V32">
        <f t="shared" si="2"/>
        <v>393.09749731056274</v>
      </c>
    </row>
    <row r="33" spans="1:22" x14ac:dyDescent="0.2">
      <c r="A33">
        <v>46122.868442129628</v>
      </c>
      <c r="B33">
        <v>20.385071</v>
      </c>
      <c r="C33">
        <v>20.405750000000001</v>
      </c>
      <c r="D33">
        <v>20.172943</v>
      </c>
      <c r="E33">
        <v>20.247474</v>
      </c>
      <c r="F33">
        <v>39.786990000000003</v>
      </c>
      <c r="G33">
        <v>37.586202</v>
      </c>
      <c r="H33">
        <v>34.921429000000003</v>
      </c>
      <c r="I33">
        <v>27.441246</v>
      </c>
      <c r="J33">
        <v>56.428350999999999</v>
      </c>
      <c r="K33">
        <v>53.774675000000002</v>
      </c>
      <c r="L33">
        <v>16.516984000000001</v>
      </c>
      <c r="M33">
        <v>-622.50489800000003</v>
      </c>
      <c r="N33">
        <v>2.1644670000000001</v>
      </c>
      <c r="O33">
        <v>14.688642</v>
      </c>
      <c r="P33">
        <f t="shared" si="0"/>
        <v>3.6074450000000005E-5</v>
      </c>
      <c r="Q33" cm="1">
        <f t="array" ref="Q33">[1]!PropsSI("D","T",J33+273.15,"P",101325,"Water")</f>
        <v>984.9951867884389</v>
      </c>
      <c r="R33" cm="1">
        <f t="array" ref="R33">[1]!PropsSI("D","T",K33+273.15,"P",101325,"Water")</f>
        <v>986.28170080399207</v>
      </c>
      <c r="S33">
        <f t="shared" si="1"/>
        <v>985.63844379621548</v>
      </c>
      <c r="T33" cm="1">
        <f t="array" ref="T33">[1]!PropsSI("H","T",J33+273.15,"P",101325,"Water")</f>
        <v>236304.18142748898</v>
      </c>
      <c r="U33" cm="1">
        <f t="array" ref="U33">[1]!PropsSI("H","T",K33+273.15,"P",101325,"Water")</f>
        <v>225203.86063295678</v>
      </c>
      <c r="V33">
        <f t="shared" si="2"/>
        <v>394.68705511012797</v>
      </c>
    </row>
    <row r="34" spans="1:22" x14ac:dyDescent="0.2">
      <c r="A34">
        <v>46122.868500578705</v>
      </c>
      <c r="B34">
        <v>20.366565000000001</v>
      </c>
      <c r="C34">
        <v>20.382988000000001</v>
      </c>
      <c r="D34">
        <v>20.167593</v>
      </c>
      <c r="E34">
        <v>20.243098</v>
      </c>
      <c r="F34">
        <v>39.722014000000001</v>
      </c>
      <c r="G34">
        <v>37.746912999999999</v>
      </c>
      <c r="H34">
        <v>35.101410000000001</v>
      </c>
      <c r="I34">
        <v>27.521452</v>
      </c>
      <c r="J34">
        <v>56.432330999999998</v>
      </c>
      <c r="K34">
        <v>53.776902</v>
      </c>
      <c r="L34">
        <v>19.529077999999998</v>
      </c>
      <c r="M34">
        <v>-622.47347100000002</v>
      </c>
      <c r="N34">
        <v>2.1626270000000001</v>
      </c>
      <c r="O34">
        <v>14.935098</v>
      </c>
      <c r="P34">
        <f t="shared" si="0"/>
        <v>3.6043783333333339E-5</v>
      </c>
      <c r="Q34" cm="1">
        <f t="array" ref="Q34">[1]!PropsSI("D","T",J34+273.15,"P",101325,"Water")</f>
        <v>984.99322461800102</v>
      </c>
      <c r="R34" cm="1">
        <f t="array" ref="R34">[1]!PropsSI("D","T",K34+273.15,"P",101325,"Water")</f>
        <v>986.28063953971309</v>
      </c>
      <c r="S34">
        <f t="shared" si="1"/>
        <v>985.63693207885706</v>
      </c>
      <c r="T34" cm="1">
        <f t="array" ref="T34">[1]!PropsSI("H","T",J34+273.15,"P",101325,"Water")</f>
        <v>236320.83171548074</v>
      </c>
      <c r="U34" cm="1">
        <f t="array" ref="U34">[1]!PropsSI("H","T",K34+273.15,"P",101325,"Water")</f>
        <v>225213.17511638149</v>
      </c>
      <c r="V34">
        <f t="shared" si="2"/>
        <v>394.61154166246416</v>
      </c>
    </row>
    <row r="35" spans="1:22" x14ac:dyDescent="0.2">
      <c r="A35">
        <v>46122.868559027775</v>
      </c>
      <c r="B35">
        <v>20.354452999999999</v>
      </c>
      <c r="C35">
        <v>20.397908000000001</v>
      </c>
      <c r="D35">
        <v>20.170673000000001</v>
      </c>
      <c r="E35">
        <v>20.239024000000001</v>
      </c>
      <c r="F35">
        <v>39.937779999999997</v>
      </c>
      <c r="G35">
        <v>35.903345999999999</v>
      </c>
      <c r="H35">
        <v>35.109932000000001</v>
      </c>
      <c r="I35">
        <v>27.382558</v>
      </c>
      <c r="J35">
        <v>56.433286000000003</v>
      </c>
      <c r="K35">
        <v>53.779128999999998</v>
      </c>
      <c r="L35">
        <v>19.64499</v>
      </c>
      <c r="M35">
        <v>-622.50122399999998</v>
      </c>
      <c r="N35">
        <v>2.1635529999999998</v>
      </c>
      <c r="O35">
        <v>14.386514</v>
      </c>
      <c r="P35">
        <f t="shared" si="0"/>
        <v>3.6059216666666665E-5</v>
      </c>
      <c r="Q35" cm="1">
        <f t="array" ref="Q35">[1]!PropsSI("D","T",J35+273.15,"P",101325,"Water")</f>
        <v>984.99275378126629</v>
      </c>
      <c r="R35" cm="1">
        <f t="array" ref="R35">[1]!PropsSI("D","T",K35+273.15,"P",101325,"Water")</f>
        <v>986.27957824426801</v>
      </c>
      <c r="S35">
        <f t="shared" si="1"/>
        <v>985.63616601276715</v>
      </c>
      <c r="T35" cm="1">
        <f t="array" ref="T35">[1]!PropsSI("H","T",J35+273.15,"P",101325,"Water")</f>
        <v>236324.82694878269</v>
      </c>
      <c r="U35" cm="1">
        <f t="array" ref="U35">[1]!PropsSI("H","T",K35+273.15,"P",101325,"Water")</f>
        <v>225222.48960151392</v>
      </c>
      <c r="V35">
        <f t="shared" si="2"/>
        <v>394.59114780464245</v>
      </c>
    </row>
    <row r="36" spans="1:22" x14ac:dyDescent="0.2">
      <c r="A36">
        <v>46122.868616898151</v>
      </c>
      <c r="B36">
        <v>20.373911</v>
      </c>
      <c r="C36">
        <v>20.408148000000001</v>
      </c>
      <c r="D36">
        <v>20.169073999999998</v>
      </c>
      <c r="E36">
        <v>20.233536000000001</v>
      </c>
      <c r="F36">
        <v>39.543765</v>
      </c>
      <c r="G36">
        <v>38.302812000000003</v>
      </c>
      <c r="H36">
        <v>34.369399999999999</v>
      </c>
      <c r="I36">
        <v>27.008825000000002</v>
      </c>
      <c r="J36">
        <v>56.432648999999998</v>
      </c>
      <c r="K36">
        <v>53.777856999999997</v>
      </c>
      <c r="L36">
        <v>18.003848000000001</v>
      </c>
      <c r="M36">
        <v>-622.51061200000004</v>
      </c>
      <c r="N36">
        <v>2.1624379999999999</v>
      </c>
      <c r="O36">
        <v>14.877454999999999</v>
      </c>
      <c r="P36">
        <f t="shared" si="0"/>
        <v>3.6040633333333335E-5</v>
      </c>
      <c r="Q36" cm="1">
        <f t="array" ref="Q36">[1]!PropsSI("D","T",J36+273.15,"P",101325,"Water")</f>
        <v>984.99306783739348</v>
      </c>
      <c r="R36" cm="1">
        <f t="array" ref="R36">[1]!PropsSI("D","T",K36+273.15,"P",101325,"Water")</f>
        <v>986.28018443031351</v>
      </c>
      <c r="S36">
        <f t="shared" si="1"/>
        <v>985.6366261338535</v>
      </c>
      <c r="T36" cm="1">
        <f t="array" ref="T36">[1]!PropsSI("H","T",J36+273.15,"P",101325,"Water")</f>
        <v>236322.16206539777</v>
      </c>
      <c r="U36" cm="1">
        <f t="array" ref="U36">[1]!PropsSI("H","T",K36+273.15,"P",101325,"Water")</f>
        <v>225217.16942839467</v>
      </c>
      <c r="V36">
        <f t="shared" si="2"/>
        <v>394.48230077628006</v>
      </c>
    </row>
    <row r="37" spans="1:22" x14ac:dyDescent="0.2">
      <c r="A37">
        <v>46122.868674768521</v>
      </c>
      <c r="B37">
        <v>20.389953999999999</v>
      </c>
      <c r="C37">
        <v>20.400376000000001</v>
      </c>
      <c r="D37">
        <v>20.177783999999999</v>
      </c>
      <c r="E37">
        <v>20.220561</v>
      </c>
      <c r="F37">
        <v>39.910311999999998</v>
      </c>
      <c r="G37">
        <v>36.974938000000002</v>
      </c>
      <c r="H37">
        <v>34.494424000000002</v>
      </c>
      <c r="I37">
        <v>27.374247</v>
      </c>
      <c r="J37">
        <v>56.434241</v>
      </c>
      <c r="K37">
        <v>53.778174999999997</v>
      </c>
      <c r="L37">
        <v>16.744319000000001</v>
      </c>
      <c r="M37">
        <v>-622.47632799999997</v>
      </c>
      <c r="N37">
        <v>2.1550750000000001</v>
      </c>
      <c r="O37">
        <v>14.609816</v>
      </c>
      <c r="P37">
        <f t="shared" si="0"/>
        <v>3.5917916666666667E-5</v>
      </c>
      <c r="Q37" cm="1">
        <f t="array" ref="Q37">[1]!PropsSI("D","T",J37+273.15,"P",101325,"Water")</f>
        <v>984.99228293899307</v>
      </c>
      <c r="R37" cm="1">
        <f t="array" ref="R37">[1]!PropsSI("D","T",K37+273.15,"P",101325,"Water")</f>
        <v>986.28003288476907</v>
      </c>
      <c r="S37">
        <f t="shared" si="1"/>
        <v>985.63615791188113</v>
      </c>
      <c r="T37" cm="1">
        <f t="array" ref="T37">[1]!PropsSI("H","T",J37+273.15,"P",101325,"Water")</f>
        <v>236328.8221824714</v>
      </c>
      <c r="U37" cm="1">
        <f t="array" ref="U37">[1]!PropsSI("H","T",K37+273.15,"P",101325,"Water")</f>
        <v>225218.49947158754</v>
      </c>
      <c r="V37">
        <f t="shared" si="2"/>
        <v>393.32761554091167</v>
      </c>
    </row>
    <row r="38" spans="1:22" x14ac:dyDescent="0.2">
      <c r="A38">
        <v>44660.868733217801</v>
      </c>
      <c r="B38">
        <v>20.402573</v>
      </c>
      <c r="C38">
        <v>20.420551</v>
      </c>
      <c r="D38">
        <v>20.182403000000001</v>
      </c>
      <c r="E38">
        <v>20.229728000000001</v>
      </c>
      <c r="F38">
        <v>39.745964000000001</v>
      </c>
      <c r="G38">
        <v>36.839320999999998</v>
      </c>
      <c r="H38">
        <v>35.403418000000002</v>
      </c>
      <c r="I38">
        <v>27.374452000000002</v>
      </c>
      <c r="J38">
        <v>56.436309999999999</v>
      </c>
      <c r="K38">
        <v>53.779764999999998</v>
      </c>
      <c r="L38">
        <v>17.60999</v>
      </c>
      <c r="M38">
        <v>-622.487348</v>
      </c>
      <c r="N38">
        <v>2.156898</v>
      </c>
      <c r="O38">
        <v>14.859309</v>
      </c>
      <c r="P38">
        <f t="shared" si="0"/>
        <v>3.5948300000000003E-5</v>
      </c>
      <c r="Q38" cm="1">
        <f t="array" ref="Q38">[1]!PropsSI("D","T",J38+273.15,"P",101325,"Water")</f>
        <v>984.99126284372255</v>
      </c>
      <c r="R38" cm="1">
        <f t="array" ref="R38">[1]!PropsSI("D","T",K38+273.15,"P",101325,"Water")</f>
        <v>986.2792751474343</v>
      </c>
      <c r="S38">
        <f t="shared" si="1"/>
        <v>985.63526899557837</v>
      </c>
      <c r="T38" cm="1">
        <f t="array" ref="T38">[1]!PropsSI("H","T",J38+273.15,"P",101325,"Water")</f>
        <v>236337.47782607123</v>
      </c>
      <c r="U38" cm="1">
        <f t="array" ref="U38">[1]!PropsSI("H","T",K38+273.15,"P",101325,"Water")</f>
        <v>225225.14968825172</v>
      </c>
      <c r="V38">
        <f t="shared" si="2"/>
        <v>393.73103647735633</v>
      </c>
    </row>
    <row r="39" spans="1:22" x14ac:dyDescent="0.2">
      <c r="A39">
        <v>44660.868791088098</v>
      </c>
      <c r="B39">
        <v>20.381183</v>
      </c>
      <c r="C39">
        <v>20.437878000000001</v>
      </c>
      <c r="D39">
        <v>20.160499999999999</v>
      </c>
      <c r="E39">
        <v>20.210346999999999</v>
      </c>
      <c r="F39">
        <v>40.076093999999998</v>
      </c>
      <c r="G39">
        <v>37.938656999999999</v>
      </c>
      <c r="H39">
        <v>34.723882000000003</v>
      </c>
      <c r="I39">
        <v>27.065539999999999</v>
      </c>
      <c r="J39">
        <v>56.435673999999999</v>
      </c>
      <c r="K39">
        <v>53.780720000000002</v>
      </c>
      <c r="L39">
        <v>20.516783</v>
      </c>
      <c r="M39">
        <v>-622.49673499999994</v>
      </c>
      <c r="N39">
        <v>2.1631429999999998</v>
      </c>
      <c r="O39">
        <v>14.934742</v>
      </c>
      <c r="P39">
        <f t="shared" si="0"/>
        <v>3.6052383333333331E-5</v>
      </c>
      <c r="Q39" cm="1">
        <f t="array" ref="Q39">[1]!PropsSI("D","T",J39+273.15,"P",101325,"Water")</f>
        <v>984.99157641857335</v>
      </c>
      <c r="R39" cm="1">
        <f t="array" ref="R39">[1]!PropsSI("D","T",K39+273.15,"P",101325,"Water")</f>
        <v>986.27882002084107</v>
      </c>
      <c r="S39">
        <f t="shared" si="1"/>
        <v>985.63519821970726</v>
      </c>
      <c r="T39" cm="1">
        <f t="array" ref="T39">[1]!PropsSI("H","T",J39+273.15,"P",101325,"Water")</f>
        <v>236334.81712539689</v>
      </c>
      <c r="U39" cm="1">
        <f t="array" ref="U39">[1]!PropsSI("H","T",K39+273.15,"P",101325,"Water")</f>
        <v>225229.14400119873</v>
      </c>
      <c r="V39">
        <f t="shared" si="2"/>
        <v>394.63451934320972</v>
      </c>
    </row>
    <row r="40" spans="1:22" x14ac:dyDescent="0.2">
      <c r="A40">
        <v>44660.868849537197</v>
      </c>
      <c r="B40">
        <v>20.403608999999999</v>
      </c>
      <c r="C40">
        <v>20.410899000000001</v>
      </c>
      <c r="D40">
        <v>20.131201000000001</v>
      </c>
      <c r="E40">
        <v>20.206620999999998</v>
      </c>
      <c r="F40">
        <v>40.001592000000002</v>
      </c>
      <c r="G40">
        <v>36.834600000000002</v>
      </c>
      <c r="H40">
        <v>34.525778000000003</v>
      </c>
      <c r="I40">
        <v>27.398091000000001</v>
      </c>
      <c r="J40">
        <v>56.436947000000004</v>
      </c>
      <c r="K40">
        <v>53.780242000000001</v>
      </c>
      <c r="L40">
        <v>17.604275999999999</v>
      </c>
      <c r="M40">
        <v>-622.49183700000003</v>
      </c>
      <c r="N40">
        <v>2.162086</v>
      </c>
      <c r="O40">
        <v>14.870186</v>
      </c>
      <c r="P40">
        <f t="shared" ref="P40:P54" si="3" xml:space="preserve"> N40*0.001/60</f>
        <v>3.6034766666666669E-5</v>
      </c>
      <c r="Q40" cm="1">
        <f t="array" ref="Q40">[1]!PropsSI("D","T",J40+273.15,"P",101325,"Water")</f>
        <v>984.99094877335301</v>
      </c>
      <c r="R40" cm="1">
        <f t="array" ref="R40">[1]!PropsSI("D","T",K40+273.15,"P",101325,"Water")</f>
        <v>986.27904782313385</v>
      </c>
      <c r="S40">
        <f t="shared" ref="S40:S54" si="4">(Q40+R40)/2</f>
        <v>985.63499829824343</v>
      </c>
      <c r="T40" cm="1">
        <f t="array" ref="T40">[1]!PropsSI("H","T",J40+273.15,"P",101325,"Water")</f>
        <v>236340.1427103749</v>
      </c>
      <c r="U40" cm="1">
        <f t="array" ref="U40">[1]!PropsSI("H","T",K40+273.15,"P",101325,"Water")</f>
        <v>225227.14475342128</v>
      </c>
      <c r="V40">
        <f t="shared" ref="V40:V54" si="5">S40*P40*(T40-U40)</f>
        <v>394.70176181240168</v>
      </c>
    </row>
    <row r="41" spans="1:22" x14ac:dyDescent="0.2">
      <c r="A41">
        <v>44660.868907986303</v>
      </c>
      <c r="B41">
        <v>20.406444</v>
      </c>
      <c r="C41">
        <v>20.404191999999998</v>
      </c>
      <c r="D41">
        <v>20.133548000000001</v>
      </c>
      <c r="E41">
        <v>20.188267</v>
      </c>
      <c r="F41">
        <v>39.765324999999997</v>
      </c>
      <c r="G41">
        <v>38.182724999999998</v>
      </c>
      <c r="H41">
        <v>35.150424000000001</v>
      </c>
      <c r="I41">
        <v>27.806235999999998</v>
      </c>
      <c r="J41">
        <v>56.438538999999999</v>
      </c>
      <c r="K41">
        <v>53.779288000000001</v>
      </c>
      <c r="L41">
        <v>16.531269000000002</v>
      </c>
      <c r="M41">
        <v>-622.49265300000002</v>
      </c>
      <c r="N41">
        <v>2.162258</v>
      </c>
      <c r="O41">
        <v>14.870225</v>
      </c>
      <c r="P41">
        <f t="shared" si="3"/>
        <v>3.6037633333333335E-5</v>
      </c>
      <c r="Q41" cm="1">
        <f t="array" ref="Q41">[1]!PropsSI("D","T",J41+273.15,"P",101325,"Water")</f>
        <v>984.99016383309822</v>
      </c>
      <c r="R41" cm="1">
        <f t="array" ref="R41">[1]!PropsSI("D","T",K41+273.15,"P",101325,"Water")</f>
        <v>986.27950247029457</v>
      </c>
      <c r="S41">
        <f t="shared" si="4"/>
        <v>985.6348331516964</v>
      </c>
      <c r="T41" cm="1">
        <f t="array" ref="T41">[1]!PropsSI("H","T",J41+273.15,"P",101325,"Water")</f>
        <v>236346.802830075</v>
      </c>
      <c r="U41" cm="1">
        <f t="array" ref="U41">[1]!PropsSI("H","T",K41+273.15,"P",101325,"Water")</f>
        <v>225223.15462322612</v>
      </c>
      <c r="V41">
        <f t="shared" si="5"/>
        <v>395.11139161351144</v>
      </c>
    </row>
    <row r="42" spans="1:22" x14ac:dyDescent="0.2">
      <c r="A42">
        <v>46122.868966435184</v>
      </c>
      <c r="B42">
        <v>20.436201000000001</v>
      </c>
      <c r="C42">
        <v>20.422789000000002</v>
      </c>
      <c r="D42">
        <v>20.150518000000002</v>
      </c>
      <c r="E42">
        <v>20.205292</v>
      </c>
      <c r="F42">
        <v>39.769649999999999</v>
      </c>
      <c r="G42">
        <v>37.313861000000003</v>
      </c>
      <c r="H42">
        <v>34.708782999999997</v>
      </c>
      <c r="I42">
        <v>27.529779000000001</v>
      </c>
      <c r="J42">
        <v>56.439971999999997</v>
      </c>
      <c r="K42">
        <v>53.779606000000001</v>
      </c>
      <c r="L42">
        <v>18.178940999999998</v>
      </c>
      <c r="M42">
        <v>-622.50081599999999</v>
      </c>
      <c r="N42">
        <v>2.1596600000000001</v>
      </c>
      <c r="O42">
        <v>14.929074999999999</v>
      </c>
      <c r="P42">
        <f t="shared" si="3"/>
        <v>3.5994333333333335E-5</v>
      </c>
      <c r="Q42" cm="1">
        <f t="array" ref="Q42">[1]!PropsSI("D","T",J42+273.15,"P",101325,"Water")</f>
        <v>984.98945727500359</v>
      </c>
      <c r="R42" cm="1">
        <f t="array" ref="R42">[1]!PropsSI("D","T",K42+273.15,"P",101325,"Water")</f>
        <v>986.27935092186681</v>
      </c>
      <c r="S42">
        <f t="shared" si="4"/>
        <v>985.6344040984352</v>
      </c>
      <c r="T42" cm="1">
        <f t="array" ref="T42">[1]!PropsSI("H","T",J42+273.15,"P",101325,"Water")</f>
        <v>236352.79777538351</v>
      </c>
      <c r="U42" cm="1">
        <f t="array" ref="U42">[1]!PropsSI("H","T",K42+273.15,"P",101325,"Water")</f>
        <v>225224.48466657547</v>
      </c>
      <c r="V42">
        <f t="shared" si="5"/>
        <v>394.80198280621164</v>
      </c>
    </row>
    <row r="43" spans="1:22" x14ac:dyDescent="0.2">
      <c r="A43">
        <v>46122.869024305553</v>
      </c>
      <c r="B43">
        <v>20.428906000000001</v>
      </c>
      <c r="C43">
        <v>20.415091</v>
      </c>
      <c r="D43">
        <v>20.121233</v>
      </c>
      <c r="E43">
        <v>20.188025</v>
      </c>
      <c r="F43">
        <v>40.013826000000002</v>
      </c>
      <c r="G43">
        <v>36.831172000000002</v>
      </c>
      <c r="H43">
        <v>34.526924999999999</v>
      </c>
      <c r="I43">
        <v>27.112829000000001</v>
      </c>
      <c r="J43">
        <v>56.444110000000002</v>
      </c>
      <c r="K43">
        <v>53.783741999999997</v>
      </c>
      <c r="L43">
        <v>17.689986000000001</v>
      </c>
      <c r="M43">
        <v>-622.49347</v>
      </c>
      <c r="N43">
        <v>2.1618689999999998</v>
      </c>
      <c r="O43">
        <v>14.781485999999999</v>
      </c>
      <c r="P43">
        <f t="shared" si="3"/>
        <v>3.6031149999999998E-5</v>
      </c>
      <c r="Q43" cm="1">
        <f t="array" ref="Q43">[1]!PropsSI("D","T",J43+273.15,"P",101325,"Water")</f>
        <v>984.98741691323903</v>
      </c>
      <c r="R43" cm="1">
        <f t="array" ref="R43">[1]!PropsSI("D","T",K43+273.15,"P",101325,"Water")</f>
        <v>986.27737978135258</v>
      </c>
      <c r="S43">
        <f t="shared" si="4"/>
        <v>985.63239834729575</v>
      </c>
      <c r="T43" cm="1">
        <f t="array" ref="T43">[1]!PropsSI("H","T",J43+273.15,"P",101325,"Water")</f>
        <v>236370.10907329331</v>
      </c>
      <c r="U43" cm="1">
        <f t="array" ref="U43">[1]!PropsSI("H","T",K43+273.15,"P",101325,"Water")</f>
        <v>225241.78359878276</v>
      </c>
      <c r="V43">
        <f t="shared" si="5"/>
        <v>395.20543942077813</v>
      </c>
    </row>
    <row r="44" spans="1:22" x14ac:dyDescent="0.2">
      <c r="A44">
        <v>46122.869082754631</v>
      </c>
      <c r="B44">
        <v>20.433046999999998</v>
      </c>
      <c r="C44">
        <v>20.411536000000002</v>
      </c>
      <c r="D44">
        <v>20.104678</v>
      </c>
      <c r="E44">
        <v>20.160153999999999</v>
      </c>
      <c r="F44">
        <v>39.87932</v>
      </c>
      <c r="G44">
        <v>36.737251000000001</v>
      </c>
      <c r="H44">
        <v>34.692431999999997</v>
      </c>
      <c r="I44">
        <v>27.600740999999999</v>
      </c>
      <c r="J44">
        <v>56.446975999999999</v>
      </c>
      <c r="K44">
        <v>53.786445999999998</v>
      </c>
      <c r="L44">
        <v>18.182614999999998</v>
      </c>
      <c r="M44">
        <v>-622.51183600000002</v>
      </c>
      <c r="N44">
        <v>2.1634709999999999</v>
      </c>
      <c r="O44">
        <v>14.756679999999999</v>
      </c>
      <c r="P44">
        <f t="shared" si="3"/>
        <v>3.6057850000000002E-5</v>
      </c>
      <c r="Q44" cm="1">
        <f t="array" ref="Q44">[1]!PropsSI("D","T",J44+273.15,"P",101325,"Water")</f>
        <v>984.98600368682912</v>
      </c>
      <c r="R44" cm="1">
        <f t="array" ref="R44">[1]!PropsSI("D","T",K44+273.15,"P",101325,"Water")</f>
        <v>986.2760910471967</v>
      </c>
      <c r="S44">
        <f t="shared" si="4"/>
        <v>985.63104736701291</v>
      </c>
      <c r="T44" cm="1">
        <f t="array" ref="T44">[1]!PropsSI("H","T",J44+273.15,"P",101325,"Water")</f>
        <v>236382.09897073303</v>
      </c>
      <c r="U44" cm="1">
        <f t="array" ref="U44">[1]!PropsSI("H","T",K44+273.15,"P",101325,"Water")</f>
        <v>225253.09315529303</v>
      </c>
      <c r="V44">
        <f t="shared" si="5"/>
        <v>395.52193375704235</v>
      </c>
    </row>
    <row r="45" spans="1:22" x14ac:dyDescent="0.2">
      <c r="A45">
        <v>46122.869140625</v>
      </c>
      <c r="B45">
        <v>20.427243000000001</v>
      </c>
      <c r="C45">
        <v>20.412513000000001</v>
      </c>
      <c r="D45">
        <v>20.098227000000001</v>
      </c>
      <c r="E45">
        <v>20.176283999999999</v>
      </c>
      <c r="F45">
        <v>39.458477999999999</v>
      </c>
      <c r="G45">
        <v>37.081218</v>
      </c>
      <c r="H45">
        <v>35.103279999999998</v>
      </c>
      <c r="I45">
        <v>26.857866999999999</v>
      </c>
      <c r="J45">
        <v>56.448248999999997</v>
      </c>
      <c r="K45">
        <v>53.788673000000003</v>
      </c>
      <c r="L45">
        <v>17.666722</v>
      </c>
      <c r="M45">
        <v>-622.48122499999999</v>
      </c>
      <c r="N45">
        <v>2.162852</v>
      </c>
      <c r="O45">
        <v>14.8649</v>
      </c>
      <c r="P45">
        <f t="shared" si="3"/>
        <v>3.604753333333333E-5</v>
      </c>
      <c r="Q45" cm="1">
        <f t="array" ref="Q45">[1]!PropsSI("D","T",J45+273.15,"P",101325,"Water")</f>
        <v>984.98537595362279</v>
      </c>
      <c r="R45" cm="1">
        <f t="array" ref="R45">[1]!PropsSI("D","T",K45+273.15,"P",101325,"Water")</f>
        <v>986.27502961807659</v>
      </c>
      <c r="S45">
        <f t="shared" si="4"/>
        <v>985.63020278584963</v>
      </c>
      <c r="T45" cm="1">
        <f t="array" ref="T45">[1]!PropsSI("H","T",J45+273.15,"P",101325,"Water")</f>
        <v>236387.42456123864</v>
      </c>
      <c r="U45" cm="1">
        <f t="array" ref="U45">[1]!PropsSI("H","T",K45+273.15,"P",101325,"Water")</f>
        <v>225262.407647713</v>
      </c>
      <c r="V45">
        <f t="shared" si="5"/>
        <v>395.26670661029607</v>
      </c>
    </row>
    <row r="46" spans="1:22" x14ac:dyDescent="0.2">
      <c r="A46">
        <v>46122.869199074077</v>
      </c>
      <c r="B46">
        <v>20.392990000000001</v>
      </c>
      <c r="C46">
        <v>20.345115</v>
      </c>
      <c r="D46">
        <v>20.093976999999999</v>
      </c>
      <c r="E46">
        <v>20.170470000000002</v>
      </c>
      <c r="F46">
        <v>39.857117000000002</v>
      </c>
      <c r="G46">
        <v>35.985694000000002</v>
      </c>
      <c r="H46">
        <v>35.419893999999999</v>
      </c>
      <c r="I46">
        <v>27.252410000000001</v>
      </c>
      <c r="J46">
        <v>56.449522000000002</v>
      </c>
      <c r="K46">
        <v>53.788831999999999</v>
      </c>
      <c r="L46">
        <v>16.312096</v>
      </c>
      <c r="M46">
        <v>-622.47918500000003</v>
      </c>
      <c r="N46">
        <v>2.1598570000000001</v>
      </c>
      <c r="O46">
        <v>14.667509000000001</v>
      </c>
      <c r="P46">
        <f t="shared" si="3"/>
        <v>3.5997616666666673E-5</v>
      </c>
      <c r="Q46" cm="1">
        <f t="array" ref="Q46">[1]!PropsSI("D","T",J46+273.15,"P",101325,"Water")</f>
        <v>984.98474821050536</v>
      </c>
      <c r="R46" cm="1">
        <f t="array" ref="R46">[1]!PropsSI("D","T",K46+273.15,"P",101325,"Water")</f>
        <v>986.27495383456767</v>
      </c>
      <c r="S46">
        <f t="shared" si="4"/>
        <v>985.62985102253651</v>
      </c>
      <c r="T46" cm="1">
        <f t="array" ref="T46">[1]!PropsSI("H","T",J46+273.15,"P",101325,"Water")</f>
        <v>236392.75015238937</v>
      </c>
      <c r="U46" cm="1">
        <f t="array" ref="U46">[1]!PropsSI("H","T",K46+273.15,"P",101325,"Water")</f>
        <v>225263.07266991778</v>
      </c>
      <c r="V46">
        <f t="shared" si="5"/>
        <v>394.88458037056279</v>
      </c>
    </row>
    <row r="47" spans="1:22" x14ac:dyDescent="0.2">
      <c r="A47">
        <v>46122.869257523147</v>
      </c>
      <c r="B47">
        <v>20.356663000000001</v>
      </c>
      <c r="C47">
        <v>20.322324999999999</v>
      </c>
      <c r="D47">
        <v>20.084886000000001</v>
      </c>
      <c r="E47">
        <v>20.167905000000001</v>
      </c>
      <c r="F47">
        <v>39.528488000000003</v>
      </c>
      <c r="G47">
        <v>35.699506</v>
      </c>
      <c r="H47">
        <v>35.071384000000002</v>
      </c>
      <c r="I47">
        <v>27.244143999999999</v>
      </c>
      <c r="J47">
        <v>56.449522000000002</v>
      </c>
      <c r="K47">
        <v>53.787399999999998</v>
      </c>
      <c r="L47">
        <v>15.770899</v>
      </c>
      <c r="M47">
        <v>-622.49061300000005</v>
      </c>
      <c r="N47">
        <v>2.1625740000000002</v>
      </c>
      <c r="O47">
        <v>14.908678999999999</v>
      </c>
      <c r="P47">
        <f t="shared" si="3"/>
        <v>3.6042900000000007E-5</v>
      </c>
      <c r="Q47" cm="1">
        <f t="array" ref="Q47">[1]!PropsSI("D","T",J47+273.15,"P",101325,"Water")</f>
        <v>984.98474821050536</v>
      </c>
      <c r="R47" cm="1">
        <f t="array" ref="R47">[1]!PropsSI("D","T",K47+273.15,"P",101325,"Water")</f>
        <v>986.27563635709839</v>
      </c>
      <c r="S47">
        <f t="shared" si="4"/>
        <v>985.63019228380188</v>
      </c>
      <c r="T47" cm="1">
        <f t="array" ref="T47">[1]!PropsSI("H","T",J47+273.15,"P",101325,"Water")</f>
        <v>236392.75015238937</v>
      </c>
      <c r="U47" cm="1">
        <f t="array" ref="U47">[1]!PropsSI("H","T",K47+273.15,"P",101325,"Water")</f>
        <v>225257.08328788582</v>
      </c>
      <c r="V47">
        <f t="shared" si="5"/>
        <v>395.59423638567011</v>
      </c>
    </row>
    <row r="48" spans="1:22" x14ac:dyDescent="0.2">
      <c r="A48">
        <v>46122.869315393516</v>
      </c>
      <c r="B48">
        <v>20.324304999999999</v>
      </c>
      <c r="C48">
        <v>20.304632000000002</v>
      </c>
      <c r="D48">
        <v>20.084606000000001</v>
      </c>
      <c r="E48">
        <v>20.153614000000001</v>
      </c>
      <c r="F48">
        <v>39.924481</v>
      </c>
      <c r="G48">
        <v>36.588439000000001</v>
      </c>
      <c r="H48">
        <v>35.300007000000001</v>
      </c>
      <c r="I48">
        <v>27.282955999999999</v>
      </c>
      <c r="J48">
        <v>56.451591999999998</v>
      </c>
      <c r="K48">
        <v>53.788195999999999</v>
      </c>
      <c r="L48">
        <v>19.914365</v>
      </c>
      <c r="M48">
        <v>-622.49306200000001</v>
      </c>
      <c r="N48">
        <v>2.1624379999999999</v>
      </c>
      <c r="O48">
        <v>14.906404</v>
      </c>
      <c r="P48">
        <f t="shared" si="3"/>
        <v>3.6040633333333335E-5</v>
      </c>
      <c r="Q48" cm="1">
        <f t="array" ref="Q48">[1]!PropsSI("D","T",J48+273.15,"P",101325,"Water")</f>
        <v>984.98372742873789</v>
      </c>
      <c r="R48" cm="1">
        <f t="array" ref="R48">[1]!PropsSI("D","T",K48+273.15,"P",101325,"Water")</f>
        <v>986.27525696766895</v>
      </c>
      <c r="S48">
        <f t="shared" si="4"/>
        <v>985.62949219820348</v>
      </c>
      <c r="T48" cm="1">
        <f t="array" ref="T48">[1]!PropsSI("H","T",J48+273.15,"P",101325,"Water")</f>
        <v>236401.40999152057</v>
      </c>
      <c r="U48" cm="1">
        <f t="array" ref="U48">[1]!PropsSI("H","T",K48+273.15,"P",101325,"Water")</f>
        <v>225260.41258119873</v>
      </c>
      <c r="V48">
        <f t="shared" si="5"/>
        <v>395.75843271624336</v>
      </c>
    </row>
    <row r="49" spans="1:22" x14ac:dyDescent="0.2">
      <c r="A49">
        <v>44660.869373842797</v>
      </c>
      <c r="B49">
        <v>20.346523000000001</v>
      </c>
      <c r="C49">
        <v>20.333628999999998</v>
      </c>
      <c r="D49">
        <v>20.077152999999999</v>
      </c>
      <c r="E49">
        <v>20.151292000000002</v>
      </c>
      <c r="F49">
        <v>39.744967000000003</v>
      </c>
      <c r="G49">
        <v>37.693356999999999</v>
      </c>
      <c r="H49">
        <v>34.676974000000001</v>
      </c>
      <c r="I49">
        <v>27.629631</v>
      </c>
      <c r="J49">
        <v>56.454934999999999</v>
      </c>
      <c r="K49">
        <v>53.790582000000001</v>
      </c>
      <c r="L49">
        <v>17.212866999999999</v>
      </c>
      <c r="M49">
        <v>-622.47632799999997</v>
      </c>
      <c r="N49">
        <v>2.1567630000000002</v>
      </c>
      <c r="O49">
        <v>14.812404000000001</v>
      </c>
      <c r="P49">
        <f t="shared" si="3"/>
        <v>3.5946050000000008E-5</v>
      </c>
      <c r="Q49" cm="1">
        <f t="array" ref="Q49">[1]!PropsSI("D","T",J49+273.15,"P",101325,"Water")</f>
        <v>984.98207883547479</v>
      </c>
      <c r="R49" cm="1">
        <f t="array" ref="R49">[1]!PropsSI("D","T",K49+273.15,"P",101325,"Water")</f>
        <v>986.27411972877428</v>
      </c>
      <c r="S49">
        <f t="shared" si="4"/>
        <v>985.62809928212459</v>
      </c>
      <c r="T49" cm="1">
        <f t="array" ref="T49">[1]!PropsSI("H","T",J49+273.15,"P",101325,"Water")</f>
        <v>236415.39542618082</v>
      </c>
      <c r="U49" cm="1">
        <f t="array" ref="U49">[1]!PropsSI("H","T",K49+273.15,"P",101325,"Water")</f>
        <v>225270.39209721723</v>
      </c>
      <c r="V49">
        <f t="shared" si="5"/>
        <v>394.86119261954707</v>
      </c>
    </row>
    <row r="50" spans="1:22" x14ac:dyDescent="0.2">
      <c r="A50" t="s">
        <v>17</v>
      </c>
      <c r="B50">
        <v>20.363727000000001</v>
      </c>
      <c r="C50">
        <v>20.375067000000001</v>
      </c>
      <c r="D50">
        <v>20.068676</v>
      </c>
      <c r="E50">
        <v>20.119467</v>
      </c>
      <c r="F50">
        <v>40.008302999999998</v>
      </c>
      <c r="G50">
        <v>37.123356999999999</v>
      </c>
      <c r="H50">
        <v>34.807479000000001</v>
      </c>
      <c r="I50">
        <v>26.954065</v>
      </c>
      <c r="J50">
        <v>56.455889999999997</v>
      </c>
      <c r="K50">
        <v>53.788991000000003</v>
      </c>
      <c r="L50">
        <v>16.959819</v>
      </c>
      <c r="M50">
        <v>-622.49020499999995</v>
      </c>
      <c r="N50">
        <v>2.1566360000000002</v>
      </c>
      <c r="O50">
        <v>14.93431</v>
      </c>
      <c r="P50">
        <f t="shared" si="3"/>
        <v>3.594393333333334E-5</v>
      </c>
      <c r="Q50" cm="1">
        <f t="array" ref="Q50">[1]!PropsSI("D","T",J50+273.15,"P",101325,"Water")</f>
        <v>984.98160786673952</v>
      </c>
      <c r="R50" cm="1">
        <f t="array" ref="R50">[1]!PropsSI("D","T",K50+273.15,"P",101325,"Water")</f>
        <v>986.27487805088799</v>
      </c>
      <c r="S50">
        <f t="shared" si="4"/>
        <v>985.62824295881376</v>
      </c>
      <c r="T50" cm="1">
        <f t="array" ref="T50">[1]!PropsSI("H","T",J50+273.15,"P",101325,"Water")</f>
        <v>236419.3906678083</v>
      </c>
      <c r="U50" cm="1">
        <f t="array" ref="U50">[1]!PropsSI("H","T",K50+273.15,"P",101325,"Water")</f>
        <v>225263.73769211007</v>
      </c>
      <c r="V50">
        <f t="shared" si="5"/>
        <v>395.2152877801459</v>
      </c>
    </row>
    <row r="51" spans="1:22" x14ac:dyDescent="0.2">
      <c r="A51">
        <v>46122.869490740741</v>
      </c>
      <c r="B51">
        <v>20.391515999999999</v>
      </c>
      <c r="C51">
        <v>20.394729000000002</v>
      </c>
      <c r="D51">
        <v>20.093443000000001</v>
      </c>
      <c r="E51">
        <v>20.150413</v>
      </c>
      <c r="F51">
        <v>39.848900999999998</v>
      </c>
      <c r="G51">
        <v>38.130986</v>
      </c>
      <c r="H51">
        <v>34.323649000000003</v>
      </c>
      <c r="I51">
        <v>27.488216999999999</v>
      </c>
      <c r="J51">
        <v>56.454138999999998</v>
      </c>
      <c r="K51">
        <v>53.788195999999999</v>
      </c>
      <c r="L51">
        <v>18.793603999999998</v>
      </c>
      <c r="M51">
        <v>-622.47347100000002</v>
      </c>
      <c r="N51">
        <v>2.1634959999999999</v>
      </c>
      <c r="O51">
        <v>15.023367</v>
      </c>
      <c r="P51">
        <f t="shared" si="3"/>
        <v>3.6058266666666667E-5</v>
      </c>
      <c r="Q51" cm="1">
        <f t="array" ref="Q51">[1]!PropsSI("D","T",J51+273.15,"P",101325,"Water")</f>
        <v>984.98247138735985</v>
      </c>
      <c r="R51" cm="1">
        <f t="array" ref="R51">[1]!PropsSI("D","T",K51+273.15,"P",101325,"Water")</f>
        <v>986.27525696766895</v>
      </c>
      <c r="S51">
        <f t="shared" si="4"/>
        <v>985.6288641775144</v>
      </c>
      <c r="T51" cm="1">
        <f t="array" ref="T51">[1]!PropsSI("H","T",J51+273.15,"P",101325,"Water")</f>
        <v>236412.06536124033</v>
      </c>
      <c r="U51" cm="1">
        <f t="array" ref="U51">[1]!PropsSI("H","T",K51+273.15,"P",101325,"Water")</f>
        <v>225260.41258119873</v>
      </c>
      <c r="V51">
        <f t="shared" si="5"/>
        <v>396.33050278623358</v>
      </c>
    </row>
    <row r="52" spans="1:22" x14ac:dyDescent="0.2">
      <c r="A52">
        <v>46122.869549189818</v>
      </c>
      <c r="B52">
        <v>20.386071000000001</v>
      </c>
      <c r="C52">
        <v>20.395133000000001</v>
      </c>
      <c r="D52">
        <v>20.091991</v>
      </c>
      <c r="E52">
        <v>20.131284000000001</v>
      </c>
      <c r="F52">
        <v>39.80697</v>
      </c>
      <c r="G52">
        <v>37.248466000000001</v>
      </c>
      <c r="H52">
        <v>34.524211999999999</v>
      </c>
      <c r="I52">
        <v>27.348970999999999</v>
      </c>
      <c r="J52">
        <v>56.454298000000001</v>
      </c>
      <c r="K52">
        <v>53.788513999999999</v>
      </c>
      <c r="L52">
        <v>18.353217999999998</v>
      </c>
      <c r="M52">
        <v>-622.52897800000005</v>
      </c>
      <c r="N52">
        <v>2.1601970000000001</v>
      </c>
      <c r="O52">
        <v>14.811311</v>
      </c>
      <c r="P52">
        <f t="shared" si="3"/>
        <v>3.6003283333333331E-5</v>
      </c>
      <c r="Q52" cm="1">
        <f t="array" ref="Q52">[1]!PropsSI("D","T",J52+273.15,"P",101325,"Water")</f>
        <v>984.9823929759292</v>
      </c>
      <c r="R52" cm="1">
        <f t="array" ref="R52">[1]!PropsSI("D","T",K52+273.15,"P",101325,"Water")</f>
        <v>986.27510540143976</v>
      </c>
      <c r="S52">
        <f t="shared" si="4"/>
        <v>985.62874918868442</v>
      </c>
      <c r="T52" cm="1">
        <f t="array" ref="T52">[1]!PropsSI("H","T",J52+273.15,"P",101325,"Water")</f>
        <v>236412.73053747829</v>
      </c>
      <c r="U52" cm="1">
        <f t="array" ref="U52">[1]!PropsSI("H","T",K52+273.15,"P",101325,"Water")</f>
        <v>225261.7426255157</v>
      </c>
      <c r="V52">
        <f t="shared" si="5"/>
        <v>395.70251988806911</v>
      </c>
    </row>
    <row r="53" spans="1:22" x14ac:dyDescent="0.2">
      <c r="A53">
        <v>46122.869607060187</v>
      </c>
      <c r="B53">
        <v>20.371839000000001</v>
      </c>
      <c r="C53">
        <v>20.358501</v>
      </c>
      <c r="D53">
        <v>20.069289999999999</v>
      </c>
      <c r="E53">
        <v>20.107208</v>
      </c>
      <c r="F53">
        <v>40.089464</v>
      </c>
      <c r="G53">
        <v>37.521878999999998</v>
      </c>
      <c r="H53">
        <v>34.386662999999999</v>
      </c>
      <c r="I53">
        <v>27.569105</v>
      </c>
      <c r="J53">
        <v>56.457163000000001</v>
      </c>
      <c r="K53">
        <v>53.787719000000003</v>
      </c>
      <c r="L53">
        <v>18.0716</v>
      </c>
      <c r="M53">
        <v>-622.49918400000001</v>
      </c>
      <c r="N53">
        <v>2.1600290000000002</v>
      </c>
      <c r="O53">
        <v>15.165350999999999</v>
      </c>
      <c r="P53">
        <f t="shared" si="3"/>
        <v>3.6000483333333339E-5</v>
      </c>
      <c r="Q53" cm="1">
        <f t="array" ref="Q53">[1]!PropsSI("D","T",J53+273.15,"P",101325,"Water")</f>
        <v>984.98098006412101</v>
      </c>
      <c r="R53" cm="1">
        <f t="array" ref="R53">[1]!PropsSI("D","T",K53+273.15,"P",101325,"Water")</f>
        <v>986.27548431583114</v>
      </c>
      <c r="S53">
        <f t="shared" si="4"/>
        <v>985.62823218997607</v>
      </c>
      <c r="T53" cm="1">
        <f t="array" ref="T53">[1]!PropsSI("H","T",J53+273.15,"P",101325,"Water")</f>
        <v>236424.71626261339</v>
      </c>
      <c r="U53" cm="1">
        <f t="array" ref="U53">[1]!PropsSI("H","T",K53+273.15,"P",101325,"Water")</f>
        <v>225258.41751468458</v>
      </c>
      <c r="V53">
        <f t="shared" si="5"/>
        <v>396.21481410026985</v>
      </c>
    </row>
    <row r="54" spans="1:22" x14ac:dyDescent="0.2">
      <c r="A54">
        <v>46122.869665509257</v>
      </c>
      <c r="B54">
        <v>20.359000999999999</v>
      </c>
      <c r="C54">
        <v>20.353895999999999</v>
      </c>
      <c r="D54">
        <v>20.076989000000001</v>
      </c>
      <c r="E54">
        <v>20.125397</v>
      </c>
      <c r="F54">
        <v>39.599286999999997</v>
      </c>
      <c r="G54">
        <v>37.881867999999997</v>
      </c>
      <c r="H54">
        <v>34.640571999999999</v>
      </c>
      <c r="I54">
        <v>27.397283999999999</v>
      </c>
      <c r="J54">
        <v>56.457481000000001</v>
      </c>
      <c r="K54">
        <v>53.786445999999998</v>
      </c>
      <c r="L54">
        <v>15.778653</v>
      </c>
      <c r="M54">
        <v>-622.49510199999997</v>
      </c>
      <c r="N54">
        <v>2.164221</v>
      </c>
      <c r="O54">
        <v>14.933954</v>
      </c>
      <c r="P54">
        <f t="shared" si="3"/>
        <v>3.6070350000000003E-5</v>
      </c>
      <c r="Q54" cm="1">
        <f t="array" ref="Q54">[1]!PropsSI("D","T",J54+273.15,"P",101325,"Water")</f>
        <v>984.98082323521396</v>
      </c>
      <c r="R54" cm="1">
        <f t="array" ref="R54">[1]!PropsSI("D","T",K54+273.15,"P",101325,"Water")</f>
        <v>986.2760910471967</v>
      </c>
      <c r="S54">
        <f t="shared" si="4"/>
        <v>985.62845714120533</v>
      </c>
      <c r="T54" cm="1">
        <f t="array" ref="T54">[1]!PropsSI("H","T",J54+273.15,"P",101325,"Water")</f>
        <v>236426.0466155654</v>
      </c>
      <c r="U54" cm="1">
        <f t="array" ref="U54">[1]!PropsSI("H","T",K54+273.15,"P",101325,"Water")</f>
        <v>225253.09315529303</v>
      </c>
      <c r="V54">
        <f t="shared" si="5"/>
        <v>397.22043270227641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03B-C242-2346-8A0E-81FFC0FC9454}">
  <dimension ref="A1:W25"/>
  <sheetViews>
    <sheetView topLeftCell="G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44660.873137731702</v>
      </c>
      <c r="B2">
        <v>20.388392</v>
      </c>
      <c r="C2">
        <v>20.465919</v>
      </c>
      <c r="D2">
        <v>20.118898999999999</v>
      </c>
      <c r="E2">
        <v>20.219947000000001</v>
      </c>
      <c r="F2">
        <v>35.365673000000001</v>
      </c>
      <c r="G2">
        <v>32.646346000000001</v>
      </c>
      <c r="H2">
        <v>31.191658</v>
      </c>
      <c r="I2">
        <v>25.174213999999999</v>
      </c>
      <c r="J2">
        <v>56.439494000000003</v>
      </c>
      <c r="K2">
        <v>53.236446000000001</v>
      </c>
      <c r="L2">
        <v>37.737554000000003</v>
      </c>
      <c r="M2">
        <v>-622.487348</v>
      </c>
      <c r="N2">
        <v>2.1652130000000001</v>
      </c>
      <c r="O2">
        <v>14.836447</v>
      </c>
      <c r="P2">
        <f t="shared" ref="P2:P65" si="0" xml:space="preserve"> N2*0.001/60</f>
        <v>3.6086883333333332E-5</v>
      </c>
      <c r="Q2" cm="1">
        <f t="array" ref="Q2">[1]!PropsSI("D","T",J2+273.15,"P",101325,"Water")</f>
        <v>984.98969296013183</v>
      </c>
      <c r="R2" cm="1">
        <f t="array" ref="R2">[1]!PropsSI("D","T",K2+273.15,"P",101325,"Water")</f>
        <v>986.53727429419246</v>
      </c>
      <c r="S2">
        <f t="shared" ref="S2:S65" si="1">(Q2+R2)/2</f>
        <v>985.76348362716215</v>
      </c>
      <c r="T2" cm="1">
        <f t="array" ref="T2">[1]!PropsSI("H","T",J2+273.15,"P",101325,"Water")</f>
        <v>236350.79806570814</v>
      </c>
      <c r="U2" cm="1">
        <f t="array" ref="U2">[1]!PropsSI("H","T",K2+273.15,"P",101325,"Water")</f>
        <v>222952.75380498069</v>
      </c>
      <c r="V2">
        <f t="shared" ref="V2:V65" si="2">S2*P2*(T2-U2)</f>
        <v>476.6103947230792</v>
      </c>
      <c r="W2" s="2">
        <f>AVERAGE(V2:V25)</f>
        <v>475.46238284090987</v>
      </c>
    </row>
    <row r="3" spans="1:23" x14ac:dyDescent="0.2">
      <c r="A3">
        <v>44660.873195601998</v>
      </c>
      <c r="B3">
        <v>20.365644</v>
      </c>
      <c r="C3">
        <v>20.493274</v>
      </c>
      <c r="D3">
        <v>20.138593</v>
      </c>
      <c r="E3">
        <v>20.207504</v>
      </c>
      <c r="F3">
        <v>35.514895000000003</v>
      </c>
      <c r="G3">
        <v>32.710898999999998</v>
      </c>
      <c r="H3">
        <v>31.662662999999998</v>
      </c>
      <c r="I3">
        <v>25.313189999999999</v>
      </c>
      <c r="J3">
        <v>56.442836999999997</v>
      </c>
      <c r="K3">
        <v>53.237718999999998</v>
      </c>
      <c r="L3">
        <v>36.348236</v>
      </c>
      <c r="M3">
        <v>-622.49224500000003</v>
      </c>
      <c r="N3">
        <v>2.1630410000000002</v>
      </c>
      <c r="O3">
        <v>14.538461</v>
      </c>
      <c r="P3">
        <f t="shared" si="0"/>
        <v>3.6050683333333334E-5</v>
      </c>
      <c r="Q3" cm="1">
        <f t="array" ref="Q3">[1]!PropsSI("D","T",J3+273.15,"P",101325,"Water")</f>
        <v>984.98804461422503</v>
      </c>
      <c r="R3" cm="1">
        <f t="array" ref="R3">[1]!PropsSI("D","T",K3+273.15,"P",101325,"Water")</f>
        <v>986.53667197871687</v>
      </c>
      <c r="S3">
        <f t="shared" si="1"/>
        <v>985.76235829647089</v>
      </c>
      <c r="T3" cm="1">
        <f t="array" ref="T3">[1]!PropsSI("H","T",J3+273.15,"P",101325,"Water")</f>
        <v>236364.78348480217</v>
      </c>
      <c r="U3" cm="1">
        <f t="array" ref="U3">[1]!PropsSI("H","T",K3+273.15,"P",101325,"Water")</f>
        <v>222958.07792710961</v>
      </c>
      <c r="V3">
        <f t="shared" si="2"/>
        <v>476.43954684994389</v>
      </c>
      <c r="W3" s="2"/>
    </row>
    <row r="4" spans="1:23" x14ac:dyDescent="0.2">
      <c r="A4">
        <v>44660.873254051097</v>
      </c>
      <c r="B4">
        <v>20.380254000000001</v>
      </c>
      <c r="C4">
        <v>20.508687999999999</v>
      </c>
      <c r="D4">
        <v>20.117097999999999</v>
      </c>
      <c r="E4">
        <v>20.202542000000001</v>
      </c>
      <c r="F4">
        <v>35.639392999999998</v>
      </c>
      <c r="G4">
        <v>32.011660999999997</v>
      </c>
      <c r="H4">
        <v>31.182617</v>
      </c>
      <c r="I4">
        <v>25.110596000000001</v>
      </c>
      <c r="J4">
        <v>56.445225000000001</v>
      </c>
      <c r="K4">
        <v>53.242013</v>
      </c>
      <c r="L4">
        <v>40.092129999999997</v>
      </c>
      <c r="M4">
        <v>-622.48449100000005</v>
      </c>
      <c r="N4">
        <v>2.1561810000000001</v>
      </c>
      <c r="O4">
        <v>15.053929</v>
      </c>
      <c r="P4">
        <f t="shared" si="0"/>
        <v>3.593635E-5</v>
      </c>
      <c r="Q4" cm="1">
        <f t="array" ref="Q4">[1]!PropsSI("D","T",J4+273.15,"P",101325,"Water")</f>
        <v>984.98686711201537</v>
      </c>
      <c r="R4" cm="1">
        <f t="array" ref="R4">[1]!PropsSI("D","T",K4+273.15,"P",101325,"Water")</f>
        <v>986.53464021208777</v>
      </c>
      <c r="S4">
        <f t="shared" si="1"/>
        <v>985.76075366205157</v>
      </c>
      <c r="T4" cm="1">
        <f t="array" ref="T4">[1]!PropsSI("H","T",J4+273.15,"P",101325,"Water")</f>
        <v>236374.77367017273</v>
      </c>
      <c r="U4" cm="1">
        <f t="array" ref="U4">[1]!PropsSI("H","T",K4+273.15,"P",101325,"Water")</f>
        <v>222976.03691024333</v>
      </c>
      <c r="V4">
        <f t="shared" si="2"/>
        <v>474.64547253306233</v>
      </c>
      <c r="W4" s="2"/>
    </row>
    <row r="5" spans="1:23" x14ac:dyDescent="0.2">
      <c r="A5">
        <v>44660.873311921503</v>
      </c>
      <c r="B5">
        <v>20.382998000000001</v>
      </c>
      <c r="C5">
        <v>20.500730999999998</v>
      </c>
      <c r="D5">
        <v>20.117730000000002</v>
      </c>
      <c r="E5">
        <v>20.210519000000001</v>
      </c>
      <c r="F5">
        <v>35.636569999999999</v>
      </c>
      <c r="G5">
        <v>32.518737999999999</v>
      </c>
      <c r="H5">
        <v>31.399688999999999</v>
      </c>
      <c r="I5">
        <v>25.343675999999999</v>
      </c>
      <c r="J5">
        <v>56.447293999999999</v>
      </c>
      <c r="K5">
        <v>53.245351999999997</v>
      </c>
      <c r="L5">
        <v>40.752096999999999</v>
      </c>
      <c r="M5">
        <v>-622.48775599999999</v>
      </c>
      <c r="N5">
        <v>2.167065</v>
      </c>
      <c r="O5">
        <v>14.690231000000001</v>
      </c>
      <c r="P5">
        <f t="shared" si="0"/>
        <v>3.6117750000000005E-5</v>
      </c>
      <c r="Q5" cm="1">
        <f t="array" ref="Q5">[1]!PropsSI("D","T",J5+273.15,"P",101325,"Water")</f>
        <v>984.98584687772666</v>
      </c>
      <c r="R5" cm="1">
        <f t="array" ref="R5">[1]!PropsSI("D","T",K5+273.15,"P",101325,"Water")</f>
        <v>986.53306023660514</v>
      </c>
      <c r="S5">
        <f t="shared" si="1"/>
        <v>985.7594535571659</v>
      </c>
      <c r="T5" cm="1">
        <f t="array" ref="T5">[1]!PropsSI("H","T",J5+273.15,"P",101325,"Water")</f>
        <v>236383.42932242402</v>
      </c>
      <c r="U5" cm="1">
        <f t="array" ref="U5">[1]!PropsSI("H","T",K5+273.15,"P",101325,"Water")</f>
        <v>222990.00175949602</v>
      </c>
      <c r="V5">
        <f t="shared" si="2"/>
        <v>476.85173975497059</v>
      </c>
      <c r="W5" s="2"/>
    </row>
    <row r="6" spans="1:23" x14ac:dyDescent="0.2">
      <c r="A6">
        <v>46122.873369791669</v>
      </c>
      <c r="B6">
        <v>20.329256000000001</v>
      </c>
      <c r="C6">
        <v>20.471819</v>
      </c>
      <c r="D6">
        <v>20.099727999999999</v>
      </c>
      <c r="E6">
        <v>20.192243999999999</v>
      </c>
      <c r="F6">
        <v>35.497551000000001</v>
      </c>
      <c r="G6">
        <v>33.065294999999999</v>
      </c>
      <c r="H6">
        <v>32.020708999999997</v>
      </c>
      <c r="I6">
        <v>25.59038</v>
      </c>
      <c r="J6">
        <v>56.447611999999999</v>
      </c>
      <c r="K6">
        <v>53.244079999999997</v>
      </c>
      <c r="L6">
        <v>40.245182999999997</v>
      </c>
      <c r="M6">
        <v>-622.50938699999995</v>
      </c>
      <c r="N6">
        <v>2.1570870000000002</v>
      </c>
      <c r="O6">
        <v>15.062329</v>
      </c>
      <c r="P6">
        <f t="shared" si="0"/>
        <v>3.5951450000000006E-5</v>
      </c>
      <c r="Q6" cm="1">
        <f t="array" ref="Q6">[1]!PropsSI("D","T",J6+273.15,"P",101325,"Water")</f>
        <v>984.98569006801426</v>
      </c>
      <c r="R6" cm="1">
        <f t="array" ref="R6">[1]!PropsSI("D","T",K6+273.15,"P",101325,"Water")</f>
        <v>986.53366214034088</v>
      </c>
      <c r="S6">
        <f t="shared" si="1"/>
        <v>985.75967610417752</v>
      </c>
      <c r="T6" cm="1">
        <f t="array" ref="T6">[1]!PropsSI("H","T",J6+273.15,"P",101325,"Water")</f>
        <v>236384.75967415477</v>
      </c>
      <c r="U6" cm="1">
        <f t="array" ref="U6">[1]!PropsSI("H","T",K6+273.15,"P",101325,"Water")</f>
        <v>222984.68181646703</v>
      </c>
      <c r="V6">
        <f t="shared" si="2"/>
        <v>474.89192131689589</v>
      </c>
      <c r="W6" s="2"/>
    </row>
    <row r="7" spans="1:23" x14ac:dyDescent="0.2">
      <c r="A7">
        <v>46122.873428240739</v>
      </c>
      <c r="B7">
        <v>20.340429</v>
      </c>
      <c r="C7">
        <v>20.482897999999999</v>
      </c>
      <c r="D7">
        <v>20.099664000000001</v>
      </c>
      <c r="E7">
        <v>20.172191999999999</v>
      </c>
      <c r="F7">
        <v>35.652706999999999</v>
      </c>
      <c r="G7">
        <v>32.655248</v>
      </c>
      <c r="H7">
        <v>31.157354000000002</v>
      </c>
      <c r="I7">
        <v>25.196691000000001</v>
      </c>
      <c r="J7">
        <v>56.448726999999998</v>
      </c>
      <c r="K7">
        <v>53.246625000000002</v>
      </c>
      <c r="L7">
        <v>41.307986999999997</v>
      </c>
      <c r="M7">
        <v>-622.46571600000004</v>
      </c>
      <c r="N7">
        <v>2.1640000000000001</v>
      </c>
      <c r="O7">
        <v>14.94881</v>
      </c>
      <c r="P7">
        <f t="shared" si="0"/>
        <v>3.6066666666666671E-5</v>
      </c>
      <c r="Q7" cm="1">
        <f t="array" ref="Q7">[1]!PropsSI("D","T",J7+273.15,"P",101325,"Water")</f>
        <v>984.98514024291853</v>
      </c>
      <c r="R7" cm="1">
        <f t="array" ref="R7">[1]!PropsSI("D","T",K7+273.15,"P",101325,"Water")</f>
        <v>986.53245784941305</v>
      </c>
      <c r="S7">
        <f t="shared" si="1"/>
        <v>985.75879904616579</v>
      </c>
      <c r="T7" cm="1">
        <f t="array" ref="T7">[1]!PropsSI("H","T",J7+273.15,"P",101325,"Water")</f>
        <v>236389.42427251319</v>
      </c>
      <c r="U7" cm="1">
        <f t="array" ref="U7">[1]!PropsSI("H","T",K7+273.15,"P",101325,"Water")</f>
        <v>222995.32588538135</v>
      </c>
      <c r="V7">
        <f t="shared" si="2"/>
        <v>476.20083561061693</v>
      </c>
      <c r="W7" s="2"/>
    </row>
    <row r="8" spans="1:23" x14ac:dyDescent="0.2">
      <c r="A8">
        <v>46122.873486689816</v>
      </c>
      <c r="B8">
        <v>20.355028999999998</v>
      </c>
      <c r="C8">
        <v>20.469517</v>
      </c>
      <c r="D8">
        <v>20.088373000000001</v>
      </c>
      <c r="E8">
        <v>20.171586000000001</v>
      </c>
      <c r="F8">
        <v>35.687510000000003</v>
      </c>
      <c r="G8">
        <v>32.884331000000003</v>
      </c>
      <c r="H8">
        <v>31.468921000000002</v>
      </c>
      <c r="I8">
        <v>25.352958999999998</v>
      </c>
      <c r="J8">
        <v>56.449362999999998</v>
      </c>
      <c r="K8">
        <v>53.245351999999997</v>
      </c>
      <c r="L8">
        <v>39.765616000000001</v>
      </c>
      <c r="M8">
        <v>-622.48816399999998</v>
      </c>
      <c r="N8">
        <v>2.162852</v>
      </c>
      <c r="O8">
        <v>14.792783</v>
      </c>
      <c r="P8">
        <f t="shared" si="0"/>
        <v>3.604753333333333E-5</v>
      </c>
      <c r="Q8" cm="1">
        <f t="array" ref="Q8">[1]!PropsSI("D","T",J8+273.15,"P",101325,"Water")</f>
        <v>984.98482661729429</v>
      </c>
      <c r="R8" cm="1">
        <f t="array" ref="R8">[1]!PropsSI("D","T",K8+273.15,"P",101325,"Water")</f>
        <v>986.53306023660514</v>
      </c>
      <c r="S8">
        <f t="shared" si="1"/>
        <v>985.75894342694971</v>
      </c>
      <c r="T8" cm="1">
        <f t="array" ref="T8">[1]!PropsSI("H","T",J8+273.15,"P",101325,"Water")</f>
        <v>236392.08497636026</v>
      </c>
      <c r="U8" cm="1">
        <f t="array" ref="U8">[1]!PropsSI("H","T",K8+273.15,"P",101325,"Water")</f>
        <v>222990.00175949602</v>
      </c>
      <c r="V8">
        <f t="shared" si="2"/>
        <v>476.2320155819541</v>
      </c>
      <c r="W8" s="2"/>
    </row>
    <row r="9" spans="1:23" x14ac:dyDescent="0.2">
      <c r="A9">
        <v>46122.873544560185</v>
      </c>
      <c r="B9">
        <v>20.409935999999998</v>
      </c>
      <c r="C9">
        <v>20.544153999999999</v>
      </c>
      <c r="D9">
        <v>20.097083999999999</v>
      </c>
      <c r="E9">
        <v>20.191465000000001</v>
      </c>
      <c r="F9">
        <v>35.646701999999998</v>
      </c>
      <c r="G9">
        <v>31.718229000000001</v>
      </c>
      <c r="H9">
        <v>31.125264000000001</v>
      </c>
      <c r="I9">
        <v>25.096803999999999</v>
      </c>
      <c r="J9">
        <v>56.449044999999998</v>
      </c>
      <c r="K9">
        <v>53.248851000000002</v>
      </c>
      <c r="L9">
        <v>37.979174</v>
      </c>
      <c r="M9">
        <v>-622.47020599999996</v>
      </c>
      <c r="N9">
        <v>2.1663679999999998</v>
      </c>
      <c r="O9">
        <v>15.142109</v>
      </c>
      <c r="P9">
        <f t="shared" si="0"/>
        <v>3.610613333333333E-5</v>
      </c>
      <c r="Q9" cm="1">
        <f t="array" ref="Q9">[1]!PropsSI("D","T",J9+273.15,"P",101325,"Water")</f>
        <v>984.98498343041206</v>
      </c>
      <c r="R9" cm="1">
        <f t="array" ref="R9">[1]!PropsSI("D","T",K9+273.15,"P",101325,"Water")</f>
        <v>986.53140447530393</v>
      </c>
      <c r="S9">
        <f t="shared" si="1"/>
        <v>985.75819395285794</v>
      </c>
      <c r="T9" cm="1">
        <f t="array" ref="T9">[1]!PropsSI("H","T",J9+273.15,"P",101325,"Water")</f>
        <v>236390.75462442593</v>
      </c>
      <c r="U9" cm="1">
        <f t="array" ref="U9">[1]!PropsSI("H","T",K9+273.15,"P",101325,"Water")</f>
        <v>223004.63578794716</v>
      </c>
      <c r="V9">
        <f t="shared" si="2"/>
        <v>476.43762770592508</v>
      </c>
      <c r="W9" s="2"/>
    </row>
    <row r="10" spans="1:23" x14ac:dyDescent="0.2">
      <c r="A10">
        <v>44660.873603009401</v>
      </c>
      <c r="B10">
        <v>20.507605999999999</v>
      </c>
      <c r="C10">
        <v>20.609891999999999</v>
      </c>
      <c r="D10">
        <v>20.156790000000001</v>
      </c>
      <c r="E10">
        <v>20.239526999999999</v>
      </c>
      <c r="F10">
        <v>35.744008999999998</v>
      </c>
      <c r="G10">
        <v>33.168008</v>
      </c>
      <c r="H10">
        <v>31.604793000000001</v>
      </c>
      <c r="I10">
        <v>25.833447</v>
      </c>
      <c r="J10">
        <v>56.446019999999997</v>
      </c>
      <c r="K10">
        <v>53.244875</v>
      </c>
      <c r="L10">
        <v>40.390889999999999</v>
      </c>
      <c r="M10">
        <v>-622.487348</v>
      </c>
      <c r="N10">
        <v>2.1594259999999998</v>
      </c>
      <c r="O10">
        <v>14.991</v>
      </c>
      <c r="P10">
        <f t="shared" si="0"/>
        <v>3.5990433333333334E-5</v>
      </c>
      <c r="Q10" cm="1">
        <f t="array" ref="Q10">[1]!PropsSI("D","T",J10+273.15,"P",101325,"Water")</f>
        <v>984.98647509663033</v>
      </c>
      <c r="R10" cm="1">
        <f t="array" ref="R10">[1]!PropsSI("D","T",K10+273.15,"P",101325,"Water")</f>
        <v>986.53328595170115</v>
      </c>
      <c r="S10">
        <f t="shared" si="1"/>
        <v>985.75988052416574</v>
      </c>
      <c r="T10" cm="1">
        <f t="array" ref="T10">[1]!PropsSI("H","T",J10+273.15,"P",101325,"Water")</f>
        <v>236378.09954890492</v>
      </c>
      <c r="U10" cm="1">
        <f t="array" ref="U10">[1]!PropsSI("H","T",K10+273.15,"P",101325,"Water")</f>
        <v>222988.00678080061</v>
      </c>
      <c r="V10">
        <f t="shared" si="2"/>
        <v>475.05271048715161</v>
      </c>
    </row>
    <row r="11" spans="1:23" x14ac:dyDescent="0.2">
      <c r="A11">
        <v>44660.873660879799</v>
      </c>
      <c r="B11">
        <v>20.528289999999998</v>
      </c>
      <c r="C11">
        <v>20.595351999999998</v>
      </c>
      <c r="D11">
        <v>20.190761999999999</v>
      </c>
      <c r="E11">
        <v>20.258676999999999</v>
      </c>
      <c r="F11">
        <v>35.826858000000001</v>
      </c>
      <c r="G11">
        <v>31.931403</v>
      </c>
      <c r="H11">
        <v>31.20316</v>
      </c>
      <c r="I11">
        <v>25.453959000000001</v>
      </c>
      <c r="J11">
        <v>56.444906000000003</v>
      </c>
      <c r="K11">
        <v>53.245033999999997</v>
      </c>
      <c r="L11">
        <v>37.189418000000003</v>
      </c>
      <c r="M11">
        <v>-622.49102100000005</v>
      </c>
      <c r="N11">
        <v>2.1556609999999998</v>
      </c>
      <c r="O11">
        <v>14.880428999999999</v>
      </c>
      <c r="P11">
        <f t="shared" si="0"/>
        <v>3.5927683333333328E-5</v>
      </c>
      <c r="Q11" cm="1">
        <f t="array" ref="Q11">[1]!PropsSI("D","T",J11+273.15,"P",101325,"Water")</f>
        <v>984.9870244101761</v>
      </c>
      <c r="R11" cm="1">
        <f t="array" ref="R11">[1]!PropsSI("D","T",K11+273.15,"P",101325,"Water")</f>
        <v>986.53321071349558</v>
      </c>
      <c r="S11">
        <f t="shared" si="1"/>
        <v>985.76011756183584</v>
      </c>
      <c r="T11" cm="1">
        <f t="array" ref="T11">[1]!PropsSI("H","T",J11+273.15,"P",101325,"Water")</f>
        <v>236373.43913517907</v>
      </c>
      <c r="U11" cm="1">
        <f t="array" ref="U11">[1]!PropsSI("H","T",K11+273.15,"P",101325,"Water")</f>
        <v>222988.67177364448</v>
      </c>
      <c r="V11">
        <f t="shared" si="2"/>
        <v>474.03595613955963</v>
      </c>
    </row>
    <row r="12" spans="1:23" x14ac:dyDescent="0.2">
      <c r="A12">
        <v>44660.873719328898</v>
      </c>
      <c r="B12">
        <v>20.444617000000001</v>
      </c>
      <c r="C12">
        <v>20.561131</v>
      </c>
      <c r="D12">
        <v>20.143774000000001</v>
      </c>
      <c r="E12">
        <v>20.245024999999998</v>
      </c>
      <c r="F12">
        <v>35.715713000000001</v>
      </c>
      <c r="G12">
        <v>32.405500000000004</v>
      </c>
      <c r="H12">
        <v>31.43338</v>
      </c>
      <c r="I12">
        <v>25.933223000000002</v>
      </c>
      <c r="J12">
        <v>56.443792000000002</v>
      </c>
      <c r="K12">
        <v>53.247101999999998</v>
      </c>
      <c r="L12">
        <v>38.303240000000002</v>
      </c>
      <c r="M12">
        <v>-622.52652899999998</v>
      </c>
      <c r="N12">
        <v>2.1619470000000001</v>
      </c>
      <c r="O12">
        <v>14.913786999999999</v>
      </c>
      <c r="P12">
        <f t="shared" si="0"/>
        <v>3.6032450000000001E-5</v>
      </c>
      <c r="Q12" cm="1">
        <f t="array" ref="Q12">[1]!PropsSI("D","T",J12+273.15,"P",101325,"Water")</f>
        <v>984.9875737161384</v>
      </c>
      <c r="R12" cm="1">
        <f t="array" ref="R12">[1]!PropsSI("D","T",K12+273.15,"P",101325,"Water")</f>
        <v>986.53223212903026</v>
      </c>
      <c r="S12">
        <f t="shared" si="1"/>
        <v>985.75990292258439</v>
      </c>
      <c r="T12" cm="1">
        <f t="array" ref="T12">[1]!PropsSI("H","T",J12+273.15,"P",101325,"Water")</f>
        <v>236368.77872197656</v>
      </c>
      <c r="U12" cm="1">
        <f t="array" ref="U12">[1]!PropsSI("H","T",K12+273.15,"P",101325,"Water")</f>
        <v>222997.320864373</v>
      </c>
      <c r="V12">
        <f t="shared" si="2"/>
        <v>474.94541696234802</v>
      </c>
    </row>
    <row r="13" spans="1:23" x14ac:dyDescent="0.2">
      <c r="A13">
        <v>44660.873777199296</v>
      </c>
      <c r="B13">
        <v>20.401672000000001</v>
      </c>
      <c r="C13">
        <v>20.486052000000001</v>
      </c>
      <c r="D13">
        <v>20.174081999999999</v>
      </c>
      <c r="E13">
        <v>20.248601000000001</v>
      </c>
      <c r="F13">
        <v>35.683881999999997</v>
      </c>
      <c r="G13">
        <v>32.642871999999997</v>
      </c>
      <c r="H13">
        <v>31.512618</v>
      </c>
      <c r="I13">
        <v>25.947770999999999</v>
      </c>
      <c r="J13">
        <v>56.441882</v>
      </c>
      <c r="K13">
        <v>53.248691999999998</v>
      </c>
      <c r="L13">
        <v>38.412213999999999</v>
      </c>
      <c r="M13">
        <v>-622.47836800000005</v>
      </c>
      <c r="N13">
        <v>2.1632660000000001</v>
      </c>
      <c r="O13">
        <v>14.519527</v>
      </c>
      <c r="P13">
        <f t="shared" si="0"/>
        <v>3.6054433333333332E-5</v>
      </c>
      <c r="Q13" cm="1">
        <f t="array" ref="Q13">[1]!PropsSI("D","T",J13+273.15,"P",101325,"Water")</f>
        <v>984.98851550673078</v>
      </c>
      <c r="R13" cm="1">
        <f t="array" ref="R13">[1]!PropsSI("D","T",K13+273.15,"P",101325,"Water")</f>
        <v>986.5314797173495</v>
      </c>
      <c r="S13">
        <f t="shared" si="1"/>
        <v>985.75999761204014</v>
      </c>
      <c r="T13" cm="1">
        <f t="array" ref="T13">[1]!PropsSI("H","T",J13+273.15,"P",101325,"Water")</f>
        <v>236360.78824796135</v>
      </c>
      <c r="U13" cm="1">
        <f t="array" ref="U13">[1]!PropsSI("H","T",K13+273.15,"P",101325,"Water")</f>
        <v>223003.97079486318</v>
      </c>
      <c r="V13">
        <f t="shared" si="2"/>
        <v>474.7148910802818</v>
      </c>
    </row>
    <row r="14" spans="1:23" x14ac:dyDescent="0.2">
      <c r="A14">
        <v>44660.873835648301</v>
      </c>
      <c r="B14">
        <v>20.423442000000001</v>
      </c>
      <c r="C14">
        <v>20.523886999999998</v>
      </c>
      <c r="D14">
        <v>20.180115000000001</v>
      </c>
      <c r="E14">
        <v>20.271571999999999</v>
      </c>
      <c r="F14">
        <v>35.686869000000002</v>
      </c>
      <c r="G14">
        <v>32.938951000000003</v>
      </c>
      <c r="H14">
        <v>31.101770999999999</v>
      </c>
      <c r="I14">
        <v>25.231863000000001</v>
      </c>
      <c r="J14">
        <v>56.4422</v>
      </c>
      <c r="K14">
        <v>53.247261000000002</v>
      </c>
      <c r="L14">
        <v>38.45711</v>
      </c>
      <c r="M14">
        <v>-622.49795900000004</v>
      </c>
      <c r="N14">
        <v>2.1630980000000002</v>
      </c>
      <c r="O14">
        <v>14.740375999999999</v>
      </c>
      <c r="P14">
        <f t="shared" si="0"/>
        <v>3.6051633333333332E-5</v>
      </c>
      <c r="Q14" cm="1">
        <f t="array" ref="Q14">[1]!PropsSI("D","T",J14+273.15,"P",101325,"Water")</f>
        <v>984.98835870753055</v>
      </c>
      <c r="R14" cm="1">
        <f t="array" ref="R14">[1]!PropsSI("D","T",K14+273.15,"P",101325,"Water")</f>
        <v>986.53215688856676</v>
      </c>
      <c r="S14">
        <f t="shared" si="1"/>
        <v>985.76025779804866</v>
      </c>
      <c r="T14" cm="1">
        <f t="array" ref="T14">[1]!PropsSI("H","T",J14+273.15,"P",101325,"Water")</f>
        <v>236362.11859905199</v>
      </c>
      <c r="U14" cm="1">
        <f t="array" ref="U14">[1]!PropsSI("H","T",K14+273.15,"P",101325,"Water")</f>
        <v>222997.98585739659</v>
      </c>
      <c r="V14">
        <f t="shared" si="2"/>
        <v>474.93812252384606</v>
      </c>
    </row>
    <row r="15" spans="1:23" x14ac:dyDescent="0.2">
      <c r="A15">
        <v>46122.873894097225</v>
      </c>
      <c r="B15">
        <v>20.397736999999999</v>
      </c>
      <c r="C15">
        <v>20.521381000000002</v>
      </c>
      <c r="D15">
        <v>20.155788999999999</v>
      </c>
      <c r="E15">
        <v>20.267023999999999</v>
      </c>
      <c r="F15">
        <v>35.896822999999998</v>
      </c>
      <c r="G15">
        <v>32.064611999999997</v>
      </c>
      <c r="H15">
        <v>31.737002</v>
      </c>
      <c r="I15">
        <v>25.448312000000001</v>
      </c>
      <c r="J15">
        <v>56.440289999999997</v>
      </c>
      <c r="K15">
        <v>53.246783999999998</v>
      </c>
      <c r="L15">
        <v>37.009427000000002</v>
      </c>
      <c r="M15">
        <v>-622.50571400000001</v>
      </c>
      <c r="N15">
        <v>2.165762</v>
      </c>
      <c r="O15">
        <v>14.871240999999999</v>
      </c>
      <c r="P15">
        <f t="shared" si="0"/>
        <v>3.6096033333333335E-5</v>
      </c>
      <c r="Q15" cm="1">
        <f t="array" ref="Q15">[1]!PropsSI("D","T",J15+273.15,"P",101325,"Water")</f>
        <v>984.98930047951865</v>
      </c>
      <c r="R15" cm="1">
        <f t="array" ref="R15">[1]!PropsSI("D","T",K15+273.15,"P",101325,"Water")</f>
        <v>986.53238260942635</v>
      </c>
      <c r="S15">
        <f t="shared" si="1"/>
        <v>985.76084154447244</v>
      </c>
      <c r="T15" cm="1">
        <f t="array" ref="T15">[1]!PropsSI("H","T",J15+273.15,"P",101325,"Water")</f>
        <v>236354.12812627488</v>
      </c>
      <c r="U15" cm="1">
        <f t="array" ref="U15">[1]!PropsSI("H","T",K15+273.15,"P",101325,"Water")</f>
        <v>222995.99087841844</v>
      </c>
      <c r="V15">
        <f t="shared" si="2"/>
        <v>475.3099902148727</v>
      </c>
    </row>
    <row r="16" spans="1:23" x14ac:dyDescent="0.2">
      <c r="A16">
        <v>46122.873952546295</v>
      </c>
      <c r="B16">
        <v>20.340315</v>
      </c>
      <c r="C16">
        <v>20.454231</v>
      </c>
      <c r="D16">
        <v>20.104192999999999</v>
      </c>
      <c r="E16">
        <v>20.191838000000001</v>
      </c>
      <c r="F16">
        <v>35.554406</v>
      </c>
      <c r="G16">
        <v>33.149918</v>
      </c>
      <c r="H16">
        <v>31.634209999999999</v>
      </c>
      <c r="I16">
        <v>24.932479000000001</v>
      </c>
      <c r="J16">
        <v>56.441882</v>
      </c>
      <c r="K16">
        <v>53.249647000000003</v>
      </c>
      <c r="L16">
        <v>38.586083000000002</v>
      </c>
      <c r="M16">
        <v>-622.49428599999999</v>
      </c>
      <c r="N16">
        <v>2.161311</v>
      </c>
      <c r="O16">
        <v>14.773429</v>
      </c>
      <c r="P16">
        <f t="shared" si="0"/>
        <v>3.6021849999999998E-5</v>
      </c>
      <c r="Q16" cm="1">
        <f t="array" ref="Q16">[1]!PropsSI("D","T",J16+273.15,"P",101325,"Water")</f>
        <v>984.98851550673078</v>
      </c>
      <c r="R16" cm="1">
        <f t="array" ref="R16">[1]!PropsSI("D","T",K16+273.15,"P",101325,"Water")</f>
        <v>986.53102778943287</v>
      </c>
      <c r="S16">
        <f t="shared" si="1"/>
        <v>985.75977164808182</v>
      </c>
      <c r="T16" cm="1">
        <f t="array" ref="T16">[1]!PropsSI("H","T",J16+273.15,"P",101325,"Water")</f>
        <v>236360.78824796135</v>
      </c>
      <c r="U16" cm="1">
        <f t="array" ref="U16">[1]!PropsSI("H","T",K16+273.15,"P",101325,"Water")</f>
        <v>223007.96493590099</v>
      </c>
      <c r="V16">
        <f t="shared" si="2"/>
        <v>474.14394259422488</v>
      </c>
    </row>
    <row r="17" spans="1:22" x14ac:dyDescent="0.2">
      <c r="A17">
        <v>46122.874010995372</v>
      </c>
      <c r="B17">
        <v>20.301939000000001</v>
      </c>
      <c r="C17">
        <v>20.415019000000001</v>
      </c>
      <c r="D17">
        <v>20.102357999999999</v>
      </c>
      <c r="E17">
        <v>20.180831999999999</v>
      </c>
      <c r="F17">
        <v>35.629852</v>
      </c>
      <c r="G17">
        <v>32.766595000000002</v>
      </c>
      <c r="H17">
        <v>31.689461999999999</v>
      </c>
      <c r="I17">
        <v>25.432931</v>
      </c>
      <c r="J17">
        <v>56.442041000000003</v>
      </c>
      <c r="K17">
        <v>53.249806</v>
      </c>
      <c r="L17">
        <v>37.189418000000003</v>
      </c>
      <c r="M17">
        <v>-622.51795800000002</v>
      </c>
      <c r="N17">
        <v>2.152809</v>
      </c>
      <c r="O17">
        <v>14.636082999999999</v>
      </c>
      <c r="P17">
        <f t="shared" si="0"/>
        <v>3.5880149999999999E-5</v>
      </c>
      <c r="Q17" cm="1">
        <f t="array" ref="Q17">[1]!PropsSI("D","T",J17+273.15,"P",101325,"Water")</f>
        <v>984.98843710722144</v>
      </c>
      <c r="R17" cm="1">
        <f t="array" ref="R17">[1]!PropsSI("D","T",K17+273.15,"P",101325,"Water")</f>
        <v>986.53095254642335</v>
      </c>
      <c r="S17">
        <f t="shared" si="1"/>
        <v>985.7596948268224</v>
      </c>
      <c r="T17" cm="1">
        <f t="array" ref="T17">[1]!PropsSI("H","T",J17+273.15,"P",101325,"Water")</f>
        <v>236361.4534235138</v>
      </c>
      <c r="U17" cm="1">
        <f t="array" ref="U17">[1]!PropsSI("H","T",K17+273.15,"P",101325,"Water")</f>
        <v>223008.62992908142</v>
      </c>
      <c r="V17">
        <f t="shared" si="2"/>
        <v>472.27876104185918</v>
      </c>
    </row>
    <row r="18" spans="1:22" x14ac:dyDescent="0.2">
      <c r="A18">
        <v>46122.874069444442</v>
      </c>
      <c r="B18">
        <v>20.386778</v>
      </c>
      <c r="C18">
        <v>20.493569000000001</v>
      </c>
      <c r="D18">
        <v>20.080621000000001</v>
      </c>
      <c r="E18">
        <v>20.154264000000001</v>
      </c>
      <c r="F18">
        <v>35.590384</v>
      </c>
      <c r="G18">
        <v>32.526277</v>
      </c>
      <c r="H18">
        <v>31.438141999999999</v>
      </c>
      <c r="I18">
        <v>25.573367000000001</v>
      </c>
      <c r="J18">
        <v>56.442836999999997</v>
      </c>
      <c r="K18">
        <v>53.240262999999999</v>
      </c>
      <c r="L18">
        <v>38.758727</v>
      </c>
      <c r="M18">
        <v>-622.47796000000005</v>
      </c>
      <c r="N18">
        <v>2.1626150000000002</v>
      </c>
      <c r="O18">
        <v>14.93595</v>
      </c>
      <c r="P18">
        <f t="shared" si="0"/>
        <v>3.6043583333333338E-5</v>
      </c>
      <c r="Q18" cm="1">
        <f t="array" ref="Q18">[1]!PropsSI("D","T",J18+273.15,"P",101325,"Water")</f>
        <v>984.98804461422503</v>
      </c>
      <c r="R18" cm="1">
        <f t="array" ref="R18">[1]!PropsSI("D","T",K18+273.15,"P",101325,"Water")</f>
        <v>986.53546826334036</v>
      </c>
      <c r="S18">
        <f t="shared" si="1"/>
        <v>985.76175643878264</v>
      </c>
      <c r="T18" cm="1">
        <f t="array" ref="T18">[1]!PropsSI("H","T",J18+273.15,"P",101325,"Water")</f>
        <v>236364.78348480217</v>
      </c>
      <c r="U18" cm="1">
        <f t="array" ref="U18">[1]!PropsSI("H","T",K18+273.15,"P",101325,"Water")</f>
        <v>222968.71780827871</v>
      </c>
      <c r="V18">
        <f t="shared" si="2"/>
        <v>475.96738456936231</v>
      </c>
    </row>
    <row r="19" spans="1:22" x14ac:dyDescent="0.2">
      <c r="A19">
        <v>46122.874127893519</v>
      </c>
      <c r="B19">
        <v>20.368822999999999</v>
      </c>
      <c r="C19">
        <v>20.506640000000001</v>
      </c>
      <c r="D19">
        <v>20.075817000000001</v>
      </c>
      <c r="E19">
        <v>20.184661999999999</v>
      </c>
      <c r="F19">
        <v>35.880845000000001</v>
      </c>
      <c r="G19">
        <v>32.789261000000003</v>
      </c>
      <c r="H19">
        <v>31.363871</v>
      </c>
      <c r="I19">
        <v>25.551458</v>
      </c>
      <c r="J19">
        <v>56.442359000000003</v>
      </c>
      <c r="K19">
        <v>53.242649</v>
      </c>
      <c r="L19">
        <v>36.868209999999998</v>
      </c>
      <c r="M19">
        <v>-622.48326599999996</v>
      </c>
      <c r="N19">
        <v>2.1630039999999999</v>
      </c>
      <c r="O19">
        <v>14.740427</v>
      </c>
      <c r="P19">
        <f t="shared" si="0"/>
        <v>3.6050066666666669E-5</v>
      </c>
      <c r="Q19" cm="1">
        <f t="array" ref="Q19">[1]!PropsSI("D","T",J19+273.15,"P",101325,"Water")</f>
        <v>984.98828030772711</v>
      </c>
      <c r="R19" cm="1">
        <f t="array" ref="R19">[1]!PropsSI("D","T",K19+273.15,"P",101325,"Water")</f>
        <v>986.5343392698237</v>
      </c>
      <c r="S19">
        <f t="shared" si="1"/>
        <v>985.76130978877541</v>
      </c>
      <c r="T19" cm="1">
        <f t="array" ref="T19">[1]!PropsSI("H","T",J19+273.15,"P",101325,"Water")</f>
        <v>236362.78377457353</v>
      </c>
      <c r="U19" cm="1">
        <f t="array" ref="U19">[1]!PropsSI("H","T",K19+273.15,"P",101325,"Water")</f>
        <v>222978.69688118625</v>
      </c>
      <c r="V19">
        <f t="shared" si="2"/>
        <v>475.62709626766639</v>
      </c>
    </row>
    <row r="20" spans="1:22" x14ac:dyDescent="0.2">
      <c r="A20">
        <v>46122.874186342589</v>
      </c>
      <c r="B20">
        <v>20.334551000000001</v>
      </c>
      <c r="C20">
        <v>20.42623</v>
      </c>
      <c r="D20">
        <v>20.081531999999999</v>
      </c>
      <c r="E20">
        <v>20.158152999999999</v>
      </c>
      <c r="F20">
        <v>35.757299000000003</v>
      </c>
      <c r="G20">
        <v>32.412523</v>
      </c>
      <c r="H20">
        <v>31.477681</v>
      </c>
      <c r="I20">
        <v>25.287127999999999</v>
      </c>
      <c r="J20">
        <v>56.448090000000001</v>
      </c>
      <c r="K20">
        <v>53.243285</v>
      </c>
      <c r="L20">
        <v>40.099476000000003</v>
      </c>
      <c r="M20">
        <v>-622.50449000000003</v>
      </c>
      <c r="N20">
        <v>2.163516</v>
      </c>
      <c r="O20">
        <v>14.662998</v>
      </c>
      <c r="P20">
        <f t="shared" si="0"/>
        <v>3.6058600000000001E-5</v>
      </c>
      <c r="Q20" cm="1">
        <f t="array" ref="Q20">[1]!PropsSI("D","T",J20+273.15,"P",101325,"Water")</f>
        <v>984.98545435917879</v>
      </c>
      <c r="R20" cm="1">
        <f t="array" ref="R20">[1]!PropsSI("D","T",K20+273.15,"P",101325,"Water")</f>
        <v>986.53403832497258</v>
      </c>
      <c r="S20">
        <f t="shared" si="1"/>
        <v>985.75974634207569</v>
      </c>
      <c r="T20" cm="1">
        <f t="array" ref="T20">[1]!PropsSI("H","T",J20+273.15,"P",101325,"Water")</f>
        <v>236386.75938536742</v>
      </c>
      <c r="U20" cm="1">
        <f t="array" ref="U20">[1]!PropsSI("H","T",K20+273.15,"P",101325,"Water")</f>
        <v>222981.35685235207</v>
      </c>
      <c r="V20">
        <f t="shared" si="2"/>
        <v>476.49659328346348</v>
      </c>
    </row>
    <row r="21" spans="1:22" x14ac:dyDescent="0.2">
      <c r="A21">
        <v>46122.874244791667</v>
      </c>
      <c r="B21">
        <v>20.380264</v>
      </c>
      <c r="C21">
        <v>20.442771</v>
      </c>
      <c r="D21">
        <v>20.117804</v>
      </c>
      <c r="E21">
        <v>20.147413</v>
      </c>
      <c r="F21">
        <v>35.633425000000003</v>
      </c>
      <c r="G21">
        <v>32.826524999999997</v>
      </c>
      <c r="H21">
        <v>31.749357</v>
      </c>
      <c r="I21">
        <v>25.429390000000001</v>
      </c>
      <c r="J21">
        <v>56.447453000000003</v>
      </c>
      <c r="K21">
        <v>53.241218000000003</v>
      </c>
      <c r="L21">
        <v>42.126722000000001</v>
      </c>
      <c r="M21">
        <v>-622.50040799999999</v>
      </c>
      <c r="N21">
        <v>2.1626970000000001</v>
      </c>
      <c r="O21">
        <v>14.851989</v>
      </c>
      <c r="P21">
        <f t="shared" si="0"/>
        <v>3.6044950000000008E-5</v>
      </c>
      <c r="Q21" cm="1">
        <f t="array" ref="Q21">[1]!PropsSI("D","T",J21+273.15,"P",101325,"Water")</f>
        <v>984.98576847296806</v>
      </c>
      <c r="R21" cm="1">
        <f t="array" ref="R21">[1]!PropsSI("D","T",K21+273.15,"P",101325,"Water")</f>
        <v>986.53501638635157</v>
      </c>
      <c r="S21">
        <f t="shared" si="1"/>
        <v>985.76039242965976</v>
      </c>
      <c r="T21" cm="1">
        <f t="array" ref="T21">[1]!PropsSI("H","T",J21+273.15,"P",101325,"Water")</f>
        <v>236384.09449830448</v>
      </c>
      <c r="U21" cm="1">
        <f t="array" ref="U21">[1]!PropsSI("H","T",K21+273.15,"P",101325,"Water")</f>
        <v>222972.7119466259</v>
      </c>
      <c r="V21">
        <f t="shared" si="2"/>
        <v>476.52900759524687</v>
      </c>
    </row>
    <row r="22" spans="1:22" x14ac:dyDescent="0.2">
      <c r="A22">
        <v>46122.874302662036</v>
      </c>
      <c r="B22">
        <v>20.383960999999999</v>
      </c>
      <c r="C22">
        <v>20.487061000000001</v>
      </c>
      <c r="D22">
        <v>20.07272</v>
      </c>
      <c r="E22">
        <v>20.136565999999998</v>
      </c>
      <c r="F22">
        <v>35.639584999999997</v>
      </c>
      <c r="G22">
        <v>33.077722000000001</v>
      </c>
      <c r="H22">
        <v>31.872707999999999</v>
      </c>
      <c r="I22">
        <v>25.216372</v>
      </c>
      <c r="J22">
        <v>56.449204000000002</v>
      </c>
      <c r="K22">
        <v>53.244875</v>
      </c>
      <c r="L22">
        <v>35.296452000000002</v>
      </c>
      <c r="M22">
        <v>-622.48612300000002</v>
      </c>
      <c r="N22">
        <v>2.1581809999999999</v>
      </c>
      <c r="O22">
        <v>14.494975</v>
      </c>
      <c r="P22">
        <f t="shared" si="0"/>
        <v>3.5969683333333332E-5</v>
      </c>
      <c r="Q22" cm="1">
        <f t="array" ref="Q22">[1]!PropsSI("D","T",J22+273.15,"P",101325,"Water")</f>
        <v>984.98490502392542</v>
      </c>
      <c r="R22" cm="1">
        <f t="array" ref="R22">[1]!PropsSI("D","T",K22+273.15,"P",101325,"Water")</f>
        <v>986.53328595170115</v>
      </c>
      <c r="S22">
        <f t="shared" si="1"/>
        <v>985.75909548781328</v>
      </c>
      <c r="T22" cm="1">
        <f t="array" ref="T22">[1]!PropsSI("H","T",J22+273.15,"P",101325,"Water")</f>
        <v>236391.41980038228</v>
      </c>
      <c r="U22" cm="1">
        <f t="array" ref="U22">[1]!PropsSI("H","T",K22+273.15,"P",101325,"Water")</f>
        <v>222988.00678080061</v>
      </c>
      <c r="V22">
        <f t="shared" si="2"/>
        <v>475.25074654810101</v>
      </c>
    </row>
    <row r="23" spans="1:22" x14ac:dyDescent="0.2">
      <c r="A23">
        <v>46122.874360532405</v>
      </c>
      <c r="B23">
        <v>20.353622999999999</v>
      </c>
      <c r="C23">
        <v>20.463248</v>
      </c>
      <c r="D23">
        <v>20.096959999999999</v>
      </c>
      <c r="E23">
        <v>20.151365999999999</v>
      </c>
      <c r="F23">
        <v>35.675552000000003</v>
      </c>
      <c r="G23">
        <v>32.198540999999999</v>
      </c>
      <c r="H23">
        <v>31.542344</v>
      </c>
      <c r="I23">
        <v>25.228605999999999</v>
      </c>
      <c r="J23">
        <v>56.451591999999998</v>
      </c>
      <c r="K23">
        <v>53.249647000000003</v>
      </c>
      <c r="L23">
        <v>38.104882000000003</v>
      </c>
      <c r="M23">
        <v>-622.49469399999998</v>
      </c>
      <c r="N23">
        <v>2.164164</v>
      </c>
      <c r="O23">
        <v>14.842471</v>
      </c>
      <c r="P23">
        <f t="shared" si="0"/>
        <v>3.6069400000000004E-5</v>
      </c>
      <c r="Q23" cm="1">
        <f t="array" ref="Q23">[1]!PropsSI("D","T",J23+273.15,"P",101325,"Water")</f>
        <v>984.98372742873789</v>
      </c>
      <c r="R23" cm="1">
        <f t="array" ref="R23">[1]!PropsSI("D","T",K23+273.15,"P",101325,"Water")</f>
        <v>986.53102778943287</v>
      </c>
      <c r="S23">
        <f t="shared" si="1"/>
        <v>985.75737760908532</v>
      </c>
      <c r="T23" cm="1">
        <f t="array" ref="T23">[1]!PropsSI("H","T",J23+273.15,"P",101325,"Water")</f>
        <v>236401.40999152057</v>
      </c>
      <c r="U23" cm="1">
        <f t="array" ref="U23">[1]!PropsSI("H","T",K23+273.15,"P",101325,"Water")</f>
        <v>223007.96493590099</v>
      </c>
      <c r="V23">
        <f t="shared" si="2"/>
        <v>476.2130084033389</v>
      </c>
    </row>
    <row r="24" spans="1:22" x14ac:dyDescent="0.2">
      <c r="A24">
        <v>46122.874418981482</v>
      </c>
      <c r="B24">
        <v>20.369629</v>
      </c>
      <c r="C24">
        <v>20.430136000000001</v>
      </c>
      <c r="D24">
        <v>20.098206000000001</v>
      </c>
      <c r="E24">
        <v>20.151451000000002</v>
      </c>
      <c r="F24">
        <v>35.701158</v>
      </c>
      <c r="G24">
        <v>31.576364000000002</v>
      </c>
      <c r="H24">
        <v>31.913789000000001</v>
      </c>
      <c r="I24">
        <v>25.441887000000001</v>
      </c>
      <c r="J24">
        <v>56.452865000000003</v>
      </c>
      <c r="K24">
        <v>53.250283000000003</v>
      </c>
      <c r="L24">
        <v>37.767755999999999</v>
      </c>
      <c r="M24">
        <v>-622.50693799999999</v>
      </c>
      <c r="N24">
        <v>2.1595170000000001</v>
      </c>
      <c r="O24">
        <v>14.891814999999999</v>
      </c>
      <c r="P24">
        <f t="shared" si="0"/>
        <v>3.599195E-5</v>
      </c>
      <c r="Q24" cm="1">
        <f t="array" ref="Q24">[1]!PropsSI("D","T",J24+273.15,"P",101325,"Water")</f>
        <v>984.98309965956423</v>
      </c>
      <c r="R24" cm="1">
        <f t="array" ref="R24">[1]!PropsSI("D","T",K24+273.15,"P",101325,"Water")</f>
        <v>986.53072681644778</v>
      </c>
      <c r="S24">
        <f t="shared" si="1"/>
        <v>985.75691323800606</v>
      </c>
      <c r="T24" cm="1">
        <f t="array" ref="T24">[1]!PropsSI("H","T",J24+273.15,"P",101325,"Water")</f>
        <v>236406.7355843281</v>
      </c>
      <c r="U24" cm="1">
        <f t="array" ref="U24">[1]!PropsSI("H","T",K24+273.15,"P",101325,"Water")</f>
        <v>223010.62490853993</v>
      </c>
      <c r="V24">
        <f t="shared" si="2"/>
        <v>475.2848107946383</v>
      </c>
    </row>
    <row r="25" spans="1:22" x14ac:dyDescent="0.2">
      <c r="A25">
        <v>46122.874476851852</v>
      </c>
      <c r="B25">
        <v>20.374507999999999</v>
      </c>
      <c r="C25">
        <v>20.424295000000001</v>
      </c>
      <c r="D25">
        <v>20.076115000000001</v>
      </c>
      <c r="E25">
        <v>20.14498</v>
      </c>
      <c r="F25">
        <v>35.397803000000003</v>
      </c>
      <c r="G25">
        <v>31.84881</v>
      </c>
      <c r="H25">
        <v>31.467375000000001</v>
      </c>
      <c r="I25">
        <v>25.298501999999999</v>
      </c>
      <c r="J25">
        <v>56.450955</v>
      </c>
      <c r="K25">
        <v>53.246783999999998</v>
      </c>
      <c r="L25">
        <v>37.919994000000003</v>
      </c>
      <c r="M25">
        <v>-622.48244999999997</v>
      </c>
      <c r="N25">
        <v>2.1616879999999998</v>
      </c>
      <c r="O25">
        <v>14.688744</v>
      </c>
      <c r="P25">
        <f t="shared" si="0"/>
        <v>3.6028133333333328E-5</v>
      </c>
      <c r="Q25" cm="1">
        <f t="array" ref="Q25">[1]!PropsSI("D","T",J25+273.15,"P",101325,"Water")</f>
        <v>984.98404155616481</v>
      </c>
      <c r="R25" cm="1">
        <f t="array" ref="R25">[1]!PropsSI("D","T",K25+273.15,"P",101325,"Water")</f>
        <v>986.53238260942635</v>
      </c>
      <c r="S25">
        <f t="shared" si="1"/>
        <v>985.75821208279558</v>
      </c>
      <c r="T25" cm="1">
        <f t="array" ref="T25">[1]!PropsSI("H","T",J25+273.15,"P",101325,"Water")</f>
        <v>236398.7451036819</v>
      </c>
      <c r="U25" cm="1">
        <f t="array" ref="U25">[1]!PropsSI("H","T",K25+273.15,"P",101325,"Water")</f>
        <v>222995.99087841844</v>
      </c>
      <c r="V25">
        <f t="shared" si="2"/>
        <v>475.99919559942742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65D0-936F-2042-845A-5259546B0C1B}">
  <dimension ref="A1:W43"/>
  <sheetViews>
    <sheetView topLeftCell="I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44660.8757343752</v>
      </c>
      <c r="B2">
        <v>20.653251000000001</v>
      </c>
      <c r="C2">
        <v>20.472054</v>
      </c>
      <c r="D2">
        <v>20.107158999999999</v>
      </c>
      <c r="E2">
        <v>20.222342000000001</v>
      </c>
      <c r="F2">
        <v>32.806396999999997</v>
      </c>
      <c r="G2">
        <v>30.054563999999999</v>
      </c>
      <c r="H2">
        <v>29.269269999999999</v>
      </c>
      <c r="I2">
        <v>23.94867</v>
      </c>
      <c r="J2">
        <v>56.442996000000001</v>
      </c>
      <c r="K2">
        <v>52.888651000000003</v>
      </c>
      <c r="L2">
        <v>65.723907999999994</v>
      </c>
      <c r="M2">
        <v>-622.48285799999996</v>
      </c>
      <c r="N2">
        <v>2.1632250000000002</v>
      </c>
      <c r="O2">
        <v>14.932188</v>
      </c>
      <c r="P2">
        <f t="shared" ref="P2:P65" si="0" xml:space="preserve"> N2*0.001/60</f>
        <v>3.6053750000000007E-5</v>
      </c>
      <c r="Q2" cm="1">
        <f t="array" ref="Q2">[1]!PropsSI("D","T",J2+273.15,"P",101325,"Water")</f>
        <v>984.98796621377221</v>
      </c>
      <c r="R2" cm="1">
        <f t="array" ref="R2">[1]!PropsSI("D","T",K2+273.15,"P",101325,"Water")</f>
        <v>986.70144779882605</v>
      </c>
      <c r="S2">
        <f t="shared" ref="S2:S65" si="1">(Q2+R2)/2</f>
        <v>985.84470700629913</v>
      </c>
      <c r="T2" cm="1">
        <f t="array" ref="T2">[1]!PropsSI("H","T",J2+273.15,"P",101325,"Water")</f>
        <v>236365.44866038955</v>
      </c>
      <c r="U2" cm="1">
        <f t="array" ref="U2">[1]!PropsSI("H","T",K2+273.15,"P",101325,"Water")</f>
        <v>221498.17616510019</v>
      </c>
      <c r="V2">
        <f t="shared" ref="V2:V65" si="2">S2*P2*(T2-U2)</f>
        <v>528.43339247261792</v>
      </c>
      <c r="W2" s="2">
        <f>AVERAGE(V4:V43)</f>
        <v>533.18434736365373</v>
      </c>
    </row>
    <row r="3" spans="1:23" x14ac:dyDescent="0.2">
      <c r="A3">
        <v>44660.875792824198</v>
      </c>
      <c r="B3">
        <v>20.662430000000001</v>
      </c>
      <c r="C3">
        <v>20.554974999999999</v>
      </c>
      <c r="D3">
        <v>20.058691</v>
      </c>
      <c r="E3">
        <v>20.161280000000001</v>
      </c>
      <c r="F3">
        <v>32.747050000000002</v>
      </c>
      <c r="G3">
        <v>30.489089</v>
      </c>
      <c r="H3">
        <v>28.692257000000001</v>
      </c>
      <c r="I3">
        <v>23.527366000000001</v>
      </c>
      <c r="J3">
        <v>56.440607999999997</v>
      </c>
      <c r="K3">
        <v>52.883245000000002</v>
      </c>
      <c r="L3">
        <v>68.026240999999999</v>
      </c>
      <c r="M3">
        <v>-622.47387900000001</v>
      </c>
      <c r="N3">
        <v>2.159332</v>
      </c>
      <c r="O3">
        <v>15.017419</v>
      </c>
      <c r="P3">
        <f t="shared" si="0"/>
        <v>3.5988866666666663E-5</v>
      </c>
      <c r="Q3" cm="1">
        <f t="array" ref="Q3">[1]!PropsSI("D","T",J3+273.15,"P",101325,"Water")</f>
        <v>984.98914368343219</v>
      </c>
      <c r="R3" cm="1">
        <f t="array" ref="R3">[1]!PropsSI("D","T",K3+273.15,"P",101325,"Water")</f>
        <v>986.70399359784221</v>
      </c>
      <c r="S3">
        <f t="shared" si="1"/>
        <v>985.8465686406372</v>
      </c>
      <c r="T3" cm="1">
        <f t="array" ref="T3">[1]!PropsSI("H","T",J3+273.15,"P",101325,"Water")</f>
        <v>236355.45847709876</v>
      </c>
      <c r="U3" cm="1">
        <f t="array" ref="U3">[1]!PropsSI("H","T",K3+273.15,"P",101325,"Water")</f>
        <v>221475.56705105599</v>
      </c>
      <c r="V3">
        <f t="shared" si="2"/>
        <v>527.93111845367628</v>
      </c>
      <c r="W3" s="2"/>
    </row>
    <row r="4" spans="1:23" x14ac:dyDescent="0.2">
      <c r="A4">
        <v>44660.875850694603</v>
      </c>
      <c r="B4">
        <v>20.543334999999999</v>
      </c>
      <c r="C4">
        <v>20.443598999999999</v>
      </c>
      <c r="D4">
        <v>20.037151000000001</v>
      </c>
      <c r="E4">
        <v>20.123190000000001</v>
      </c>
      <c r="F4">
        <v>32.906916000000002</v>
      </c>
      <c r="G4">
        <v>30.022058000000001</v>
      </c>
      <c r="H4">
        <v>29.123248</v>
      </c>
      <c r="I4">
        <v>23.844992000000001</v>
      </c>
      <c r="J4">
        <v>56.439494000000003</v>
      </c>
      <c r="K4">
        <v>52.877519999999997</v>
      </c>
      <c r="L4">
        <v>62.973433</v>
      </c>
      <c r="M4">
        <v>-622.49550999999997</v>
      </c>
      <c r="N4">
        <v>2.1650529999999999</v>
      </c>
      <c r="O4">
        <v>14.918450999999999</v>
      </c>
      <c r="P4">
        <f t="shared" si="0"/>
        <v>3.6084216666666666E-5</v>
      </c>
      <c r="Q4" cm="1">
        <f t="array" ref="Q4">[1]!PropsSI("D","T",J4+273.15,"P",101325,"Water")</f>
        <v>984.98969296013183</v>
      </c>
      <c r="R4" cm="1">
        <f t="array" ref="R4">[1]!PropsSI("D","T",K4+273.15,"P",101325,"Water")</f>
        <v>986.70668941831264</v>
      </c>
      <c r="S4">
        <f t="shared" si="1"/>
        <v>985.84819118922223</v>
      </c>
      <c r="T4" cm="1">
        <f t="array" ref="T4">[1]!PropsSI("H","T",J4+273.15,"P",101325,"Water")</f>
        <v>236350.79806570814</v>
      </c>
      <c r="U4" cm="1">
        <f t="array" ref="U4">[1]!PropsSI("H","T",K4+273.15,"P",101325,"Water")</f>
        <v>221451.62381740392</v>
      </c>
      <c r="V4">
        <f t="shared" si="2"/>
        <v>530.0166650692953</v>
      </c>
      <c r="W4" s="2"/>
    </row>
    <row r="5" spans="1:23" x14ac:dyDescent="0.2">
      <c r="A5">
        <v>44660.875908565002</v>
      </c>
      <c r="B5">
        <v>20.520382999999999</v>
      </c>
      <c r="C5">
        <v>20.404122999999998</v>
      </c>
      <c r="D5">
        <v>19.991869000000001</v>
      </c>
      <c r="E5">
        <v>20.113299000000001</v>
      </c>
      <c r="F5">
        <v>32.70628</v>
      </c>
      <c r="G5">
        <v>30.065594999999998</v>
      </c>
      <c r="H5">
        <v>28.782060999999999</v>
      </c>
      <c r="I5">
        <v>23.867305000000002</v>
      </c>
      <c r="J5">
        <v>56.437902000000001</v>
      </c>
      <c r="K5">
        <v>52.871318000000002</v>
      </c>
      <c r="L5">
        <v>66.095318000000006</v>
      </c>
      <c r="M5">
        <v>-622.50775499999997</v>
      </c>
      <c r="N5">
        <v>2.1660900000000001</v>
      </c>
      <c r="O5">
        <v>14.905170999999999</v>
      </c>
      <c r="P5">
        <f t="shared" si="0"/>
        <v>3.6101500000000007E-5</v>
      </c>
      <c r="Q5" cm="1">
        <f t="array" ref="Q5">[1]!PropsSI("D","T",J5+273.15,"P",101325,"Water")</f>
        <v>984.99047790967052</v>
      </c>
      <c r="R5" cm="1">
        <f t="array" ref="R5">[1]!PropsSI("D","T",K5+273.15,"P",101325,"Water")</f>
        <v>986.70960961637923</v>
      </c>
      <c r="S5">
        <f t="shared" si="1"/>
        <v>985.85004376302481</v>
      </c>
      <c r="T5" cm="1">
        <f t="array" ref="T5">[1]!PropsSI("H","T",J5+273.15,"P",101325,"Water")</f>
        <v>236344.13794539485</v>
      </c>
      <c r="U5" cm="1">
        <f t="array" ref="U5">[1]!PropsSI("H","T",K5+273.15,"P",101325,"Water")</f>
        <v>221425.68567491122</v>
      </c>
      <c r="V5">
        <f t="shared" si="2"/>
        <v>530.95764237199262</v>
      </c>
      <c r="W5" s="2"/>
    </row>
    <row r="6" spans="1:23" x14ac:dyDescent="0.2">
      <c r="A6">
        <v>46122.87596701389</v>
      </c>
      <c r="B6">
        <v>20.446076000000001</v>
      </c>
      <c r="C6">
        <v>20.35388</v>
      </c>
      <c r="D6">
        <v>19.973199999999999</v>
      </c>
      <c r="E6">
        <v>20.046572000000001</v>
      </c>
      <c r="F6">
        <v>32.583750999999999</v>
      </c>
      <c r="G6">
        <v>29.618624000000001</v>
      </c>
      <c r="H6">
        <v>28.583009000000001</v>
      </c>
      <c r="I6">
        <v>23.876467999999999</v>
      </c>
      <c r="J6">
        <v>56.435673999999999</v>
      </c>
      <c r="K6">
        <v>52.863844</v>
      </c>
      <c r="L6">
        <v>66.747938000000005</v>
      </c>
      <c r="M6">
        <v>-622.47918500000003</v>
      </c>
      <c r="N6">
        <v>2.1578080000000002</v>
      </c>
      <c r="O6">
        <v>14.828467</v>
      </c>
      <c r="P6">
        <f t="shared" si="0"/>
        <v>3.5963466666666669E-5</v>
      </c>
      <c r="Q6" cm="1">
        <f t="array" ref="Q6">[1]!PropsSI("D","T",J6+273.15,"P",101325,"Water")</f>
        <v>984.99157641857335</v>
      </c>
      <c r="R6" cm="1">
        <f t="array" ref="R6">[1]!PropsSI("D","T",K6+273.15,"P",101325,"Water")</f>
        <v>986.71312840825965</v>
      </c>
      <c r="S6">
        <f t="shared" si="1"/>
        <v>985.8523524134165</v>
      </c>
      <c r="T6" cm="1">
        <f t="array" ref="T6">[1]!PropsSI("H","T",J6+273.15,"P",101325,"Water")</f>
        <v>236334.81712539689</v>
      </c>
      <c r="U6" cm="1">
        <f t="array" ref="U6">[1]!PropsSI("H","T",K6+273.15,"P",101325,"Water")</f>
        <v>221394.42776252062</v>
      </c>
      <c r="V6">
        <f t="shared" si="2"/>
        <v>529.70654785285922</v>
      </c>
      <c r="W6" s="2"/>
    </row>
    <row r="7" spans="1:23" x14ac:dyDescent="0.2">
      <c r="A7">
        <v>46122.87602546296</v>
      </c>
      <c r="B7">
        <v>20.379342000000001</v>
      </c>
      <c r="C7">
        <v>20.336224000000001</v>
      </c>
      <c r="D7">
        <v>20.042836999999999</v>
      </c>
      <c r="E7">
        <v>20.139845000000001</v>
      </c>
      <c r="F7">
        <v>32.692118999999998</v>
      </c>
      <c r="G7">
        <v>30.250606999999999</v>
      </c>
      <c r="H7">
        <v>28.889071000000001</v>
      </c>
      <c r="I7">
        <v>23.855321</v>
      </c>
      <c r="J7">
        <v>56.431534999999997</v>
      </c>
      <c r="K7">
        <v>52.856529000000002</v>
      </c>
      <c r="L7">
        <v>65.496979999999994</v>
      </c>
      <c r="M7">
        <v>-622.48571500000003</v>
      </c>
      <c r="N7">
        <v>2.1626310000000002</v>
      </c>
      <c r="O7">
        <v>14.790991</v>
      </c>
      <c r="P7">
        <f t="shared" si="0"/>
        <v>3.6043850000000006E-5</v>
      </c>
      <c r="Q7" cm="1">
        <f t="array" ref="Q7">[1]!PropsSI("D","T",J7+273.15,"P",101325,"Water")</f>
        <v>984.99361705983608</v>
      </c>
      <c r="R7" cm="1">
        <f t="array" ref="R7">[1]!PropsSI("D","T",K7+273.15,"P",101325,"Water")</f>
        <v>986.71657199867661</v>
      </c>
      <c r="S7">
        <f t="shared" si="1"/>
        <v>985.85509452925635</v>
      </c>
      <c r="T7" cm="1">
        <f t="array" ref="T7">[1]!PropsSI("H","T",J7+273.15,"P",101325,"Water")</f>
        <v>236317.50165741082</v>
      </c>
      <c r="U7" cm="1">
        <f t="array" ref="U7">[1]!PropsSI("H","T",K7+273.15,"P",101325,"Water")</f>
        <v>221363.83484087375</v>
      </c>
      <c r="V7">
        <f t="shared" si="2"/>
        <v>531.36379328382054</v>
      </c>
      <c r="W7" s="2"/>
    </row>
    <row r="8" spans="1:23" x14ac:dyDescent="0.2">
      <c r="A8">
        <v>46122.876083912037</v>
      </c>
      <c r="B8">
        <v>20.37603</v>
      </c>
      <c r="C8">
        <v>20.309258</v>
      </c>
      <c r="D8">
        <v>20.048373999999999</v>
      </c>
      <c r="E8">
        <v>20.125796000000001</v>
      </c>
      <c r="F8">
        <v>32.511145999999997</v>
      </c>
      <c r="G8">
        <v>29.721581</v>
      </c>
      <c r="H8">
        <v>28.963258</v>
      </c>
      <c r="I8">
        <v>23.513007999999999</v>
      </c>
      <c r="J8">
        <v>56.431376</v>
      </c>
      <c r="K8">
        <v>52.853825999999998</v>
      </c>
      <c r="L8">
        <v>70.410612</v>
      </c>
      <c r="M8">
        <v>-622.48857199999998</v>
      </c>
      <c r="N8">
        <v>2.1631269999999998</v>
      </c>
      <c r="O8">
        <v>14.934322999999999</v>
      </c>
      <c r="P8">
        <f t="shared" si="0"/>
        <v>3.6052116666666663E-5</v>
      </c>
      <c r="Q8" cm="1">
        <f t="array" ref="Q8">[1]!PropsSI("D","T",J8+273.15,"P",101325,"Water")</f>
        <v>984.99369544914714</v>
      </c>
      <c r="R8" cm="1">
        <f t="array" ref="R8">[1]!PropsSI("D","T",K8+273.15,"P",101325,"Water")</f>
        <v>986.71784436993858</v>
      </c>
      <c r="S8">
        <f t="shared" si="1"/>
        <v>985.85576990954291</v>
      </c>
      <c r="T8" cm="1">
        <f t="array" ref="T8">[1]!PropsSI("H","T",J8+273.15,"P",101325,"Water")</f>
        <v>236316.83648251381</v>
      </c>
      <c r="U8" cm="1">
        <f t="array" ref="U8">[1]!PropsSI("H","T",K8+273.15,"P",101325,"Water")</f>
        <v>221352.53031123683</v>
      </c>
      <c r="V8">
        <f t="shared" si="2"/>
        <v>531.86417175573365</v>
      </c>
      <c r="W8" s="2"/>
    </row>
    <row r="9" spans="1:23" x14ac:dyDescent="0.2">
      <c r="A9">
        <v>46122.876141782406</v>
      </c>
      <c r="B9">
        <v>20.323934000000001</v>
      </c>
      <c r="C9">
        <v>20.298227000000001</v>
      </c>
      <c r="D9">
        <v>20.015056999999999</v>
      </c>
      <c r="E9">
        <v>20.093281999999999</v>
      </c>
      <c r="F9">
        <v>32.597194999999999</v>
      </c>
      <c r="G9">
        <v>30.065339999999999</v>
      </c>
      <c r="H9">
        <v>28.783175</v>
      </c>
      <c r="I9">
        <v>23.898387</v>
      </c>
      <c r="J9">
        <v>56.426440999999997</v>
      </c>
      <c r="K9">
        <v>52.845874999999999</v>
      </c>
      <c r="L9">
        <v>65.426779999999994</v>
      </c>
      <c r="M9">
        <v>-622.48816399999998</v>
      </c>
      <c r="N9">
        <v>2.161197</v>
      </c>
      <c r="O9">
        <v>14.950297000000001</v>
      </c>
      <c r="P9">
        <f t="shared" si="0"/>
        <v>3.6019950000000001E-5</v>
      </c>
      <c r="Q9" cm="1">
        <f t="array" ref="Q9">[1]!PropsSI("D","T",J9+273.15,"P",101325,"Water")</f>
        <v>984.99612839861811</v>
      </c>
      <c r="R9" cm="1">
        <f t="array" ref="R9">[1]!PropsSI("D","T",K9+273.15,"P",101325,"Water")</f>
        <v>986.72158684002727</v>
      </c>
      <c r="S9">
        <f t="shared" si="1"/>
        <v>985.85885761932263</v>
      </c>
      <c r="T9" cm="1">
        <f t="array" ref="T9">[1]!PropsSI("H","T",J9+273.15,"P",101325,"Water")</f>
        <v>236296.19096481623</v>
      </c>
      <c r="U9" cm="1">
        <f t="array" ref="U9">[1]!PropsSI("H","T",K9+273.15,"P",101325,"Water")</f>
        <v>221319.27752622924</v>
      </c>
      <c r="V9">
        <f t="shared" si="2"/>
        <v>531.83898403556441</v>
      </c>
      <c r="W9" s="2"/>
    </row>
    <row r="10" spans="1:23" x14ac:dyDescent="0.2">
      <c r="A10">
        <v>44660.876200231702</v>
      </c>
      <c r="B10">
        <v>20.313929999999999</v>
      </c>
      <c r="C10">
        <v>20.303863</v>
      </c>
      <c r="D10">
        <v>20.008156</v>
      </c>
      <c r="E10">
        <v>20.081167000000001</v>
      </c>
      <c r="F10">
        <v>32.664144</v>
      </c>
      <c r="G10">
        <v>29.575022000000001</v>
      </c>
      <c r="H10">
        <v>29.383534000000001</v>
      </c>
      <c r="I10">
        <v>23.800128999999998</v>
      </c>
      <c r="J10">
        <v>56.424849999999999</v>
      </c>
      <c r="K10">
        <v>52.838560000000001</v>
      </c>
      <c r="L10">
        <v>66.790385000000001</v>
      </c>
      <c r="M10">
        <v>-622.46122600000001</v>
      </c>
      <c r="N10">
        <v>2.1632950000000002</v>
      </c>
      <c r="O10">
        <v>14.950487000000001</v>
      </c>
      <c r="P10">
        <f t="shared" si="0"/>
        <v>3.6054916666666676E-5</v>
      </c>
      <c r="Q10" cm="1">
        <f t="array" ref="Q10">[1]!PropsSI("D","T",J10+273.15,"P",101325,"Water")</f>
        <v>984.99691272810503</v>
      </c>
      <c r="R10" cm="1">
        <f t="array" ref="R10">[1]!PropsSI("D","T",K10+273.15,"P",101325,"Water")</f>
        <v>986.72502959546989</v>
      </c>
      <c r="S10">
        <f t="shared" si="1"/>
        <v>985.86097116178746</v>
      </c>
      <c r="T10" cm="1">
        <f t="array" ref="T10">[1]!PropsSI("H","T",J10+273.15,"P",101325,"Water")</f>
        <v>236289.53503595019</v>
      </c>
      <c r="U10" cm="1">
        <f t="array" ref="U10">[1]!PropsSI("H","T",K10+273.15,"P",101325,"Water")</f>
        <v>221288.68464782345</v>
      </c>
      <c r="V10">
        <f t="shared" si="2"/>
        <v>533.2072545632634</v>
      </c>
    </row>
    <row r="11" spans="1:23" x14ac:dyDescent="0.2">
      <c r="A11">
        <v>44660.876258680699</v>
      </c>
      <c r="B11">
        <v>20.377960999999999</v>
      </c>
      <c r="C11">
        <v>20.399395999999999</v>
      </c>
      <c r="D11">
        <v>20.026145</v>
      </c>
      <c r="E11">
        <v>20.084726</v>
      </c>
      <c r="F11">
        <v>32.673323000000003</v>
      </c>
      <c r="G11">
        <v>30.096063999999998</v>
      </c>
      <c r="H11">
        <v>28.902567999999999</v>
      </c>
      <c r="I11">
        <v>23.915903</v>
      </c>
      <c r="J11">
        <v>56.423893999999997</v>
      </c>
      <c r="K11">
        <v>52.838082999999997</v>
      </c>
      <c r="L11">
        <v>68.056852000000006</v>
      </c>
      <c r="M11">
        <v>-622.50040799999999</v>
      </c>
      <c r="N11">
        <v>2.1605249999999998</v>
      </c>
      <c r="O11">
        <v>14.759311</v>
      </c>
      <c r="P11">
        <f t="shared" si="0"/>
        <v>3.6008749999999996E-5</v>
      </c>
      <c r="Q11" cm="1">
        <f t="array" ref="Q11">[1]!PropsSI("D","T",J11+273.15,"P",101325,"Water")</f>
        <v>984.9973840084831</v>
      </c>
      <c r="R11" cm="1">
        <f t="array" ref="R11">[1]!PropsSI("D","T",K11+273.15,"P",101325,"Water")</f>
        <v>986.7252540804991</v>
      </c>
      <c r="S11">
        <f t="shared" si="1"/>
        <v>985.8613190444911</v>
      </c>
      <c r="T11" cm="1">
        <f t="array" ref="T11">[1]!PropsSI("H","T",J11+273.15,"P",101325,"Water")</f>
        <v>236285.53562222951</v>
      </c>
      <c r="U11" cm="1">
        <f t="array" ref="U11">[1]!PropsSI("H","T",K11+273.15,"P",101325,"Water")</f>
        <v>221286.68973348994</v>
      </c>
      <c r="V11">
        <f t="shared" si="2"/>
        <v>532.45353605507216</v>
      </c>
    </row>
    <row r="12" spans="1:23" x14ac:dyDescent="0.2">
      <c r="A12">
        <v>44660.876316551097</v>
      </c>
      <c r="B12">
        <v>20.400069999999999</v>
      </c>
      <c r="C12">
        <v>20.344707</v>
      </c>
      <c r="D12">
        <v>20.120497</v>
      </c>
      <c r="E12">
        <v>20.216474000000002</v>
      </c>
      <c r="F12">
        <v>32.711511000000002</v>
      </c>
      <c r="G12">
        <v>30.089096000000001</v>
      </c>
      <c r="H12">
        <v>28.751014999999999</v>
      </c>
      <c r="I12">
        <v>23.736933000000001</v>
      </c>
      <c r="J12">
        <v>56.421824999999998</v>
      </c>
      <c r="K12">
        <v>52.838082999999997</v>
      </c>
      <c r="L12">
        <v>72.068079999999995</v>
      </c>
      <c r="M12">
        <v>-622.48897999999997</v>
      </c>
      <c r="N12">
        <v>2.1641430000000001</v>
      </c>
      <c r="O12">
        <v>14.806469</v>
      </c>
      <c r="P12">
        <f t="shared" si="0"/>
        <v>3.6069050000000007E-5</v>
      </c>
      <c r="Q12" cm="1">
        <f t="array" ref="Q12">[1]!PropsSI("D","T",J12+273.15,"P",101325,"Water")</f>
        <v>984.99840394662795</v>
      </c>
      <c r="R12" cm="1">
        <f t="array" ref="R12">[1]!PropsSI("D","T",K12+273.15,"P",101325,"Water")</f>
        <v>986.7252540804991</v>
      </c>
      <c r="S12">
        <f t="shared" si="1"/>
        <v>985.86182901356347</v>
      </c>
      <c r="T12" cm="1">
        <f t="array" ref="T12">[1]!PropsSI("H","T",J12+273.15,"P",101325,"Water")</f>
        <v>236276.87998848388</v>
      </c>
      <c r="U12" cm="1">
        <f t="array" ref="U12">[1]!PropsSI("H","T",K12+273.15,"P",101325,"Water")</f>
        <v>221286.68973348994</v>
      </c>
      <c r="V12">
        <f t="shared" si="2"/>
        <v>533.03766835696706</v>
      </c>
    </row>
    <row r="13" spans="1:23" x14ac:dyDescent="0.2">
      <c r="A13">
        <v>44660.876374421503</v>
      </c>
      <c r="B13">
        <v>20.397409</v>
      </c>
      <c r="C13">
        <v>20.368766999999998</v>
      </c>
      <c r="D13">
        <v>20.108573</v>
      </c>
      <c r="E13">
        <v>20.204443000000001</v>
      </c>
      <c r="F13">
        <v>32.699638999999998</v>
      </c>
      <c r="G13">
        <v>30.186132000000001</v>
      </c>
      <c r="H13">
        <v>29.535906000000001</v>
      </c>
      <c r="I13">
        <v>23.917345000000001</v>
      </c>
      <c r="J13">
        <v>56.417050000000003</v>
      </c>
      <c r="K13">
        <v>52.834744000000001</v>
      </c>
      <c r="L13">
        <v>64.830483000000001</v>
      </c>
      <c r="M13">
        <v>-622.47836800000005</v>
      </c>
      <c r="N13">
        <v>2.153267</v>
      </c>
      <c r="O13">
        <v>14.796099999999999</v>
      </c>
      <c r="P13">
        <f t="shared" si="0"/>
        <v>3.5887783333333336E-5</v>
      </c>
      <c r="Q13" cm="1">
        <f t="array" ref="Q13">[1]!PropsSI("D","T",J13+273.15,"P",101325,"Water")</f>
        <v>985.00075773964306</v>
      </c>
      <c r="R13" cm="1">
        <f t="array" ref="R13">[1]!PropsSI("D","T",K13+273.15,"P",101325,"Water")</f>
        <v>986.72682543521751</v>
      </c>
      <c r="S13">
        <f t="shared" si="1"/>
        <v>985.86379158743034</v>
      </c>
      <c r="T13" cm="1">
        <f t="array" ref="T13">[1]!PropsSI("H","T",J13+273.15,"P",101325,"Water")</f>
        <v>236256.90384634121</v>
      </c>
      <c r="U13" cm="1">
        <f t="array" ref="U13">[1]!PropsSI("H","T",K13+273.15,"P",101325,"Water")</f>
        <v>221272.72533503556</v>
      </c>
      <c r="V13">
        <f t="shared" si="2"/>
        <v>530.14722058485108</v>
      </c>
    </row>
    <row r="14" spans="1:23" x14ac:dyDescent="0.2">
      <c r="A14">
        <v>44660.8764328705</v>
      </c>
      <c r="B14">
        <v>20.375921999999999</v>
      </c>
      <c r="C14">
        <v>20.374853999999999</v>
      </c>
      <c r="D14">
        <v>20.087731000000002</v>
      </c>
      <c r="E14">
        <v>20.159693000000001</v>
      </c>
      <c r="F14">
        <v>32.545962000000003</v>
      </c>
      <c r="G14">
        <v>30.310191</v>
      </c>
      <c r="H14">
        <v>28.607987999999999</v>
      </c>
      <c r="I14">
        <v>24.205660000000002</v>
      </c>
      <c r="J14">
        <v>56.412115</v>
      </c>
      <c r="K14">
        <v>52.828223999999999</v>
      </c>
      <c r="L14">
        <v>63.892570999999997</v>
      </c>
      <c r="M14">
        <v>-622.48693900000001</v>
      </c>
      <c r="N14">
        <v>2.160857</v>
      </c>
      <c r="O14">
        <v>14.908958</v>
      </c>
      <c r="P14">
        <f t="shared" si="0"/>
        <v>3.6014283333333335E-5</v>
      </c>
      <c r="Q14" cm="1">
        <f t="array" ref="Q14">[1]!PropsSI("D","T",J14+273.15,"P",101325,"Water")</f>
        <v>985.00319025662191</v>
      </c>
      <c r="R14" cm="1">
        <f t="array" ref="R14">[1]!PropsSI("D","T",K14+273.15,"P",101325,"Water")</f>
        <v>986.72989358462735</v>
      </c>
      <c r="S14">
        <f t="shared" si="1"/>
        <v>985.86654192062463</v>
      </c>
      <c r="T14" cm="1">
        <f t="array" ref="T14">[1]!PropsSI("H","T",J14+273.15,"P",101325,"Water")</f>
        <v>236236.25835571892</v>
      </c>
      <c r="U14" cm="1">
        <f t="array" ref="U14">[1]!PropsSI("H","T",K14+273.15,"P",101325,"Water")</f>
        <v>221245.45733788027</v>
      </c>
      <c r="V14">
        <f t="shared" si="2"/>
        <v>532.25254213426672</v>
      </c>
    </row>
    <row r="15" spans="1:23" x14ac:dyDescent="0.2">
      <c r="A15">
        <v>46122.876491319446</v>
      </c>
      <c r="B15">
        <v>20.366347999999999</v>
      </c>
      <c r="C15">
        <v>20.295942</v>
      </c>
      <c r="D15">
        <v>20.098666999999999</v>
      </c>
      <c r="E15">
        <v>20.156272000000001</v>
      </c>
      <c r="F15">
        <v>32.692458000000002</v>
      </c>
      <c r="G15">
        <v>30.517396000000002</v>
      </c>
      <c r="H15">
        <v>29.041730000000001</v>
      </c>
      <c r="I15">
        <v>23.890587</v>
      </c>
      <c r="J15">
        <v>56.410364000000001</v>
      </c>
      <c r="K15">
        <v>52.827587999999999</v>
      </c>
      <c r="L15">
        <v>69.360867999999996</v>
      </c>
      <c r="M15">
        <v>-622.48571500000003</v>
      </c>
      <c r="N15">
        <v>2.1624300000000001</v>
      </c>
      <c r="O15">
        <v>14.99668</v>
      </c>
      <c r="P15">
        <f t="shared" si="0"/>
        <v>3.6040500000000002E-5</v>
      </c>
      <c r="Q15" cm="1">
        <f t="array" ref="Q15">[1]!PropsSI("D","T",J15+273.15,"P",101325,"Water")</f>
        <v>985.00405330841534</v>
      </c>
      <c r="R15" cm="1">
        <f t="array" ref="R15">[1]!PropsSI("D","T",K15+273.15,"P",101325,"Water")</f>
        <v>986.73019285590931</v>
      </c>
      <c r="S15">
        <f t="shared" si="1"/>
        <v>985.86712308216238</v>
      </c>
      <c r="T15" cm="1">
        <f t="array" ref="T15">[1]!PropsSI("H","T",J15+273.15,"P",101325,"Water")</f>
        <v>236228.93307851523</v>
      </c>
      <c r="U15" cm="1">
        <f t="array" ref="U15">[1]!PropsSI("H","T",K15+273.15,"P",101325,"Water")</f>
        <v>221242.79745423261</v>
      </c>
      <c r="V15">
        <f t="shared" si="2"/>
        <v>532.47454361087011</v>
      </c>
    </row>
    <row r="16" spans="1:23" x14ac:dyDescent="0.2">
      <c r="A16">
        <v>46122.876549768516</v>
      </c>
      <c r="B16">
        <v>20.309615000000001</v>
      </c>
      <c r="C16">
        <v>20.189063000000001</v>
      </c>
      <c r="D16">
        <v>20.042183000000001</v>
      </c>
      <c r="E16">
        <v>20.102436999999998</v>
      </c>
      <c r="F16">
        <v>32.600333999999997</v>
      </c>
      <c r="G16">
        <v>29.638698000000002</v>
      </c>
      <c r="H16">
        <v>29.256509999999999</v>
      </c>
      <c r="I16">
        <v>23.906424000000001</v>
      </c>
      <c r="J16">
        <v>56.413707000000002</v>
      </c>
      <c r="K16">
        <v>52.826951999999999</v>
      </c>
      <c r="L16">
        <v>64.927212999999995</v>
      </c>
      <c r="M16">
        <v>-622.506122</v>
      </c>
      <c r="N16">
        <v>2.1597420000000001</v>
      </c>
      <c r="O16">
        <v>14.904802999999999</v>
      </c>
      <c r="P16">
        <f t="shared" si="0"/>
        <v>3.5995699999999998E-5</v>
      </c>
      <c r="Q16" cm="1">
        <f t="array" ref="Q16">[1]!PropsSI("D","T",J16+273.15,"P",101325,"Water")</f>
        <v>985.00240555821608</v>
      </c>
      <c r="R16" cm="1">
        <f t="array" ref="R16">[1]!PropsSI("D","T",K16+273.15,"P",101325,"Water")</f>
        <v>986.73049212463206</v>
      </c>
      <c r="S16">
        <f t="shared" si="1"/>
        <v>985.86644884142402</v>
      </c>
      <c r="T16" cm="1">
        <f t="array" ref="T16">[1]!PropsSI("H","T",J16+273.15,"P",101325,"Water")</f>
        <v>236242.91846027548</v>
      </c>
      <c r="U16" cm="1">
        <f t="array" ref="U16">[1]!PropsSI("H","T",K16+273.15,"P",101325,"Water")</f>
        <v>221240.13757071691</v>
      </c>
      <c r="V16">
        <f t="shared" si="2"/>
        <v>532.40297928529458</v>
      </c>
    </row>
    <row r="17" spans="1:22" x14ac:dyDescent="0.2">
      <c r="A17">
        <v>46122.876608217593</v>
      </c>
      <c r="B17">
        <v>20.301841</v>
      </c>
      <c r="C17">
        <v>20.194821000000001</v>
      </c>
      <c r="D17">
        <v>20.076494</v>
      </c>
      <c r="E17">
        <v>20.098025</v>
      </c>
      <c r="F17">
        <v>32.632258</v>
      </c>
      <c r="G17">
        <v>30.075517999999999</v>
      </c>
      <c r="H17">
        <v>29.259430999999999</v>
      </c>
      <c r="I17">
        <v>23.917536999999999</v>
      </c>
      <c r="J17">
        <v>56.413389000000002</v>
      </c>
      <c r="K17">
        <v>52.819955999999998</v>
      </c>
      <c r="L17">
        <v>75.113641999999999</v>
      </c>
      <c r="M17">
        <v>-622.48449100000005</v>
      </c>
      <c r="N17">
        <v>2.1605370000000002</v>
      </c>
      <c r="O17">
        <v>14.720094</v>
      </c>
      <c r="P17">
        <f t="shared" si="0"/>
        <v>3.6008950000000004E-5</v>
      </c>
      <c r="Q17" cm="1">
        <f t="array" ref="Q17">[1]!PropsSI("D","T",J17+273.15,"P",101325,"Water")</f>
        <v>985.00256230196771</v>
      </c>
      <c r="R17" cm="1">
        <f t="array" ref="R17">[1]!PropsSI("D","T",K17+273.15,"P",101325,"Water")</f>
        <v>986.73378391077426</v>
      </c>
      <c r="S17">
        <f t="shared" si="1"/>
        <v>985.86817310637093</v>
      </c>
      <c r="T17" cm="1">
        <f t="array" ref="T17">[1]!PropsSI("H","T",J17+273.15,"P",101325,"Water")</f>
        <v>236241.5881126961</v>
      </c>
      <c r="U17" cm="1">
        <f t="array" ref="U17">[1]!PropsSI("H","T",K17+273.15,"P",101325,"Water")</f>
        <v>221210.87886094645</v>
      </c>
      <c r="V17">
        <f t="shared" si="2"/>
        <v>533.59134710449746</v>
      </c>
    </row>
    <row r="18" spans="1:22" x14ac:dyDescent="0.2">
      <c r="A18">
        <v>46122.876666666663</v>
      </c>
      <c r="B18">
        <v>20.300954999999998</v>
      </c>
      <c r="C18">
        <v>20.222269000000001</v>
      </c>
      <c r="D18">
        <v>20.066096999999999</v>
      </c>
      <c r="E18">
        <v>20.134376</v>
      </c>
      <c r="F18">
        <v>32.617116000000003</v>
      </c>
      <c r="G18">
        <v>30.164936999999998</v>
      </c>
      <c r="H18">
        <v>29.071802000000002</v>
      </c>
      <c r="I18">
        <v>23.882677999999999</v>
      </c>
      <c r="J18">
        <v>56.414185000000003</v>
      </c>
      <c r="K18">
        <v>52.823931000000002</v>
      </c>
      <c r="L18">
        <v>67.270769000000001</v>
      </c>
      <c r="M18">
        <v>-622.49020499999995</v>
      </c>
      <c r="N18">
        <v>2.1642739999999998</v>
      </c>
      <c r="O18">
        <v>14.885664999999999</v>
      </c>
      <c r="P18">
        <f t="shared" si="0"/>
        <v>3.6071233333333335E-5</v>
      </c>
      <c r="Q18" cm="1">
        <f t="array" ref="Q18">[1]!PropsSI("D","T",J18+273.15,"P",101325,"Water")</f>
        <v>985.00216994849995</v>
      </c>
      <c r="R18" cm="1">
        <f t="array" ref="R18">[1]!PropsSI("D","T",K18+273.15,"P",101325,"Water")</f>
        <v>986.73191361589659</v>
      </c>
      <c r="S18">
        <f t="shared" si="1"/>
        <v>985.86704178219827</v>
      </c>
      <c r="T18" cm="1">
        <f t="array" ref="T18">[1]!PropsSI("H","T",J18+273.15,"P",101325,"Water")</f>
        <v>236244.91816523508</v>
      </c>
      <c r="U18" cm="1">
        <f t="array" ref="U18">[1]!PropsSI("H","T",K18+273.15,"P",101325,"Water")</f>
        <v>221227.50312591525</v>
      </c>
      <c r="V18">
        <f t="shared" si="2"/>
        <v>534.04090537413879</v>
      </c>
    </row>
    <row r="19" spans="1:22" x14ac:dyDescent="0.2">
      <c r="A19">
        <v>46122.87672453704</v>
      </c>
      <c r="B19">
        <v>20.366758999999998</v>
      </c>
      <c r="C19">
        <v>20.314923</v>
      </c>
      <c r="D19">
        <v>20.047073999999999</v>
      </c>
      <c r="E19">
        <v>20.101303999999999</v>
      </c>
      <c r="F19">
        <v>32.723010000000002</v>
      </c>
      <c r="G19">
        <v>29.991446</v>
      </c>
      <c r="H19">
        <v>29.054690000000001</v>
      </c>
      <c r="I19">
        <v>23.966996999999999</v>
      </c>
      <c r="J19">
        <v>56.411797</v>
      </c>
      <c r="K19">
        <v>52.823931000000002</v>
      </c>
      <c r="L19">
        <v>65.594526000000002</v>
      </c>
      <c r="M19">
        <v>-622.49061300000005</v>
      </c>
      <c r="N19">
        <v>2.163008</v>
      </c>
      <c r="O19">
        <v>14.936776</v>
      </c>
      <c r="P19">
        <f t="shared" si="0"/>
        <v>3.6050133333333336E-5</v>
      </c>
      <c r="Q19" cm="1">
        <f t="array" ref="Q19">[1]!PropsSI("D","T",J19+273.15,"P",101325,"Water")</f>
        <v>985.00334699729706</v>
      </c>
      <c r="R19" cm="1">
        <f t="array" ref="R19">[1]!PropsSI("D","T",K19+273.15,"P",101325,"Water")</f>
        <v>986.73191361589659</v>
      </c>
      <c r="S19">
        <f t="shared" si="1"/>
        <v>985.86763030659677</v>
      </c>
      <c r="T19" cm="1">
        <f t="array" ref="T19">[1]!PropsSI("H","T",J19+273.15,"P",101325,"Water")</f>
        <v>236234.92800829926</v>
      </c>
      <c r="U19" cm="1">
        <f t="array" ref="U19">[1]!PropsSI("H","T",K19+273.15,"P",101325,"Water")</f>
        <v>221227.50312591525</v>
      </c>
      <c r="V19">
        <f t="shared" si="2"/>
        <v>533.37377804035089</v>
      </c>
    </row>
    <row r="20" spans="1:22" x14ac:dyDescent="0.2">
      <c r="A20">
        <v>46122.876782407409</v>
      </c>
      <c r="B20">
        <v>20.323460000000001</v>
      </c>
      <c r="C20">
        <v>20.388303000000001</v>
      </c>
      <c r="D20">
        <v>20.059161</v>
      </c>
      <c r="E20">
        <v>20.10913</v>
      </c>
      <c r="F20">
        <v>32.669291000000001</v>
      </c>
      <c r="G20">
        <v>30.570226000000002</v>
      </c>
      <c r="H20">
        <v>29.333929999999999</v>
      </c>
      <c r="I20">
        <v>23.851832999999999</v>
      </c>
      <c r="J20">
        <v>56.409886999999998</v>
      </c>
      <c r="K20">
        <v>52.820909999999998</v>
      </c>
      <c r="L20">
        <v>66.194087999999994</v>
      </c>
      <c r="M20">
        <v>-622.46571600000004</v>
      </c>
      <c r="N20">
        <v>2.158398</v>
      </c>
      <c r="O20">
        <v>14.886070999999999</v>
      </c>
      <c r="P20">
        <f t="shared" si="0"/>
        <v>3.5973300000000003E-5</v>
      </c>
      <c r="Q20" cm="1">
        <f t="array" ref="Q20">[1]!PropsSI("D","T",J20+273.15,"P",101325,"Water")</f>
        <v>985.00428841407404</v>
      </c>
      <c r="R20" cm="1">
        <f t="array" ref="R20">[1]!PropsSI("D","T",K20+273.15,"P",101325,"Water")</f>
        <v>986.73333504919106</v>
      </c>
      <c r="S20">
        <f t="shared" si="1"/>
        <v>985.8688117316326</v>
      </c>
      <c r="T20" cm="1">
        <f t="array" ref="T20">[1]!PropsSI("H","T",J20+273.15,"P",101325,"Water")</f>
        <v>236226.93755773973</v>
      </c>
      <c r="U20" cm="1">
        <f t="array" ref="U20">[1]!PropsSI("H","T",K20+273.15,"P",101325,"Water")</f>
        <v>221214.8686839875</v>
      </c>
      <c r="V20">
        <f t="shared" si="2"/>
        <v>532.40233993477466</v>
      </c>
    </row>
    <row r="21" spans="1:22" x14ac:dyDescent="0.2">
      <c r="A21">
        <v>46122.876840856479</v>
      </c>
      <c r="B21">
        <v>20.323708</v>
      </c>
      <c r="C21">
        <v>20.373457999999999</v>
      </c>
      <c r="D21">
        <v>20.048031000000002</v>
      </c>
      <c r="E21">
        <v>20.125457000000001</v>
      </c>
      <c r="F21">
        <v>32.617156000000001</v>
      </c>
      <c r="G21">
        <v>30.274856</v>
      </c>
      <c r="H21">
        <v>28.875225</v>
      </c>
      <c r="I21">
        <v>23.849710000000002</v>
      </c>
      <c r="J21">
        <v>56.407657999999998</v>
      </c>
      <c r="K21">
        <v>52.819637</v>
      </c>
      <c r="L21">
        <v>67.729112999999998</v>
      </c>
      <c r="M21">
        <v>-622.48163399999999</v>
      </c>
      <c r="N21">
        <v>2.1615700000000002</v>
      </c>
      <c r="O21">
        <v>14.823600000000001</v>
      </c>
      <c r="P21">
        <f t="shared" si="0"/>
        <v>3.6026166666666671E-5</v>
      </c>
      <c r="Q21" cm="1">
        <f t="array" ref="Q21">[1]!PropsSI("D","T",J21+273.15,"P",101325,"Water")</f>
        <v>985.00538703401742</v>
      </c>
      <c r="R21" cm="1">
        <f t="array" ref="R21">[1]!PropsSI("D","T",K21+273.15,"P",101325,"Water")</f>
        <v>986.73393400057046</v>
      </c>
      <c r="S21">
        <f t="shared" si="1"/>
        <v>985.86966051729394</v>
      </c>
      <c r="T21" cm="1">
        <f t="array" ref="T21">[1]!PropsSI("H","T",J21+273.15,"P",101325,"Water")</f>
        <v>236217.61257817491</v>
      </c>
      <c r="U21" cm="1">
        <f t="array" ref="U21">[1]!PropsSI("H","T",K21+273.15,"P",101325,"Water")</f>
        <v>221209.54473770186</v>
      </c>
      <c r="V21">
        <f t="shared" si="2"/>
        <v>533.04311685588766</v>
      </c>
    </row>
    <row r="22" spans="1:22" x14ac:dyDescent="0.2">
      <c r="A22">
        <v>46122.876899305556</v>
      </c>
      <c r="B22">
        <v>20.326508</v>
      </c>
      <c r="C22">
        <v>20.334212000000001</v>
      </c>
      <c r="D22">
        <v>20.088647000000002</v>
      </c>
      <c r="E22">
        <v>20.133717999999998</v>
      </c>
      <c r="F22">
        <v>32.689247000000002</v>
      </c>
      <c r="G22">
        <v>29.933091999999998</v>
      </c>
      <c r="H22">
        <v>28.802130999999999</v>
      </c>
      <c r="I22">
        <v>23.770374</v>
      </c>
      <c r="J22">
        <v>56.406066000000003</v>
      </c>
      <c r="K22">
        <v>52.817888000000004</v>
      </c>
      <c r="L22">
        <v>71.859926999999999</v>
      </c>
      <c r="M22">
        <v>-622.51714200000004</v>
      </c>
      <c r="N22">
        <v>2.1623730000000001</v>
      </c>
      <c r="O22">
        <v>14.709547000000001</v>
      </c>
      <c r="P22">
        <f t="shared" si="0"/>
        <v>3.6039550000000003E-5</v>
      </c>
      <c r="Q22" cm="1">
        <f t="array" ref="Q22">[1]!PropsSI("D","T",J22+273.15,"P",101325,"Water")</f>
        <v>985.00617167349969</v>
      </c>
      <c r="R22" cm="1">
        <f t="array" ref="R22">[1]!PropsSI("D","T",K22+273.15,"P",101325,"Water")</f>
        <v>986.73475689494694</v>
      </c>
      <c r="S22">
        <f t="shared" si="1"/>
        <v>985.87046428422332</v>
      </c>
      <c r="T22" cm="1">
        <f t="array" ref="T22">[1]!PropsSI("H","T",J22+273.15,"P",101325,"Water")</f>
        <v>236210.9524773343</v>
      </c>
      <c r="U22" cm="1">
        <f t="array" ref="U22">[1]!PropsSI("H","T",K22+273.15,"P",101325,"Water")</f>
        <v>221202.23006299711</v>
      </c>
      <c r="V22">
        <f t="shared" si="2"/>
        <v>533.26482860781948</v>
      </c>
    </row>
    <row r="23" spans="1:22" x14ac:dyDescent="0.2">
      <c r="A23">
        <v>46122.876957754626</v>
      </c>
      <c r="B23">
        <v>20.363388</v>
      </c>
      <c r="C23">
        <v>20.386337999999999</v>
      </c>
      <c r="D23">
        <v>20.082965000000002</v>
      </c>
      <c r="E23">
        <v>20.153597000000001</v>
      </c>
      <c r="F23">
        <v>32.730628000000003</v>
      </c>
      <c r="G23">
        <v>30.204754000000001</v>
      </c>
      <c r="H23">
        <v>28.950240999999998</v>
      </c>
      <c r="I23">
        <v>23.736533999999999</v>
      </c>
      <c r="J23">
        <v>56.407817000000001</v>
      </c>
      <c r="K23">
        <v>52.816775</v>
      </c>
      <c r="L23">
        <v>70.858344000000002</v>
      </c>
      <c r="M23">
        <v>-622.50816299999997</v>
      </c>
      <c r="N23">
        <v>2.1610900000000002</v>
      </c>
      <c r="O23">
        <v>14.932988999999999</v>
      </c>
      <c r="P23">
        <f t="shared" si="0"/>
        <v>3.6018166666666667E-5</v>
      </c>
      <c r="Q23" cm="1">
        <f t="array" ref="Q23">[1]!PropsSI("D","T",J23+273.15,"P",101325,"Water")</f>
        <v>985.00530866778684</v>
      </c>
      <c r="R23" cm="1">
        <f t="array" ref="R23">[1]!PropsSI("D","T",K23+273.15,"P",101325,"Water")</f>
        <v>986.73528054491555</v>
      </c>
      <c r="S23">
        <f t="shared" si="1"/>
        <v>985.87029460635119</v>
      </c>
      <c r="T23" cm="1">
        <f t="array" ref="T23">[1]!PropsSI("H","T",J23+273.15,"P",101325,"Water")</f>
        <v>236218.27775159603</v>
      </c>
      <c r="U23" cm="1">
        <f t="array" ref="U23">[1]!PropsSI("H","T",K23+273.15,"P",101325,"Water")</f>
        <v>221197.57527049832</v>
      </c>
      <c r="V23">
        <f t="shared" si="2"/>
        <v>533.37373812467047</v>
      </c>
    </row>
    <row r="24" spans="1:22" x14ac:dyDescent="0.2">
      <c r="A24">
        <v>46122.877015625003</v>
      </c>
      <c r="B24">
        <v>20.373246999999999</v>
      </c>
      <c r="C24">
        <v>20.373826999999999</v>
      </c>
      <c r="D24">
        <v>20.062328999999998</v>
      </c>
      <c r="E24">
        <v>20.128809</v>
      </c>
      <c r="F24">
        <v>32.604819999999997</v>
      </c>
      <c r="G24">
        <v>29.655501999999998</v>
      </c>
      <c r="H24">
        <v>29.214680000000001</v>
      </c>
      <c r="I24">
        <v>24.211020000000001</v>
      </c>
      <c r="J24">
        <v>56.406703</v>
      </c>
      <c r="K24">
        <v>52.816934000000003</v>
      </c>
      <c r="L24">
        <v>62.926904999999998</v>
      </c>
      <c r="M24">
        <v>-622.46653200000003</v>
      </c>
      <c r="N24">
        <v>2.1632579999999999</v>
      </c>
      <c r="O24">
        <v>15.055657</v>
      </c>
      <c r="P24">
        <f t="shared" si="0"/>
        <v>3.6054299999999998E-5</v>
      </c>
      <c r="Q24" cm="1">
        <f t="array" ref="Q24">[1]!PropsSI("D","T",J24+273.15,"P",101325,"Water")</f>
        <v>985.00585772099669</v>
      </c>
      <c r="R24" cm="1">
        <f t="array" ref="R24">[1]!PropsSI("D","T",K24+273.15,"P",101325,"Water")</f>
        <v>986.73520573825772</v>
      </c>
      <c r="S24">
        <f t="shared" si="1"/>
        <v>985.87053172962715</v>
      </c>
      <c r="T24" cm="1">
        <f t="array" ref="T24">[1]!PropsSI("H","T",J24+273.15,"P",101325,"Water")</f>
        <v>236213.61735422609</v>
      </c>
      <c r="U24" cm="1">
        <f t="array" ref="U24">[1]!PropsSI("H","T",K24+273.15,"P",101325,"Water")</f>
        <v>221198.24024084475</v>
      </c>
      <c r="V24">
        <f t="shared" si="2"/>
        <v>533.71965620761068</v>
      </c>
    </row>
    <row r="25" spans="1:22" x14ac:dyDescent="0.2">
      <c r="A25">
        <v>46122.877074074073</v>
      </c>
      <c r="B25">
        <v>20.230202999999999</v>
      </c>
      <c r="C25">
        <v>20.262398000000001</v>
      </c>
      <c r="D25">
        <v>20.010805000000001</v>
      </c>
      <c r="E25">
        <v>20.079423999999999</v>
      </c>
      <c r="F25">
        <v>32.793463000000003</v>
      </c>
      <c r="G25">
        <v>29.575571</v>
      </c>
      <c r="H25">
        <v>29.065141000000001</v>
      </c>
      <c r="I25">
        <v>23.894273999999999</v>
      </c>
      <c r="J25">
        <v>56.407817000000001</v>
      </c>
      <c r="K25">
        <v>52.818206000000004</v>
      </c>
      <c r="L25">
        <v>70.657129999999995</v>
      </c>
      <c r="M25">
        <v>-622.49061300000005</v>
      </c>
      <c r="N25">
        <v>2.1607379999999998</v>
      </c>
      <c r="O25">
        <v>14.904714</v>
      </c>
      <c r="P25">
        <f t="shared" si="0"/>
        <v>3.6012299999999994E-5</v>
      </c>
      <c r="Q25" cm="1">
        <f t="array" ref="Q25">[1]!PropsSI("D","T",J25+273.15,"P",101325,"Water")</f>
        <v>985.00530866778684</v>
      </c>
      <c r="R25" cm="1">
        <f t="array" ref="R25">[1]!PropsSI("D","T",K25+273.15,"P",101325,"Water")</f>
        <v>986.73460727922827</v>
      </c>
      <c r="S25">
        <f t="shared" si="1"/>
        <v>985.86995797350755</v>
      </c>
      <c r="T25" cm="1">
        <f t="array" ref="T25">[1]!PropsSI("H","T",J25+273.15,"P",101325,"Water")</f>
        <v>236218.27775159603</v>
      </c>
      <c r="U25" cm="1">
        <f t="array" ref="U25">[1]!PropsSI("H","T",K25+273.15,"P",101325,"Water")</f>
        <v>221203.56000380515</v>
      </c>
      <c r="V25">
        <f t="shared" si="2"/>
        <v>533.07420105755875</v>
      </c>
    </row>
    <row r="26" spans="1:22" x14ac:dyDescent="0.2">
      <c r="A26">
        <v>46122.877131944442</v>
      </c>
      <c r="B26">
        <v>20.255358000000001</v>
      </c>
      <c r="C26">
        <v>20.382995000000001</v>
      </c>
      <c r="D26">
        <v>20.000689999999999</v>
      </c>
      <c r="E26">
        <v>20.077914</v>
      </c>
      <c r="F26">
        <v>32.63758</v>
      </c>
      <c r="G26">
        <v>30.027972999999999</v>
      </c>
      <c r="H26">
        <v>29.018885000000001</v>
      </c>
      <c r="I26">
        <v>23.659243</v>
      </c>
      <c r="J26">
        <v>56.406703</v>
      </c>
      <c r="K26">
        <v>52.813436000000003</v>
      </c>
      <c r="L26">
        <v>72.701926</v>
      </c>
      <c r="M26">
        <v>-622.52489700000001</v>
      </c>
      <c r="N26">
        <v>2.1533989999999998</v>
      </c>
      <c r="O26">
        <v>14.828187</v>
      </c>
      <c r="P26">
        <f t="shared" ref="P26:P43" si="3" xml:space="preserve"> N26*0.001/60</f>
        <v>3.5889983333333334E-5</v>
      </c>
      <c r="Q26" cm="1">
        <f t="array" ref="Q26">[1]!PropsSI("D","T",J26+273.15,"P",101325,"Water")</f>
        <v>985.00585772099669</v>
      </c>
      <c r="R26" cm="1">
        <f t="array" ref="R26">[1]!PropsSI("D","T",K26+273.15,"P",101325,"Water")</f>
        <v>986.7368514475304</v>
      </c>
      <c r="S26">
        <f t="shared" ref="S26:S43" si="4">(Q26+R26)/2</f>
        <v>985.8713545842636</v>
      </c>
      <c r="T26" cm="1">
        <f t="array" ref="T26">[1]!PropsSI("H","T",J26+273.15,"P",101325,"Water")</f>
        <v>236213.61735422609</v>
      </c>
      <c r="U26" cm="1">
        <f t="array" ref="U26">[1]!PropsSI("H","T",K26+273.15,"P",101325,"Water")</f>
        <v>221183.61089543888</v>
      </c>
      <c r="V26">
        <f t="shared" ref="V26:V43" si="5">S26*P26*(T26-U26)</f>
        <v>531.8053129978091</v>
      </c>
    </row>
    <row r="27" spans="1:22" x14ac:dyDescent="0.2">
      <c r="A27">
        <v>46122.877190393519</v>
      </c>
      <c r="B27">
        <v>20.361533000000001</v>
      </c>
      <c r="C27">
        <v>20.49268</v>
      </c>
      <c r="D27">
        <v>20.018443999999999</v>
      </c>
      <c r="E27">
        <v>20.089511999999999</v>
      </c>
      <c r="F27">
        <v>32.611840000000001</v>
      </c>
      <c r="G27">
        <v>30.110617000000001</v>
      </c>
      <c r="H27">
        <v>29.154169</v>
      </c>
      <c r="I27">
        <v>23.722062999999999</v>
      </c>
      <c r="J27">
        <v>56.405270999999999</v>
      </c>
      <c r="K27">
        <v>52.810574000000003</v>
      </c>
      <c r="L27">
        <v>68.911095000000003</v>
      </c>
      <c r="M27">
        <v>-622.51020400000004</v>
      </c>
      <c r="N27">
        <v>2.1619670000000002</v>
      </c>
      <c r="O27">
        <v>14.548335</v>
      </c>
      <c r="P27">
        <f t="shared" si="3"/>
        <v>3.6032783333333342E-5</v>
      </c>
      <c r="Q27" cm="1">
        <f t="array" ref="Q27">[1]!PropsSI("D","T",J27+273.15,"P",101325,"Water")</f>
        <v>985.00656349457961</v>
      </c>
      <c r="R27" cm="1">
        <f t="array" ref="R27">[1]!PropsSI("D","T",K27+273.15,"P",101325,"Water")</f>
        <v>986.73819787911646</v>
      </c>
      <c r="S27">
        <f t="shared" si="4"/>
        <v>985.87238068684803</v>
      </c>
      <c r="T27" cm="1">
        <f t="array" ref="T27">[1]!PropsSI("H","T",J27+273.15,"P",101325,"Water")</f>
        <v>236207.62661068168</v>
      </c>
      <c r="U27" cm="1">
        <f t="array" ref="U27">[1]!PropsSI("H","T",K27+273.15,"P",101325,"Water")</f>
        <v>221171.64143396981</v>
      </c>
      <c r="V27">
        <f t="shared" si="5"/>
        <v>534.13421586763036</v>
      </c>
    </row>
    <row r="28" spans="1:22" x14ac:dyDescent="0.2">
      <c r="A28">
        <v>46122.877248842589</v>
      </c>
      <c r="B28">
        <v>20.330828</v>
      </c>
      <c r="C28">
        <v>20.479413999999998</v>
      </c>
      <c r="D28">
        <v>20.044875999999999</v>
      </c>
      <c r="E28">
        <v>20.089019</v>
      </c>
      <c r="F28">
        <v>32.766885000000002</v>
      </c>
      <c r="G28">
        <v>30.328744</v>
      </c>
      <c r="H28">
        <v>28.821646999999999</v>
      </c>
      <c r="I28">
        <v>24.085851000000002</v>
      </c>
      <c r="J28">
        <v>56.403359999999999</v>
      </c>
      <c r="K28">
        <v>52.808664999999998</v>
      </c>
      <c r="L28">
        <v>62.837113000000002</v>
      </c>
      <c r="M28">
        <v>-622.51428499999997</v>
      </c>
      <c r="N28">
        <v>2.1630530000000001</v>
      </c>
      <c r="O28">
        <v>14.889336999999999</v>
      </c>
      <c r="P28">
        <f t="shared" si="3"/>
        <v>3.6050883333333341E-5</v>
      </c>
      <c r="Q28" cm="1">
        <f t="array" ref="Q28">[1]!PropsSI("D","T",J28+273.15,"P",101325,"Water")</f>
        <v>985.00750532792665</v>
      </c>
      <c r="R28" cm="1">
        <f t="array" ref="R28">[1]!PropsSI("D","T",K28+273.15,"P",101325,"Water")</f>
        <v>986.73909594167162</v>
      </c>
      <c r="S28">
        <f t="shared" si="4"/>
        <v>985.87330063479908</v>
      </c>
      <c r="T28" cm="1">
        <f t="array" ref="T28">[1]!PropsSI("H","T",J28+273.15,"P",101325,"Water")</f>
        <v>236199.6319814662</v>
      </c>
      <c r="U28" cm="1">
        <f t="array" ref="U28">[1]!PropsSI("H","T",K28+273.15,"P",101325,"Water")</f>
        <v>221163.65761227946</v>
      </c>
      <c r="V28">
        <f t="shared" si="5"/>
        <v>534.4026368996374</v>
      </c>
    </row>
    <row r="29" spans="1:22" x14ac:dyDescent="0.2">
      <c r="A29">
        <v>46122.877307291667</v>
      </c>
      <c r="B29">
        <v>20.349215000000001</v>
      </c>
      <c r="C29">
        <v>20.463751999999999</v>
      </c>
      <c r="D29">
        <v>20.015284000000001</v>
      </c>
      <c r="E29">
        <v>20.155311999999999</v>
      </c>
      <c r="F29">
        <v>32.745241999999998</v>
      </c>
      <c r="G29">
        <v>30.265041</v>
      </c>
      <c r="H29">
        <v>29.027532000000001</v>
      </c>
      <c r="I29">
        <v>23.854683999999999</v>
      </c>
      <c r="J29">
        <v>56.402245999999998</v>
      </c>
      <c r="K29">
        <v>52.811846000000003</v>
      </c>
      <c r="L29">
        <v>63.354230000000001</v>
      </c>
      <c r="M29">
        <v>-622.48449100000005</v>
      </c>
      <c r="N29">
        <v>2.1615859999999998</v>
      </c>
      <c r="O29">
        <v>14.676367000000001</v>
      </c>
      <c r="P29">
        <f t="shared" si="3"/>
        <v>3.6026433333333324E-5</v>
      </c>
      <c r="Q29" cm="1">
        <f t="array" ref="Q29">[1]!PropsSI("D","T",J29+273.15,"P",101325,"Water")</f>
        <v>985.00805435077314</v>
      </c>
      <c r="R29" cm="1">
        <f t="array" ref="R29">[1]!PropsSI("D","T",K29+273.15,"P",101325,"Water")</f>
        <v>986.73759947150256</v>
      </c>
      <c r="S29">
        <f t="shared" si="4"/>
        <v>985.87282691113785</v>
      </c>
      <c r="T29" cm="1">
        <f t="array" ref="T29">[1]!PropsSI("H","T",J29+273.15,"P",101325,"Water")</f>
        <v>236194.97158592124</v>
      </c>
      <c r="U29" cm="1">
        <f t="array" ref="U29">[1]!PropsSI("H","T",K29+273.15,"P",101325,"Water")</f>
        <v>221176.96119429087</v>
      </c>
      <c r="V29">
        <f t="shared" si="5"/>
        <v>533.4019088625555</v>
      </c>
    </row>
    <row r="30" spans="1:22" x14ac:dyDescent="0.2">
      <c r="A30">
        <v>46122.877365162036</v>
      </c>
      <c r="B30">
        <v>20.239049000000001</v>
      </c>
      <c r="C30">
        <v>20.313656999999999</v>
      </c>
      <c r="D30">
        <v>20.031647</v>
      </c>
      <c r="E30">
        <v>20.108552</v>
      </c>
      <c r="F30">
        <v>32.477119999999999</v>
      </c>
      <c r="G30">
        <v>29.945968000000001</v>
      </c>
      <c r="H30">
        <v>29.125827000000001</v>
      </c>
      <c r="I30">
        <v>23.800885999999998</v>
      </c>
      <c r="J30">
        <v>56.401449999999997</v>
      </c>
      <c r="K30">
        <v>52.809778999999999</v>
      </c>
      <c r="L30">
        <v>71.188531999999995</v>
      </c>
      <c r="M30">
        <v>-622.48571500000003</v>
      </c>
      <c r="N30">
        <v>2.1647500000000002</v>
      </c>
      <c r="O30">
        <v>14.836828000000001</v>
      </c>
      <c r="P30">
        <f t="shared" si="3"/>
        <v>3.6079166666666665E-5</v>
      </c>
      <c r="Q30" cm="1">
        <f t="array" ref="Q30">[1]!PropsSI("D","T",J30+273.15,"P",101325,"Water")</f>
        <v>985.00844664609542</v>
      </c>
      <c r="R30" cm="1">
        <f t="array" ref="R30">[1]!PropsSI("D","T",K30+273.15,"P",101325,"Water")</f>
        <v>986.73857187865542</v>
      </c>
      <c r="S30">
        <f t="shared" si="4"/>
        <v>985.87350926237536</v>
      </c>
      <c r="T30" cm="1">
        <f t="array" ref="T30">[1]!PropsSI("H","T",J30+273.15,"P",101325,"Water")</f>
        <v>236191.64153703759</v>
      </c>
      <c r="U30" cm="1">
        <f t="array" ref="U30">[1]!PropsSI("H","T",K30+273.15,"P",101325,"Water")</f>
        <v>221168.31658403389</v>
      </c>
      <c r="V30">
        <f t="shared" si="5"/>
        <v>534.37207658507657</v>
      </c>
    </row>
    <row r="31" spans="1:22" x14ac:dyDescent="0.2">
      <c r="A31">
        <v>46122.877423611113</v>
      </c>
      <c r="B31">
        <v>20.164653000000001</v>
      </c>
      <c r="C31">
        <v>20.234781999999999</v>
      </c>
      <c r="D31">
        <v>19.949294999999999</v>
      </c>
      <c r="E31">
        <v>20.060366999999999</v>
      </c>
      <c r="F31">
        <v>32.478318000000002</v>
      </c>
      <c r="G31">
        <v>30.009876999999999</v>
      </c>
      <c r="H31">
        <v>28.969704</v>
      </c>
      <c r="I31">
        <v>23.705473000000001</v>
      </c>
      <c r="J31">
        <v>56.401291000000001</v>
      </c>
      <c r="K31">
        <v>52.804690000000001</v>
      </c>
      <c r="L31">
        <v>68.481729000000001</v>
      </c>
      <c r="M31">
        <v>-622.50938699999995</v>
      </c>
      <c r="N31">
        <v>2.158242</v>
      </c>
      <c r="O31">
        <v>14.88719</v>
      </c>
      <c r="P31">
        <f t="shared" si="3"/>
        <v>3.5970699999999998E-5</v>
      </c>
      <c r="Q31" cm="1">
        <f t="array" ref="Q31">[1]!PropsSI("D","T",J31+273.15,"P",101325,"Water")</f>
        <v>985.0085250061411</v>
      </c>
      <c r="R31" cm="1">
        <f t="array" ref="R31">[1]!PropsSI("D","T",K31+273.15,"P",101325,"Water")</f>
        <v>986.74096585091831</v>
      </c>
      <c r="S31">
        <f t="shared" si="4"/>
        <v>985.87474542852965</v>
      </c>
      <c r="T31" cm="1">
        <f t="array" ref="T31">[1]!PropsSI("H","T",J31+273.15,"P",101325,"Water")</f>
        <v>236190.97636398324</v>
      </c>
      <c r="U31" cm="1">
        <f t="array" ref="U31">[1]!PropsSI("H","T",K31+273.15,"P",101325,"Water")</f>
        <v>221147.03336725003</v>
      </c>
      <c r="V31">
        <f t="shared" si="5"/>
        <v>533.49740370351003</v>
      </c>
    </row>
    <row r="32" spans="1:22" x14ac:dyDescent="0.2">
      <c r="A32">
        <v>46122.877482060183</v>
      </c>
      <c r="B32">
        <v>20.190843999999998</v>
      </c>
      <c r="C32">
        <v>20.328082999999999</v>
      </c>
      <c r="D32">
        <v>19.946010000000001</v>
      </c>
      <c r="E32">
        <v>20.050452</v>
      </c>
      <c r="F32">
        <v>32.582138</v>
      </c>
      <c r="G32">
        <v>30.004598000000001</v>
      </c>
      <c r="H32">
        <v>28.880604999999999</v>
      </c>
      <c r="I32">
        <v>23.775742000000001</v>
      </c>
      <c r="J32">
        <v>56.402245999999998</v>
      </c>
      <c r="K32">
        <v>52.804848999999997</v>
      </c>
      <c r="L32">
        <v>69.355563000000004</v>
      </c>
      <c r="M32">
        <v>-622.46857299999999</v>
      </c>
      <c r="N32">
        <v>2.1606190000000001</v>
      </c>
      <c r="O32">
        <v>14.933039000000001</v>
      </c>
      <c r="P32">
        <f t="shared" si="3"/>
        <v>3.6010316666666666E-5</v>
      </c>
      <c r="Q32" cm="1">
        <f t="array" ref="Q32">[1]!PropsSI("D","T",J32+273.15,"P",101325,"Water")</f>
        <v>985.00805435077314</v>
      </c>
      <c r="R32" cm="1">
        <f t="array" ref="R32">[1]!PropsSI("D","T",K32+273.15,"P",101325,"Water")</f>
        <v>986.74089105647636</v>
      </c>
      <c r="S32">
        <f t="shared" si="4"/>
        <v>985.87447270362475</v>
      </c>
      <c r="T32" cm="1">
        <f t="array" ref="T32">[1]!PropsSI("H","T",J32+273.15,"P",101325,"Water")</f>
        <v>236194.97158592124</v>
      </c>
      <c r="U32" cm="1">
        <f t="array" ref="U32">[1]!PropsSI("H","T",K32+273.15,"P",101325,"Water")</f>
        <v>221147.69833695557</v>
      </c>
      <c r="V32">
        <f t="shared" si="5"/>
        <v>534.2030577662</v>
      </c>
    </row>
    <row r="33" spans="1:22" x14ac:dyDescent="0.2">
      <c r="A33">
        <v>46122.877539930552</v>
      </c>
      <c r="B33">
        <v>20.199681999999999</v>
      </c>
      <c r="C33">
        <v>20.299002000000002</v>
      </c>
      <c r="D33">
        <v>19.970791999999999</v>
      </c>
      <c r="E33">
        <v>20.096806000000001</v>
      </c>
      <c r="F33">
        <v>32.577772000000003</v>
      </c>
      <c r="G33">
        <v>30.37613</v>
      </c>
      <c r="H33">
        <v>28.796271000000001</v>
      </c>
      <c r="I33">
        <v>23.856193999999999</v>
      </c>
      <c r="J33">
        <v>56.401927999999998</v>
      </c>
      <c r="K33">
        <v>52.806280000000001</v>
      </c>
      <c r="L33">
        <v>65.716153000000006</v>
      </c>
      <c r="M33">
        <v>-622.49142900000004</v>
      </c>
      <c r="N33">
        <v>2.1605940000000001</v>
      </c>
      <c r="O33">
        <v>14.997443000000001</v>
      </c>
      <c r="P33">
        <f t="shared" si="3"/>
        <v>3.6009900000000002E-5</v>
      </c>
      <c r="Q33" cm="1">
        <f t="array" ref="Q33">[1]!PropsSI("D","T",J33+273.15,"P",101325,"Water")</f>
        <v>985.00821107225227</v>
      </c>
      <c r="R33" cm="1">
        <f t="array" ref="R33">[1]!PropsSI("D","T",K33+273.15,"P",101325,"Water")</f>
        <v>986.74021789928236</v>
      </c>
      <c r="S33">
        <f t="shared" si="4"/>
        <v>985.87421448576731</v>
      </c>
      <c r="T33" cm="1">
        <f t="array" ref="T33">[1]!PropsSI("H","T",J33+273.15,"P",101325,"Water")</f>
        <v>236193.64123973655</v>
      </c>
      <c r="U33" cm="1">
        <f t="array" ref="U33">[1]!PropsSI("H","T",K33+273.15,"P",101325,"Water")</f>
        <v>221153.68306463238</v>
      </c>
      <c r="V33">
        <f t="shared" si="5"/>
        <v>533.93704258288892</v>
      </c>
    </row>
    <row r="34" spans="1:22" x14ac:dyDescent="0.2">
      <c r="A34">
        <v>46122.877597800929</v>
      </c>
      <c r="B34">
        <v>20.202703</v>
      </c>
      <c r="C34">
        <v>20.253934999999998</v>
      </c>
      <c r="D34">
        <v>19.989806999999999</v>
      </c>
      <c r="E34">
        <v>20.10896</v>
      </c>
      <c r="F34">
        <v>32.563009999999998</v>
      </c>
      <c r="G34">
        <v>30.106660000000002</v>
      </c>
      <c r="H34">
        <v>29.243129</v>
      </c>
      <c r="I34">
        <v>23.830045999999999</v>
      </c>
      <c r="J34">
        <v>56.401131999999997</v>
      </c>
      <c r="K34">
        <v>52.805326000000001</v>
      </c>
      <c r="L34">
        <v>64.613350999999994</v>
      </c>
      <c r="M34">
        <v>-622.487348</v>
      </c>
      <c r="N34">
        <v>2.1603439999999998</v>
      </c>
      <c r="O34">
        <v>14.996019</v>
      </c>
      <c r="P34">
        <f t="shared" si="3"/>
        <v>3.6005733333333333E-5</v>
      </c>
      <c r="Q34" cm="1">
        <f t="array" ref="Q34">[1]!PropsSI("D","T",J34+273.15,"P",101325,"Water")</f>
        <v>985.00860336601932</v>
      </c>
      <c r="R34" cm="1">
        <f t="array" ref="R34">[1]!PropsSI("D","T",K34+273.15,"P",101325,"Water")</f>
        <v>986.74066667221678</v>
      </c>
      <c r="S34">
        <f t="shared" si="4"/>
        <v>985.87463501911805</v>
      </c>
      <c r="T34" cm="1">
        <f t="array" ref="T34">[1]!PropsSI("H","T",J34+273.15,"P",101325,"Water")</f>
        <v>236190.31119095499</v>
      </c>
      <c r="U34" cm="1">
        <f t="array" ref="U34">[1]!PropsSI("H","T",K34+273.15,"P",101325,"Water")</f>
        <v>221149.69324606555</v>
      </c>
      <c r="V34">
        <f t="shared" si="5"/>
        <v>533.89890897304292</v>
      </c>
    </row>
    <row r="35" spans="1:22" x14ac:dyDescent="0.2">
      <c r="A35">
        <v>46122.877656249999</v>
      </c>
      <c r="B35">
        <v>20.216964000000001</v>
      </c>
      <c r="C35">
        <v>20.293385000000001</v>
      </c>
      <c r="D35">
        <v>19.999071000000001</v>
      </c>
      <c r="E35">
        <v>20.104113999999999</v>
      </c>
      <c r="F35">
        <v>32.553466</v>
      </c>
      <c r="G35">
        <v>30.078824000000001</v>
      </c>
      <c r="H35">
        <v>28.890779999999999</v>
      </c>
      <c r="I35">
        <v>23.707706000000002</v>
      </c>
      <c r="J35">
        <v>56.401769000000002</v>
      </c>
      <c r="K35">
        <v>52.799442999999997</v>
      </c>
      <c r="L35">
        <v>66.848748999999998</v>
      </c>
      <c r="M35">
        <v>-622.480817</v>
      </c>
      <c r="N35">
        <v>2.1656629999999999</v>
      </c>
      <c r="O35">
        <v>14.852103</v>
      </c>
      <c r="P35">
        <f t="shared" si="3"/>
        <v>3.6094383333333335E-5</v>
      </c>
      <c r="Q35" cm="1">
        <f t="array" ref="Q35">[1]!PropsSI("D","T",J35+273.15,"P",101325,"Water")</f>
        <v>985.00828943271813</v>
      </c>
      <c r="R35" cm="1">
        <f t="array" ref="R35">[1]!PropsSI("D","T",K35+273.15,"P",101325,"Water")</f>
        <v>986.74343397739631</v>
      </c>
      <c r="S35">
        <f t="shared" si="4"/>
        <v>985.87586170505722</v>
      </c>
      <c r="T35" cm="1">
        <f t="array" ref="T35">[1]!PropsSI("H","T",J35+273.15,"P",101325,"Water")</f>
        <v>236192.97606667448</v>
      </c>
      <c r="U35" cm="1">
        <f t="array" ref="U35">[1]!PropsSI("H","T",K35+273.15,"P",101325,"Water")</f>
        <v>221125.08937171576</v>
      </c>
      <c r="V35">
        <f t="shared" si="5"/>
        <v>536.18443868594954</v>
      </c>
    </row>
    <row r="36" spans="1:22" x14ac:dyDescent="0.2">
      <c r="A36">
        <v>46122.877714699076</v>
      </c>
      <c r="B36">
        <v>20.166882999999999</v>
      </c>
      <c r="C36">
        <v>20.300377999999998</v>
      </c>
      <c r="D36">
        <v>19.993760000000002</v>
      </c>
      <c r="E36">
        <v>20.107358000000001</v>
      </c>
      <c r="F36">
        <v>32.495216999999997</v>
      </c>
      <c r="G36">
        <v>30.225669</v>
      </c>
      <c r="H36">
        <v>28.782779000000001</v>
      </c>
      <c r="I36">
        <v>23.745263000000001</v>
      </c>
      <c r="J36">
        <v>56.399698999999998</v>
      </c>
      <c r="K36">
        <v>52.802146</v>
      </c>
      <c r="L36">
        <v>68.568254999999994</v>
      </c>
      <c r="M36">
        <v>-622.51224400000001</v>
      </c>
      <c r="N36">
        <v>2.1625700000000001</v>
      </c>
      <c r="O36">
        <v>14.735013</v>
      </c>
      <c r="P36">
        <f t="shared" si="3"/>
        <v>3.6042833333333333E-5</v>
      </c>
      <c r="Q36" cm="1">
        <f t="array" ref="Q36">[1]!PropsSI("D","T",J36+273.15,"P",101325,"Water")</f>
        <v>985.00930958362801</v>
      </c>
      <c r="R36" cm="1">
        <f t="array" ref="R36">[1]!PropsSI("D","T",K36+273.15,"P",101325,"Water")</f>
        <v>986.74216254015744</v>
      </c>
      <c r="S36">
        <f t="shared" si="4"/>
        <v>985.87573606189267</v>
      </c>
      <c r="T36" cm="1">
        <f t="array" ref="T36">[1]!PropsSI("H","T",J36+273.15,"P",101325,"Water")</f>
        <v>236184.31626699594</v>
      </c>
      <c r="U36" cm="1">
        <f t="array" ref="U36">[1]!PropsSI("H","T",K36+273.15,"P",101325,"Water")</f>
        <v>221136.39385313465</v>
      </c>
      <c r="V36">
        <f t="shared" si="5"/>
        <v>534.70918593943804</v>
      </c>
    </row>
    <row r="37" spans="1:22" x14ac:dyDescent="0.2">
      <c r="A37">
        <v>46122.877772569445</v>
      </c>
      <c r="B37">
        <v>20.122873999999999</v>
      </c>
      <c r="C37">
        <v>20.217735000000001</v>
      </c>
      <c r="D37">
        <v>20.015830000000001</v>
      </c>
      <c r="E37">
        <v>20.100709999999999</v>
      </c>
      <c r="F37">
        <v>32.390687999999997</v>
      </c>
      <c r="G37">
        <v>29.964635000000001</v>
      </c>
      <c r="H37">
        <v>29.149086</v>
      </c>
      <c r="I37">
        <v>23.961632999999999</v>
      </c>
      <c r="J37">
        <v>56.398902999999997</v>
      </c>
      <c r="K37">
        <v>52.799760999999997</v>
      </c>
      <c r="L37">
        <v>65.637789999999995</v>
      </c>
      <c r="M37">
        <v>-622.50571400000001</v>
      </c>
      <c r="N37">
        <v>2.1603889999999999</v>
      </c>
      <c r="O37">
        <v>14.909338999999999</v>
      </c>
      <c r="P37">
        <f t="shared" si="3"/>
        <v>3.6006483333333332E-5</v>
      </c>
      <c r="Q37" cm="1">
        <f t="array" ref="Q37">[1]!PropsSI("D","T",J37+273.15,"P",101325,"Water")</f>
        <v>985.00970186654399</v>
      </c>
      <c r="R37" cm="1">
        <f t="array" ref="R37">[1]!PropsSI("D","T",K37+273.15,"P",101325,"Water")</f>
        <v>986.7432843989377</v>
      </c>
      <c r="S37">
        <f t="shared" si="4"/>
        <v>985.87649313274085</v>
      </c>
      <c r="T37" cm="1">
        <f t="array" ref="T37">[1]!PropsSI("H","T",J37+273.15,"P",101325,"Water")</f>
        <v>236180.98621884451</v>
      </c>
      <c r="U37" cm="1">
        <f t="array" ref="U37">[1]!PropsSI("H","T",K37+273.15,"P",101325,"Water")</f>
        <v>221126.41931052619</v>
      </c>
      <c r="V37">
        <f t="shared" si="5"/>
        <v>534.40619591924519</v>
      </c>
    </row>
    <row r="38" spans="1:22" x14ac:dyDescent="0.2">
      <c r="A38">
        <v>44660.877830439997</v>
      </c>
      <c r="B38">
        <v>20.153317000000001</v>
      </c>
      <c r="C38">
        <v>20.209377</v>
      </c>
      <c r="D38">
        <v>19.957789999999999</v>
      </c>
      <c r="E38">
        <v>20.039363000000002</v>
      </c>
      <c r="F38">
        <v>32.598177999999997</v>
      </c>
      <c r="G38">
        <v>30.146578999999999</v>
      </c>
      <c r="H38">
        <v>29.041312999999999</v>
      </c>
      <c r="I38">
        <v>23.750029000000001</v>
      </c>
      <c r="J38">
        <v>56.399062999999998</v>
      </c>
      <c r="K38">
        <v>52.801192</v>
      </c>
      <c r="L38">
        <v>69.506574999999998</v>
      </c>
      <c r="M38">
        <v>-622.46653200000003</v>
      </c>
      <c r="N38">
        <v>2.1487560000000001</v>
      </c>
      <c r="O38">
        <v>14.741023999999999</v>
      </c>
      <c r="P38">
        <f t="shared" si="3"/>
        <v>3.5812600000000003E-5</v>
      </c>
      <c r="Q38" cm="1">
        <f t="array" ref="Q38">[1]!PropsSI("D","T",J38+273.15,"P",101325,"Water")</f>
        <v>985.00962301601703</v>
      </c>
      <c r="R38" cm="1">
        <f t="array" ref="R38">[1]!PropsSI("D","T",K38+273.15,"P",101325,"Water")</f>
        <v>986.74261128800788</v>
      </c>
      <c r="S38">
        <f t="shared" si="4"/>
        <v>985.87611715201251</v>
      </c>
      <c r="T38" cm="1">
        <f t="array" ref="T38">[1]!PropsSI("H","T",J38+273.15,"P",101325,"Water")</f>
        <v>236181.65557524859</v>
      </c>
      <c r="U38" cm="1">
        <f t="array" ref="U38">[1]!PropsSI("H","T",K38+273.15,"P",101325,"Water")</f>
        <v>221132.404035866</v>
      </c>
      <c r="V38">
        <f t="shared" si="5"/>
        <v>531.34071910880675</v>
      </c>
    </row>
    <row r="39" spans="1:22" x14ac:dyDescent="0.2">
      <c r="A39">
        <v>44660.877888889103</v>
      </c>
      <c r="B39">
        <v>20.200299999999999</v>
      </c>
      <c r="C39">
        <v>20.230889000000001</v>
      </c>
      <c r="D39">
        <v>19.953761</v>
      </c>
      <c r="E39">
        <v>20.011478</v>
      </c>
      <c r="F39">
        <v>32.668157999999998</v>
      </c>
      <c r="G39">
        <v>30.436219999999999</v>
      </c>
      <c r="H39">
        <v>29.15654</v>
      </c>
      <c r="I39">
        <v>23.738782</v>
      </c>
      <c r="J39">
        <v>56.399540000000002</v>
      </c>
      <c r="K39">
        <v>52.796897999999999</v>
      </c>
      <c r="L39">
        <v>69.364134000000007</v>
      </c>
      <c r="M39">
        <v>-622.51061200000004</v>
      </c>
      <c r="N39">
        <v>2.158906</v>
      </c>
      <c r="O39">
        <v>14.684055000000001</v>
      </c>
      <c r="P39">
        <f t="shared" si="3"/>
        <v>3.5981766666666668E-5</v>
      </c>
      <c r="Q39" cm="1">
        <f t="array" ref="Q39">[1]!PropsSI("D","T",J39+273.15,"P",101325,"Water")</f>
        <v>985.0093879419436</v>
      </c>
      <c r="R39" cm="1">
        <f t="array" ref="R39">[1]!PropsSI("D","T",K39+273.15,"P",101325,"Water")</f>
        <v>986.74463105212442</v>
      </c>
      <c r="S39">
        <f t="shared" si="4"/>
        <v>985.87700949703401</v>
      </c>
      <c r="T39" cm="1">
        <f t="array" ref="T39">[1]!PropsSI("H","T",J39+273.15,"P",101325,"Water")</f>
        <v>236183.65109403292</v>
      </c>
      <c r="U39" cm="1">
        <f t="array" ref="U39">[1]!PropsSI("H","T",K39+273.15,"P",101325,"Water")</f>
        <v>221114.44567977905</v>
      </c>
      <c r="V39">
        <f t="shared" si="5"/>
        <v>534.55891270838674</v>
      </c>
    </row>
    <row r="40" spans="1:22" x14ac:dyDescent="0.2">
      <c r="A40">
        <v>44660.877946759399</v>
      </c>
      <c r="B40">
        <v>20.331681</v>
      </c>
      <c r="C40">
        <v>20.41433</v>
      </c>
      <c r="D40">
        <v>19.996504999999999</v>
      </c>
      <c r="E40">
        <v>20.095600000000001</v>
      </c>
      <c r="F40">
        <v>32.713299999999997</v>
      </c>
      <c r="G40">
        <v>30.257314999999998</v>
      </c>
      <c r="H40">
        <v>29.136472999999999</v>
      </c>
      <c r="I40">
        <v>23.614816999999999</v>
      </c>
      <c r="J40">
        <v>56.401291000000001</v>
      </c>
      <c r="K40">
        <v>52.798011000000002</v>
      </c>
      <c r="L40">
        <v>68.307044000000005</v>
      </c>
      <c r="M40">
        <v>-622.468165</v>
      </c>
      <c r="N40">
        <v>2.1598320000000002</v>
      </c>
      <c r="O40">
        <v>14.905882999999999</v>
      </c>
      <c r="P40">
        <f t="shared" si="3"/>
        <v>3.5997200000000008E-5</v>
      </c>
      <c r="Q40" cm="1">
        <f t="array" ref="Q40">[1]!PropsSI("D","T",J40+273.15,"P",101325,"Water")</f>
        <v>985.0085250061411</v>
      </c>
      <c r="R40" cm="1">
        <f t="array" ref="R40">[1]!PropsSI("D","T",K40+273.15,"P",101325,"Water")</f>
        <v>986.74410754277289</v>
      </c>
      <c r="S40">
        <f t="shared" si="4"/>
        <v>985.87631627445694</v>
      </c>
      <c r="T40" cm="1">
        <f t="array" ref="T40">[1]!PropsSI("H","T",J40+273.15,"P",101325,"Water")</f>
        <v>236190.97636398324</v>
      </c>
      <c r="U40" cm="1">
        <f t="array" ref="U40">[1]!PropsSI("H","T",K40+273.15,"P",101325,"Water")</f>
        <v>221119.10046501175</v>
      </c>
      <c r="V40">
        <f t="shared" si="5"/>
        <v>534.8825924470824</v>
      </c>
    </row>
    <row r="41" spans="1:22" x14ac:dyDescent="0.2">
      <c r="A41">
        <v>44660.878004629798</v>
      </c>
      <c r="B41">
        <v>20.378753</v>
      </c>
      <c r="C41">
        <v>20.419450000000001</v>
      </c>
      <c r="D41">
        <v>20.088913000000002</v>
      </c>
      <c r="E41">
        <v>20.187514</v>
      </c>
      <c r="F41">
        <v>32.631238000000003</v>
      </c>
      <c r="G41">
        <v>30.509643000000001</v>
      </c>
      <c r="H41">
        <v>28.848071000000001</v>
      </c>
      <c r="I41">
        <v>23.782046999999999</v>
      </c>
      <c r="J41">
        <v>56.401131999999997</v>
      </c>
      <c r="K41">
        <v>52.80151</v>
      </c>
      <c r="L41">
        <v>70.162869000000001</v>
      </c>
      <c r="M41">
        <v>-622.474287</v>
      </c>
      <c r="N41">
        <v>2.1632009999999999</v>
      </c>
      <c r="O41">
        <v>14.602876999999999</v>
      </c>
      <c r="P41">
        <f t="shared" si="3"/>
        <v>3.6053349999999999E-5</v>
      </c>
      <c r="Q41" cm="1">
        <f t="array" ref="Q41">[1]!PropsSI("D","T",J41+273.15,"P",101325,"Water")</f>
        <v>985.00860336601932</v>
      </c>
      <c r="R41" cm="1">
        <f t="array" ref="R41">[1]!PropsSI("D","T",K41+273.15,"P",101325,"Water")</f>
        <v>986.74246170603863</v>
      </c>
      <c r="S41">
        <f t="shared" si="4"/>
        <v>985.87553253602891</v>
      </c>
      <c r="T41" cm="1">
        <f t="array" ref="T41">[1]!PropsSI("H","T",J41+273.15,"P",101325,"Water")</f>
        <v>236190.31119095499</v>
      </c>
      <c r="U41" cm="1">
        <f t="array" ref="U41">[1]!PropsSI("H","T",K41+273.15,"P",101325,"Water")</f>
        <v>221133.73397492853</v>
      </c>
      <c r="V41">
        <f t="shared" si="5"/>
        <v>535.17272157288971</v>
      </c>
    </row>
    <row r="42" spans="1:22" x14ac:dyDescent="0.2">
      <c r="A42">
        <v>46122.8780625</v>
      </c>
      <c r="B42">
        <v>20.420784999999999</v>
      </c>
      <c r="C42">
        <v>20.444645999999999</v>
      </c>
      <c r="D42">
        <v>20.115269000000001</v>
      </c>
      <c r="E42">
        <v>20.207165</v>
      </c>
      <c r="F42">
        <v>32.772378000000003</v>
      </c>
      <c r="G42">
        <v>30.181764999999999</v>
      </c>
      <c r="H42">
        <v>28.810737</v>
      </c>
      <c r="I42">
        <v>24.044589999999999</v>
      </c>
      <c r="J42">
        <v>56.403201000000003</v>
      </c>
      <c r="K42">
        <v>52.803418000000001</v>
      </c>
      <c r="L42">
        <v>66.044708</v>
      </c>
      <c r="M42">
        <v>-622.51550899999995</v>
      </c>
      <c r="N42">
        <v>2.162668</v>
      </c>
      <c r="O42">
        <v>14.781663999999999</v>
      </c>
      <c r="P42">
        <f t="shared" si="3"/>
        <v>3.6044466666666663E-5</v>
      </c>
      <c r="Q42" cm="1">
        <f t="array" ref="Q42">[1]!PropsSI("D","T",J42+273.15,"P",101325,"Water")</f>
        <v>985.0075836898236</v>
      </c>
      <c r="R42" cm="1">
        <f t="array" ref="R42">[1]!PropsSI("D","T",K42+273.15,"P",101325,"Water")</f>
        <v>986.74156420068471</v>
      </c>
      <c r="S42">
        <f t="shared" si="4"/>
        <v>985.87457394525416</v>
      </c>
      <c r="T42" cm="1">
        <f t="array" ref="T42">[1]!PropsSI("H","T",J42+273.15,"P",101325,"Water")</f>
        <v>236198.96680825486</v>
      </c>
      <c r="U42" cm="1">
        <f t="array" ref="U42">[1]!PropsSI("H","T",K42+273.15,"P",101325,"Water")</f>
        <v>221141.71360988464</v>
      </c>
      <c r="V42">
        <f t="shared" si="5"/>
        <v>535.06435918061356</v>
      </c>
    </row>
    <row r="43" spans="1:22" x14ac:dyDescent="0.2">
      <c r="A43">
        <v>46122.878120949077</v>
      </c>
      <c r="B43">
        <v>20.343786000000001</v>
      </c>
      <c r="C43">
        <v>20.31118</v>
      </c>
      <c r="D43">
        <v>20.07235</v>
      </c>
      <c r="E43">
        <v>20.148375999999999</v>
      </c>
      <c r="F43">
        <v>32.543861999999997</v>
      </c>
      <c r="G43">
        <v>30.257704</v>
      </c>
      <c r="H43">
        <v>29.053747999999999</v>
      </c>
      <c r="I43">
        <v>23.509986000000001</v>
      </c>
      <c r="J43">
        <v>56.406385</v>
      </c>
      <c r="K43">
        <v>52.809300999999998</v>
      </c>
      <c r="L43">
        <v>64.299897000000001</v>
      </c>
      <c r="M43">
        <v>-622.51061200000004</v>
      </c>
      <c r="N43">
        <v>2.167249</v>
      </c>
      <c r="O43">
        <v>14.603602</v>
      </c>
      <c r="P43">
        <f t="shared" si="3"/>
        <v>3.6120816666666665E-5</v>
      </c>
      <c r="Q43" cm="1">
        <f t="array" ref="Q43">[1]!PropsSI("D","T",J43+273.15,"P",101325,"Water")</f>
        <v>985.00601445111693</v>
      </c>
      <c r="R43" cm="1">
        <f t="array" ref="R43">[1]!PropsSI("D","T",K43+273.15,"P",101325,"Water")</f>
        <v>986.73879674685986</v>
      </c>
      <c r="S43">
        <f t="shared" si="4"/>
        <v>985.87240559898839</v>
      </c>
      <c r="T43" cm="1">
        <f t="array" ref="T43">[1]!PropsSI("H","T",J43+273.15,"P",101325,"Water")</f>
        <v>236212.2870074941</v>
      </c>
      <c r="U43" cm="1">
        <f t="array" ref="U43">[1]!PropsSI("H","T",K43+273.15,"P",101325,"Water")</f>
        <v>221166.31749195984</v>
      </c>
      <c r="V43">
        <f t="shared" si="5"/>
        <v>535.79474447822361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0F69-F56A-C945-99A0-33AB23BC8ECF}">
  <dimension ref="A1:W32"/>
  <sheetViews>
    <sheetView topLeftCell="I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44660.879340277999</v>
      </c>
      <c r="B2">
        <v>20.421326000000001</v>
      </c>
      <c r="C2">
        <v>20.450521999999999</v>
      </c>
      <c r="D2">
        <v>20.093056000000001</v>
      </c>
      <c r="E2">
        <v>20.212751000000001</v>
      </c>
      <c r="F2">
        <v>31.103715999999999</v>
      </c>
      <c r="G2">
        <v>28.552005999999999</v>
      </c>
      <c r="H2">
        <v>26.996015</v>
      </c>
      <c r="I2">
        <v>22.795929999999998</v>
      </c>
      <c r="J2">
        <v>56.405588999999999</v>
      </c>
      <c r="K2">
        <v>52.515773000000003</v>
      </c>
      <c r="L2">
        <v>111.55140900000001</v>
      </c>
      <c r="M2">
        <v>-622.49714300000005</v>
      </c>
      <c r="N2">
        <v>2.1605490000000001</v>
      </c>
      <c r="O2">
        <v>14.831186000000001</v>
      </c>
      <c r="P2">
        <f t="shared" ref="P2:P65" si="0" xml:space="preserve"> N2*0.001/60</f>
        <v>3.6009149999999997E-5</v>
      </c>
      <c r="Q2" cm="1">
        <f t="array" ref="Q2">[1]!PropsSI("D","T",J2+273.15,"P",101325,"Water")</f>
        <v>985.00640676660851</v>
      </c>
      <c r="R2" cm="1">
        <f t="array" ref="R2">[1]!PropsSI("D","T",K2+273.15,"P",101325,"Water")</f>
        <v>986.87660824694137</v>
      </c>
      <c r="S2">
        <f t="shared" ref="S2:S65" si="1">(Q2+R2)/2</f>
        <v>985.941507506775</v>
      </c>
      <c r="T2" cm="1">
        <f t="array" ref="T2">[1]!PropsSI("H","T",J2+273.15,"P",101325,"Water")</f>
        <v>236208.95695732377</v>
      </c>
      <c r="U2" cm="1">
        <f t="array" ref="U2">[1]!PropsSI("H","T",K2+273.15,"P",101325,"Water")</f>
        <v>219938.73849542567</v>
      </c>
      <c r="V2">
        <f t="shared" ref="V2:V65" si="2">S2*P2*(T2-U2)</f>
        <v>577.64019341639903</v>
      </c>
      <c r="W2" s="2">
        <f>AVERAGE(V3:V32)</f>
        <v>582.63143745447621</v>
      </c>
    </row>
    <row r="3" spans="1:23" x14ac:dyDescent="0.2">
      <c r="A3">
        <v>44660.879398726996</v>
      </c>
      <c r="B3">
        <v>20.331697999999999</v>
      </c>
      <c r="C3">
        <v>20.385791999999999</v>
      </c>
      <c r="D3">
        <v>20.080560999999999</v>
      </c>
      <c r="E3">
        <v>20.193263000000002</v>
      </c>
      <c r="F3">
        <v>30.901420999999999</v>
      </c>
      <c r="G3">
        <v>28.471105000000001</v>
      </c>
      <c r="H3">
        <v>27.233053000000002</v>
      </c>
      <c r="I3">
        <v>23.147493999999998</v>
      </c>
      <c r="J3">
        <v>56.404634000000001</v>
      </c>
      <c r="K3">
        <v>52.511639000000002</v>
      </c>
      <c r="L3">
        <v>105.913324</v>
      </c>
      <c r="M3">
        <v>-622.50489800000003</v>
      </c>
      <c r="N3">
        <v>2.1675849999999999</v>
      </c>
      <c r="O3">
        <v>14.937728999999999</v>
      </c>
      <c r="P3">
        <f t="shared" si="0"/>
        <v>3.612641666666667E-5</v>
      </c>
      <c r="Q3" cm="1">
        <f t="array" ref="Q3">[1]!PropsSI("D","T",J3+273.15,"P",101325,"Water")</f>
        <v>985.00687744150764</v>
      </c>
      <c r="R3" cm="1">
        <f t="array" ref="R3">[1]!PropsSI("D","T",K3+273.15,"P",101325,"Water")</f>
        <v>986.87854524266993</v>
      </c>
      <c r="S3">
        <f t="shared" si="1"/>
        <v>985.94271134208884</v>
      </c>
      <c r="T3" cm="1">
        <f t="array" ref="T3">[1]!PropsSI("H","T",J3+273.15,"P",101325,"Water")</f>
        <v>236204.96173416029</v>
      </c>
      <c r="U3" cm="1">
        <f t="array" ref="U3">[1]!PropsSI("H","T",K3+273.15,"P",101325,"Water")</f>
        <v>219921.44967491753</v>
      </c>
      <c r="V3">
        <f t="shared" si="2"/>
        <v>579.99553135961889</v>
      </c>
      <c r="W3" s="2"/>
    </row>
    <row r="4" spans="1:23" x14ac:dyDescent="0.2">
      <c r="A4">
        <v>44660.879457176103</v>
      </c>
      <c r="B4">
        <v>20.325724999999998</v>
      </c>
      <c r="C4">
        <v>20.283982999999999</v>
      </c>
      <c r="D4">
        <v>20.091121000000001</v>
      </c>
      <c r="E4">
        <v>20.156155999999999</v>
      </c>
      <c r="F4">
        <v>31.019849000000001</v>
      </c>
      <c r="G4">
        <v>28.428806000000002</v>
      </c>
      <c r="H4">
        <v>27.294007000000001</v>
      </c>
      <c r="I4">
        <v>22.835546999999998</v>
      </c>
      <c r="J4">
        <v>56.405270999999999</v>
      </c>
      <c r="K4">
        <v>52.508935999999999</v>
      </c>
      <c r="L4">
        <v>115.347137</v>
      </c>
      <c r="M4">
        <v>-622.47796000000005</v>
      </c>
      <c r="N4">
        <v>2.162102</v>
      </c>
      <c r="O4">
        <v>14.825023</v>
      </c>
      <c r="P4">
        <f t="shared" si="0"/>
        <v>3.603503333333333E-5</v>
      </c>
      <c r="Q4" cm="1">
        <f t="array" ref="Q4">[1]!PropsSI("D","T",J4+273.15,"P",101325,"Water")</f>
        <v>985.00656349457961</v>
      </c>
      <c r="R4" cm="1">
        <f t="array" ref="R4">[1]!PropsSI("D","T",K4+273.15,"P",101325,"Water")</f>
        <v>986.87981168095996</v>
      </c>
      <c r="S4">
        <f t="shared" si="1"/>
        <v>985.94318758776978</v>
      </c>
      <c r="T4" cm="1">
        <f t="array" ref="T4">[1]!PropsSI("H","T",J4+273.15,"P",101325,"Water")</f>
        <v>236207.62661068168</v>
      </c>
      <c r="U4" cm="1">
        <f t="array" ref="U4">[1]!PropsSI("H","T",K4+273.15,"P",101325,"Water")</f>
        <v>219910.14544907436</v>
      </c>
      <c r="V4">
        <f t="shared" si="2"/>
        <v>579.02498822199459</v>
      </c>
      <c r="W4" s="2"/>
    </row>
    <row r="5" spans="1:23" x14ac:dyDescent="0.2">
      <c r="A5">
        <v>44660.879515046501</v>
      </c>
      <c r="B5">
        <v>20.282464000000001</v>
      </c>
      <c r="C5">
        <v>20.335348</v>
      </c>
      <c r="D5">
        <v>20.057977999999999</v>
      </c>
      <c r="E5">
        <v>20.156209</v>
      </c>
      <c r="F5">
        <v>31.020810000000001</v>
      </c>
      <c r="G5">
        <v>28.112551</v>
      </c>
      <c r="H5">
        <v>27.125019000000002</v>
      </c>
      <c r="I5">
        <v>23.006736</v>
      </c>
      <c r="J5">
        <v>56.402405000000002</v>
      </c>
      <c r="K5">
        <v>52.501145000000001</v>
      </c>
      <c r="L5">
        <v>107.42834999999999</v>
      </c>
      <c r="M5">
        <v>-622.46122600000001</v>
      </c>
      <c r="N5">
        <v>2.1588409999999998</v>
      </c>
      <c r="O5">
        <v>14.823905</v>
      </c>
      <c r="P5">
        <f t="shared" si="0"/>
        <v>3.5980683333333329E-5</v>
      </c>
      <c r="Q5" cm="1">
        <f t="array" ref="Q5">[1]!PropsSI("D","T",J5+273.15,"P",101325,"Water")</f>
        <v>985.00797598980637</v>
      </c>
      <c r="R5" cm="1">
        <f t="array" ref="R5">[1]!PropsSI("D","T",K5+273.15,"P",101325,"Water")</f>
        <v>986.88346174244987</v>
      </c>
      <c r="S5">
        <f t="shared" si="1"/>
        <v>985.94571886612812</v>
      </c>
      <c r="T5" cm="1">
        <f t="array" ref="T5">[1]!PropsSI("H","T",J5+273.15,"P",101325,"Water")</f>
        <v>236195.63675905901</v>
      </c>
      <c r="U5" cm="1">
        <f t="array" ref="U5">[1]!PropsSI("H","T",K5+273.15,"P",101325,"Water")</f>
        <v>219877.56269382659</v>
      </c>
      <c r="V5">
        <f t="shared" si="2"/>
        <v>578.88368879502912</v>
      </c>
      <c r="W5" s="2"/>
    </row>
    <row r="6" spans="1:23" x14ac:dyDescent="0.2">
      <c r="A6">
        <v>46122.879572916667</v>
      </c>
      <c r="B6">
        <v>20.195944000000001</v>
      </c>
      <c r="C6">
        <v>20.223085999999999</v>
      </c>
      <c r="D6">
        <v>20.059484000000001</v>
      </c>
      <c r="E6">
        <v>20.102328</v>
      </c>
      <c r="F6">
        <v>30.837876000000001</v>
      </c>
      <c r="G6">
        <v>28.313358999999998</v>
      </c>
      <c r="H6">
        <v>26.982603999999998</v>
      </c>
      <c r="I6">
        <v>23.095973999999998</v>
      </c>
      <c r="J6">
        <v>56.400973</v>
      </c>
      <c r="K6">
        <v>52.496533999999997</v>
      </c>
      <c r="L6">
        <v>106.252083</v>
      </c>
      <c r="M6">
        <v>-622.51102000000003</v>
      </c>
      <c r="N6">
        <v>2.161734</v>
      </c>
      <c r="O6">
        <v>14.649908999999999</v>
      </c>
      <c r="P6">
        <f t="shared" si="0"/>
        <v>3.6028900000000003E-5</v>
      </c>
      <c r="Q6" cm="1">
        <f t="array" ref="Q6">[1]!PropsSI("D","T",J6+273.15,"P",101325,"Water")</f>
        <v>985.00868172574576</v>
      </c>
      <c r="R6" cm="1">
        <f t="array" ref="R6">[1]!PropsSI("D","T",K6+273.15,"P",101325,"Water")</f>
        <v>986.88562180059466</v>
      </c>
      <c r="S6">
        <f t="shared" si="1"/>
        <v>985.94715176317027</v>
      </c>
      <c r="T6" cm="1">
        <f t="array" ref="T6">[1]!PropsSI("H","T",J6+273.15,"P",101325,"Water")</f>
        <v>236189.64601785591</v>
      </c>
      <c r="U6" cm="1">
        <f t="array" ref="U6">[1]!PropsSI("H","T",K6+273.15,"P",101325,"Water")</f>
        <v>219858.27903158523</v>
      </c>
      <c r="V6">
        <f t="shared" si="2"/>
        <v>580.13247541414944</v>
      </c>
      <c r="W6" s="2"/>
    </row>
    <row r="7" spans="1:23" x14ac:dyDescent="0.2">
      <c r="A7">
        <v>46122.879630787036</v>
      </c>
      <c r="B7">
        <v>20.194566999999999</v>
      </c>
      <c r="C7">
        <v>20.312272</v>
      </c>
      <c r="D7">
        <v>20.035368999999999</v>
      </c>
      <c r="E7">
        <v>20.112006000000001</v>
      </c>
      <c r="F7">
        <v>30.831544000000001</v>
      </c>
      <c r="G7">
        <v>28.171306999999999</v>
      </c>
      <c r="H7">
        <v>26.741</v>
      </c>
      <c r="I7">
        <v>22.833133</v>
      </c>
      <c r="J7">
        <v>56.398584999999997</v>
      </c>
      <c r="K7">
        <v>52.491923</v>
      </c>
      <c r="L7">
        <v>112.696658</v>
      </c>
      <c r="M7">
        <v>-622.47265400000003</v>
      </c>
      <c r="N7">
        <v>2.1607539999999998</v>
      </c>
      <c r="O7">
        <v>15.158602999999999</v>
      </c>
      <c r="P7">
        <f t="shared" si="0"/>
        <v>3.6012566666666668E-5</v>
      </c>
      <c r="Q7" cm="1">
        <f t="array" ref="Q7">[1]!PropsSI("D","T",J7+273.15,"P",101325,"Water")</f>
        <v>985.00985858150614</v>
      </c>
      <c r="R7" cm="1">
        <f t="array" ref="R7">[1]!PropsSI("D","T",K7+273.15,"P",101325,"Water")</f>
        <v>986.88778172314017</v>
      </c>
      <c r="S7">
        <f t="shared" si="1"/>
        <v>985.94882015232315</v>
      </c>
      <c r="T7" cm="1">
        <f t="array" ref="T7">[1]!PropsSI("H","T",J7+273.15,"P",101325,"Water")</f>
        <v>236179.6558730627</v>
      </c>
      <c r="U7" cm="1">
        <f t="array" ref="U7">[1]!PropsSI("H","T",K7+273.15,"P",101325,"Water")</f>
        <v>219838.99537621715</v>
      </c>
      <c r="V7">
        <f t="shared" si="2"/>
        <v>580.20044000252994</v>
      </c>
      <c r="W7" s="2"/>
    </row>
    <row r="8" spans="1:23" x14ac:dyDescent="0.2">
      <c r="A8">
        <v>46122.879689236113</v>
      </c>
      <c r="B8">
        <v>20.30293</v>
      </c>
      <c r="C8">
        <v>20.4817</v>
      </c>
      <c r="D8">
        <v>20.082215999999999</v>
      </c>
      <c r="E8">
        <v>20.172384999999998</v>
      </c>
      <c r="F8">
        <v>30.807876</v>
      </c>
      <c r="G8">
        <v>27.918980999999999</v>
      </c>
      <c r="H8">
        <v>27.239258</v>
      </c>
      <c r="I8">
        <v>23.237822999999999</v>
      </c>
      <c r="J8">
        <v>56.398902999999997</v>
      </c>
      <c r="K8">
        <v>52.485086000000003</v>
      </c>
      <c r="L8">
        <v>113.997817</v>
      </c>
      <c r="M8">
        <v>-622.48326599999996</v>
      </c>
      <c r="N8">
        <v>2.1585290000000001</v>
      </c>
      <c r="O8">
        <v>14.798463999999999</v>
      </c>
      <c r="P8">
        <f t="shared" si="0"/>
        <v>3.5975483333333338E-5</v>
      </c>
      <c r="Q8" cm="1">
        <f t="array" ref="Q8">[1]!PropsSI("D","T",J8+273.15,"P",101325,"Water")</f>
        <v>985.00970186654399</v>
      </c>
      <c r="R8" cm="1">
        <f t="array" ref="R8">[1]!PropsSI("D","T",K8+273.15,"P",101325,"Water")</f>
        <v>986.89098411732607</v>
      </c>
      <c r="S8">
        <f t="shared" si="1"/>
        <v>985.95034299193503</v>
      </c>
      <c r="T8" cm="1">
        <f t="array" ref="T8">[1]!PropsSI("H","T",J8+273.15,"P",101325,"Water")</f>
        <v>236180.98621884451</v>
      </c>
      <c r="U8" cm="1">
        <f t="array" ref="U8">[1]!PropsSI("H","T",K8+273.15,"P",101325,"Water")</f>
        <v>219810.40238265038</v>
      </c>
      <c r="V8">
        <f t="shared" si="2"/>
        <v>580.66526565081267</v>
      </c>
      <c r="W8" s="2"/>
    </row>
    <row r="9" spans="1:23" x14ac:dyDescent="0.2">
      <c r="A9">
        <v>46122.879747685183</v>
      </c>
      <c r="B9">
        <v>20.290745999999999</v>
      </c>
      <c r="C9">
        <v>20.307573000000001</v>
      </c>
      <c r="D9">
        <v>20.064332</v>
      </c>
      <c r="E9">
        <v>20.038426000000001</v>
      </c>
      <c r="F9">
        <v>31.011583999999999</v>
      </c>
      <c r="G9">
        <v>28.474547000000001</v>
      </c>
      <c r="H9">
        <v>26.917141000000001</v>
      </c>
      <c r="I9">
        <v>22.975926999999999</v>
      </c>
      <c r="J9">
        <v>56.399062999999998</v>
      </c>
      <c r="K9">
        <v>52.484768000000003</v>
      </c>
      <c r="L9">
        <v>110.293513</v>
      </c>
      <c r="M9">
        <v>-622.47510299999999</v>
      </c>
      <c r="N9">
        <v>2.1632500000000001</v>
      </c>
      <c r="O9">
        <v>14.925782999999999</v>
      </c>
      <c r="P9">
        <f t="shared" si="0"/>
        <v>3.6054166666666671E-5</v>
      </c>
      <c r="Q9" cm="1">
        <f t="array" ref="Q9">[1]!PropsSI("D","T",J9+273.15,"P",101325,"Water")</f>
        <v>985.00962301601703</v>
      </c>
      <c r="R9" cm="1">
        <f t="array" ref="R9">[1]!PropsSI("D","T",K9+273.15,"P",101325,"Water")</f>
        <v>986.89113305864851</v>
      </c>
      <c r="S9">
        <f t="shared" si="1"/>
        <v>985.95037803733271</v>
      </c>
      <c r="T9" cm="1">
        <f t="array" ref="T9">[1]!PropsSI("H","T",J9+273.15,"P",101325,"Water")</f>
        <v>236181.65557524859</v>
      </c>
      <c r="U9" cm="1">
        <f t="array" ref="U9">[1]!PropsSI("H","T",K9+273.15,"P",101325,"Water")</f>
        <v>219809.07247627826</v>
      </c>
      <c r="V9">
        <f t="shared" si="2"/>
        <v>582.00635022011454</v>
      </c>
      <c r="W9" s="2"/>
    </row>
    <row r="10" spans="1:23" x14ac:dyDescent="0.2">
      <c r="A10">
        <v>44660.879805555698</v>
      </c>
      <c r="B10">
        <v>20.165972</v>
      </c>
      <c r="C10">
        <v>20.300404</v>
      </c>
      <c r="D10">
        <v>19.962212000000001</v>
      </c>
      <c r="E10">
        <v>20.039833000000002</v>
      </c>
      <c r="F10">
        <v>30.855819</v>
      </c>
      <c r="G10">
        <v>28.10126</v>
      </c>
      <c r="H10">
        <v>27.033394999999999</v>
      </c>
      <c r="I10">
        <v>23.023015000000001</v>
      </c>
      <c r="J10">
        <v>56.399062999999998</v>
      </c>
      <c r="K10">
        <v>52.481746999999999</v>
      </c>
      <c r="L10">
        <v>112.91379000000001</v>
      </c>
      <c r="M10">
        <v>-622.49918400000001</v>
      </c>
      <c r="N10">
        <v>2.1626919999999998</v>
      </c>
      <c r="O10">
        <v>15.041347999999999</v>
      </c>
      <c r="P10">
        <f t="shared" si="0"/>
        <v>3.6044866666666664E-5</v>
      </c>
      <c r="Q10" cm="1">
        <f t="array" ref="Q10">[1]!PropsSI("D","T",J10+273.15,"P",101325,"Water")</f>
        <v>985.00962301601703</v>
      </c>
      <c r="R10" cm="1">
        <f t="array" ref="R10">[1]!PropsSI("D","T",K10+273.15,"P",101325,"Water")</f>
        <v>986.89254796894636</v>
      </c>
      <c r="S10">
        <f t="shared" si="1"/>
        <v>985.95108549248175</v>
      </c>
      <c r="T10" cm="1">
        <f t="array" ref="T10">[1]!PropsSI("H","T",J10+273.15,"P",101325,"Water")</f>
        <v>236181.65557524859</v>
      </c>
      <c r="U10" cm="1">
        <f t="array" ref="U10">[1]!PropsSI("H","T",K10+273.15,"P",101325,"Water")</f>
        <v>219796.43836794625</v>
      </c>
      <c r="V10">
        <f t="shared" si="2"/>
        <v>582.30563891460906</v>
      </c>
    </row>
    <row r="11" spans="1:23" x14ac:dyDescent="0.2">
      <c r="A11">
        <v>44660.879863426097</v>
      </c>
      <c r="B11">
        <v>20.156030999999999</v>
      </c>
      <c r="C11">
        <v>20.312604</v>
      </c>
      <c r="D11">
        <v>19.964196000000001</v>
      </c>
      <c r="E11">
        <v>20.036971000000001</v>
      </c>
      <c r="F11">
        <v>30.698992000000001</v>
      </c>
      <c r="G11">
        <v>27.861864000000001</v>
      </c>
      <c r="H11">
        <v>26.833546999999999</v>
      </c>
      <c r="I11">
        <v>23.071390000000001</v>
      </c>
      <c r="J11">
        <v>56.397629999999999</v>
      </c>
      <c r="K11">
        <v>52.479202999999998</v>
      </c>
      <c r="L11">
        <v>111.68079</v>
      </c>
      <c r="M11">
        <v>-622.51591800000006</v>
      </c>
      <c r="N11">
        <v>2.1462150000000002</v>
      </c>
      <c r="O11">
        <v>14.786683</v>
      </c>
      <c r="P11">
        <f t="shared" si="0"/>
        <v>3.5770250000000009E-5</v>
      </c>
      <c r="Q11" cm="1">
        <f t="array" ref="Q11">[1]!PropsSI("D","T",J11+273.15,"P",101325,"Water")</f>
        <v>985.01032921547437</v>
      </c>
      <c r="R11" cm="1">
        <f t="array" ref="R11">[1]!PropsSI("D","T",K11+273.15,"P",101325,"Water")</f>
        <v>986.89373942718441</v>
      </c>
      <c r="S11">
        <f t="shared" si="1"/>
        <v>985.95203432132939</v>
      </c>
      <c r="T11" cm="1">
        <f t="array" ref="T11">[1]!PropsSI("H","T",J11+273.15,"P",101325,"Water")</f>
        <v>236175.66065247409</v>
      </c>
      <c r="U11" cm="1">
        <f t="array" ref="U11">[1]!PropsSI("H","T",K11+273.15,"P",101325,"Water")</f>
        <v>219785.79912112467</v>
      </c>
      <c r="V11">
        <f t="shared" si="2"/>
        <v>578.03355140778081</v>
      </c>
    </row>
    <row r="12" spans="1:23" x14ac:dyDescent="0.2">
      <c r="A12">
        <v>44660.879921875203</v>
      </c>
      <c r="B12">
        <v>20.147791999999999</v>
      </c>
      <c r="C12">
        <v>20.224564000000001</v>
      </c>
      <c r="D12">
        <v>19.966707</v>
      </c>
      <c r="E12">
        <v>20.012112999999999</v>
      </c>
      <c r="F12">
        <v>30.908819000000001</v>
      </c>
      <c r="G12">
        <v>27.806837999999999</v>
      </c>
      <c r="H12">
        <v>26.609463000000002</v>
      </c>
      <c r="I12">
        <v>23.126480000000001</v>
      </c>
      <c r="J12">
        <v>56.395719999999997</v>
      </c>
      <c r="K12">
        <v>52.460281999999999</v>
      </c>
      <c r="L12">
        <v>102.03882400000001</v>
      </c>
      <c r="M12">
        <v>-622.50857099999996</v>
      </c>
      <c r="N12">
        <v>2.1618810000000002</v>
      </c>
      <c r="O12">
        <v>14.982397000000001</v>
      </c>
      <c r="P12">
        <f t="shared" si="0"/>
        <v>3.6031349999999999E-5</v>
      </c>
      <c r="Q12" cm="1">
        <f t="array" ref="Q12">[1]!PropsSI("D","T",J12+273.15,"P",101325,"Water")</f>
        <v>985.01127046667261</v>
      </c>
      <c r="R12" cm="1">
        <f t="array" ref="R12">[1]!PropsSI("D","T",K12+273.15,"P",101325,"Water")</f>
        <v>986.90259960258959</v>
      </c>
      <c r="S12">
        <f t="shared" si="1"/>
        <v>985.9569350346311</v>
      </c>
      <c r="T12" cm="1">
        <f t="array" ref="T12">[1]!PropsSI("H","T",J12+273.15,"P",101325,"Water")</f>
        <v>236167.67021223583</v>
      </c>
      <c r="U12" cm="1">
        <f t="array" ref="U12">[1]!PropsSI("H","T",K12+273.15,"P",101325,"Water")</f>
        <v>219706.66978825812</v>
      </c>
      <c r="V12">
        <f t="shared" si="2"/>
        <v>584.782956329066</v>
      </c>
    </row>
    <row r="13" spans="1:23" x14ac:dyDescent="0.2">
      <c r="A13">
        <v>44660.879979745601</v>
      </c>
      <c r="B13">
        <v>20.119364999999998</v>
      </c>
      <c r="C13">
        <v>20.293894999999999</v>
      </c>
      <c r="D13">
        <v>19.939916</v>
      </c>
      <c r="E13">
        <v>20.039825</v>
      </c>
      <c r="F13">
        <v>30.947337000000001</v>
      </c>
      <c r="G13">
        <v>28.00431</v>
      </c>
      <c r="H13">
        <v>27.416297</v>
      </c>
      <c r="I13">
        <v>23.396318000000001</v>
      </c>
      <c r="J13">
        <v>56.396675000000002</v>
      </c>
      <c r="K13">
        <v>52.466642</v>
      </c>
      <c r="L13">
        <v>106.589208</v>
      </c>
      <c r="M13">
        <v>-622.47836800000005</v>
      </c>
      <c r="N13">
        <v>2.1606800000000002</v>
      </c>
      <c r="O13">
        <v>14.774713</v>
      </c>
      <c r="P13">
        <f t="shared" si="0"/>
        <v>3.6011333333333339E-5</v>
      </c>
      <c r="Q13" cm="1">
        <f t="array" ref="Q13">[1]!PropsSI("D","T",J13+273.15,"P",101325,"Water")</f>
        <v>985.01079984387604</v>
      </c>
      <c r="R13" cm="1">
        <f t="array" ref="R13">[1]!PropsSI("D","T",K13+273.15,"P",101325,"Water")</f>
        <v>986.89962164718759</v>
      </c>
      <c r="S13">
        <f t="shared" si="1"/>
        <v>985.95521074553176</v>
      </c>
      <c r="T13" cm="1">
        <f t="array" ref="T13">[1]!PropsSI("H","T",J13+273.15,"P",101325,"Water")</f>
        <v>236171.66543216232</v>
      </c>
      <c r="U13" cm="1">
        <f t="array" ref="U13">[1]!PropsSI("H","T",K13+273.15,"P",101325,"Water")</f>
        <v>219733.26787045973</v>
      </c>
      <c r="V13">
        <f t="shared" si="2"/>
        <v>583.65453963058894</v>
      </c>
    </row>
    <row r="14" spans="1:23" x14ac:dyDescent="0.2">
      <c r="A14">
        <v>44660.880038194598</v>
      </c>
      <c r="B14">
        <v>20.130796</v>
      </c>
      <c r="C14">
        <v>20.23836</v>
      </c>
      <c r="D14">
        <v>19.972608000000001</v>
      </c>
      <c r="E14">
        <v>20.030360999999999</v>
      </c>
      <c r="F14">
        <v>30.901873999999999</v>
      </c>
      <c r="G14">
        <v>27.699925</v>
      </c>
      <c r="H14">
        <v>27.004975999999999</v>
      </c>
      <c r="I14">
        <v>22.874649999999999</v>
      </c>
      <c r="J14">
        <v>56.395561000000001</v>
      </c>
      <c r="K14">
        <v>52.470298999999997</v>
      </c>
      <c r="L14">
        <v>98.501450000000006</v>
      </c>
      <c r="M14">
        <v>-622.46571600000004</v>
      </c>
      <c r="N14">
        <v>2.1632829999999998</v>
      </c>
      <c r="O14">
        <v>14.954262</v>
      </c>
      <c r="P14">
        <f t="shared" si="0"/>
        <v>3.6054716666666662E-5</v>
      </c>
      <c r="Q14" cm="1">
        <f t="array" ref="Q14">[1]!PropsSI("D","T",J14+273.15,"P",101325,"Water")</f>
        <v>985.01134882115252</v>
      </c>
      <c r="R14" cm="1">
        <f t="array" ref="R14">[1]!PropsSI("D","T",K14+273.15,"P",101325,"Water")</f>
        <v>986.89790920598477</v>
      </c>
      <c r="S14">
        <f t="shared" si="1"/>
        <v>985.95462901356859</v>
      </c>
      <c r="T14" cm="1">
        <f t="array" ref="T14">[1]!PropsSI("H","T",J14+273.15,"P",101325,"Water")</f>
        <v>236167.00503948756</v>
      </c>
      <c r="U14" cm="1">
        <f t="array" ref="U14">[1]!PropsSI("H","T",K14+273.15,"P",101325,"Water")</f>
        <v>219748.56177360631</v>
      </c>
      <c r="V14">
        <f t="shared" si="2"/>
        <v>583.64798966387093</v>
      </c>
    </row>
    <row r="15" spans="1:23" x14ac:dyDescent="0.2">
      <c r="A15">
        <v>46122.880096064815</v>
      </c>
      <c r="B15">
        <v>20.124122</v>
      </c>
      <c r="C15">
        <v>20.249853999999999</v>
      </c>
      <c r="D15">
        <v>19.991064999999999</v>
      </c>
      <c r="E15">
        <v>20.031395</v>
      </c>
      <c r="F15">
        <v>30.749586000000001</v>
      </c>
      <c r="G15">
        <v>27.961496</v>
      </c>
      <c r="H15">
        <v>26.567330999999999</v>
      </c>
      <c r="I15">
        <v>23.154028</v>
      </c>
      <c r="J15">
        <v>56.393172999999997</v>
      </c>
      <c r="K15">
        <v>52.469504000000001</v>
      </c>
      <c r="L15">
        <v>105.119078</v>
      </c>
      <c r="M15">
        <v>-622.47224600000004</v>
      </c>
      <c r="N15">
        <v>2.1601110000000001</v>
      </c>
      <c r="O15">
        <v>14.931527000000001</v>
      </c>
      <c r="P15">
        <f t="shared" si="0"/>
        <v>3.6001850000000002E-5</v>
      </c>
      <c r="Q15" cm="1">
        <f t="array" ref="Q15">[1]!PropsSI("D","T",J15+273.15,"P",101325,"Water")</f>
        <v>985.01252559782097</v>
      </c>
      <c r="R15" cm="1">
        <f t="array" ref="R15">[1]!PropsSI("D","T",K15+273.15,"P",101325,"Water")</f>
        <v>986.8982814830506</v>
      </c>
      <c r="S15">
        <f t="shared" si="1"/>
        <v>985.95540354043578</v>
      </c>
      <c r="T15" cm="1">
        <f t="array" ref="T15">[1]!PropsSI("H","T",J15+273.15,"P",101325,"Water")</f>
        <v>236157.01489966086</v>
      </c>
      <c r="U15" cm="1">
        <f t="array" ref="U15">[1]!PropsSI("H","T",K15+273.15,"P",101325,"Water")</f>
        <v>219745.23701173224</v>
      </c>
      <c r="V15">
        <f t="shared" si="2"/>
        <v>582.55605462112896</v>
      </c>
    </row>
    <row r="16" spans="1:23" x14ac:dyDescent="0.2">
      <c r="A16">
        <v>46122.880153935184</v>
      </c>
      <c r="B16">
        <v>20.096187</v>
      </c>
      <c r="C16">
        <v>20.14019</v>
      </c>
      <c r="D16">
        <v>19.993086999999999</v>
      </c>
      <c r="E16">
        <v>20.038222000000001</v>
      </c>
      <c r="F16">
        <v>30.933261999999999</v>
      </c>
      <c r="G16">
        <v>27.800364999999999</v>
      </c>
      <c r="H16">
        <v>26.919682999999999</v>
      </c>
      <c r="I16">
        <v>22.827159999999999</v>
      </c>
      <c r="J16">
        <v>56.394606000000003</v>
      </c>
      <c r="K16">
        <v>52.468868000000001</v>
      </c>
      <c r="L16">
        <v>109.81068</v>
      </c>
      <c r="M16">
        <v>-622.48857199999998</v>
      </c>
      <c r="N16">
        <v>2.160631</v>
      </c>
      <c r="O16">
        <v>15.054755</v>
      </c>
      <c r="P16">
        <f t="shared" si="0"/>
        <v>3.6010516666666667E-5</v>
      </c>
      <c r="Q16" cm="1">
        <f t="array" ref="Q16">[1]!PropsSI("D","T",J16+273.15,"P",101325,"Water")</f>
        <v>985.01181943743188</v>
      </c>
      <c r="R16" cm="1">
        <f t="array" ref="R16">[1]!PropsSI("D","T",K16+273.15,"P",101325,"Water")</f>
        <v>986.89857930182109</v>
      </c>
      <c r="S16">
        <f t="shared" si="1"/>
        <v>985.95519936962648</v>
      </c>
      <c r="T16" cm="1">
        <f t="array" ref="T16">[1]!PropsSI("H","T",J16+273.15,"P",101325,"Water")</f>
        <v>236163.00981999876</v>
      </c>
      <c r="U16" cm="1">
        <f t="array" ref="U16">[1]!PropsSI("H","T",K16+273.15,"P",101325,"Water")</f>
        <v>219742.57720228969</v>
      </c>
      <c r="V16">
        <f t="shared" si="2"/>
        <v>583.00345579663201</v>
      </c>
    </row>
    <row r="17" spans="1:22" x14ac:dyDescent="0.2">
      <c r="A17">
        <v>46122.880212384262</v>
      </c>
      <c r="B17">
        <v>20.078320000000001</v>
      </c>
      <c r="C17">
        <v>20.151267000000001</v>
      </c>
      <c r="D17">
        <v>19.992785999999999</v>
      </c>
      <c r="E17">
        <v>20.049643</v>
      </c>
      <c r="F17">
        <v>30.569085999999999</v>
      </c>
      <c r="G17">
        <v>28.310554</v>
      </c>
      <c r="H17">
        <v>27.138102</v>
      </c>
      <c r="I17">
        <v>23.009871</v>
      </c>
      <c r="J17">
        <v>56.396675000000002</v>
      </c>
      <c r="K17">
        <v>52.469344999999997</v>
      </c>
      <c r="L17">
        <v>107.477735</v>
      </c>
      <c r="M17">
        <v>-622.48653100000001</v>
      </c>
      <c r="N17">
        <v>2.153267</v>
      </c>
      <c r="O17">
        <v>14.991318</v>
      </c>
      <c r="P17">
        <f t="shared" si="0"/>
        <v>3.5887783333333336E-5</v>
      </c>
      <c r="Q17" cm="1">
        <f t="array" ref="Q17">[1]!PropsSI("D","T",J17+273.15,"P",101325,"Water")</f>
        <v>985.01079984387604</v>
      </c>
      <c r="R17" cm="1">
        <f t="array" ref="R17">[1]!PropsSI("D","T",K17+273.15,"P",101325,"Water")</f>
        <v>986.89835593798557</v>
      </c>
      <c r="S17">
        <f t="shared" si="1"/>
        <v>985.95457789093075</v>
      </c>
      <c r="T17" cm="1">
        <f t="array" ref="T17">[1]!PropsSI("H","T",J17+273.15,"P",101325,"Water")</f>
        <v>236171.66543216232</v>
      </c>
      <c r="U17" cm="1">
        <f t="array" ref="U17">[1]!PropsSI("H","T",K17+273.15,"P",101325,"Water")</f>
        <v>219744.5720593514</v>
      </c>
      <c r="V17">
        <f t="shared" si="2"/>
        <v>581.25174242589662</v>
      </c>
    </row>
    <row r="18" spans="1:22" x14ac:dyDescent="0.2">
      <c r="A18">
        <v>46122.880270833331</v>
      </c>
      <c r="B18">
        <v>20.124189000000001</v>
      </c>
      <c r="C18">
        <v>20.174921999999999</v>
      </c>
      <c r="D18">
        <v>20.005990000000001</v>
      </c>
      <c r="E18">
        <v>20.075348000000002</v>
      </c>
      <c r="F18">
        <v>30.855494</v>
      </c>
      <c r="G18">
        <v>27.946276999999998</v>
      </c>
      <c r="H18">
        <v>27.068528000000001</v>
      </c>
      <c r="I18">
        <v>22.99249</v>
      </c>
      <c r="J18">
        <v>56.393490999999997</v>
      </c>
      <c r="K18">
        <v>52.464416</v>
      </c>
      <c r="L18">
        <v>108.007097</v>
      </c>
      <c r="M18">
        <v>-622.487348</v>
      </c>
      <c r="N18">
        <v>2.160574</v>
      </c>
      <c r="O18">
        <v>14.619168999999999</v>
      </c>
      <c r="P18">
        <f t="shared" si="0"/>
        <v>3.6009566666666668E-5</v>
      </c>
      <c r="Q18" cm="1">
        <f t="array" ref="Q18">[1]!PropsSI("D","T",J18+273.15,"P",101325,"Water")</f>
        <v>985.01236889338645</v>
      </c>
      <c r="R18" cm="1">
        <f t="array" ref="R18">[1]!PropsSI("D","T",K18+273.15,"P",101325,"Water")</f>
        <v>986.90066396090958</v>
      </c>
      <c r="S18">
        <f t="shared" si="1"/>
        <v>985.95651642714802</v>
      </c>
      <c r="T18" cm="1">
        <f t="array" ref="T18">[1]!PropsSI("H","T",J18+273.15,"P",101325,"Water")</f>
        <v>236158.34524479092</v>
      </c>
      <c r="U18" cm="1">
        <f t="array" ref="U18">[1]!PropsSI("H","T",K18+273.15,"P",101325,"Water")</f>
        <v>219723.9585401963</v>
      </c>
      <c r="V18">
        <f t="shared" si="2"/>
        <v>583.48427828632919</v>
      </c>
    </row>
    <row r="19" spans="1:22" x14ac:dyDescent="0.2">
      <c r="A19">
        <v>46122.880328703701</v>
      </c>
      <c r="B19">
        <v>20.075423000000001</v>
      </c>
      <c r="C19">
        <v>20.256596999999999</v>
      </c>
      <c r="D19">
        <v>19.940695000000002</v>
      </c>
      <c r="E19">
        <v>20.030256000000001</v>
      </c>
      <c r="F19">
        <v>30.868383999999999</v>
      </c>
      <c r="G19">
        <v>28.162458999999998</v>
      </c>
      <c r="H19">
        <v>27.108277999999999</v>
      </c>
      <c r="I19">
        <v>23.456036000000001</v>
      </c>
      <c r="J19">
        <v>56.391263000000002</v>
      </c>
      <c r="K19">
        <v>52.465052</v>
      </c>
      <c r="L19">
        <v>114.26964</v>
      </c>
      <c r="M19">
        <v>-622.50163299999997</v>
      </c>
      <c r="N19">
        <v>2.1630199999999999</v>
      </c>
      <c r="O19">
        <v>14.926228</v>
      </c>
      <c r="P19">
        <f t="shared" si="0"/>
        <v>3.6050333333333329E-5</v>
      </c>
      <c r="Q19" cm="1">
        <f t="array" ref="Q19">[1]!PropsSI("D","T",J19+273.15,"P",101325,"Water")</f>
        <v>985.01346679692881</v>
      </c>
      <c r="R19" cm="1">
        <f t="array" ref="R19">[1]!PropsSI("D","T",K19+273.15,"P",101325,"Water")</f>
        <v>986.90036616023201</v>
      </c>
      <c r="S19">
        <f t="shared" si="1"/>
        <v>985.95691647858041</v>
      </c>
      <c r="T19" cm="1">
        <f t="array" ref="T19">[1]!PropsSI("H","T",J19+273.15,"P",101325,"Water")</f>
        <v>236149.02446270379</v>
      </c>
      <c r="U19" cm="1">
        <f t="array" ref="U19">[1]!PropsSI("H","T",K19+273.15,"P",101325,"Water")</f>
        <v>219726.61834862796</v>
      </c>
      <c r="V19">
        <f t="shared" si="2"/>
        <v>583.71924266845554</v>
      </c>
    </row>
    <row r="20" spans="1:22" x14ac:dyDescent="0.2">
      <c r="A20">
        <v>46122.880386574077</v>
      </c>
      <c r="B20">
        <v>20.021787</v>
      </c>
      <c r="C20">
        <v>20.153494999999999</v>
      </c>
      <c r="D20">
        <v>19.939526000000001</v>
      </c>
      <c r="E20">
        <v>20.059888999999998</v>
      </c>
      <c r="F20">
        <v>30.835217</v>
      </c>
      <c r="G20">
        <v>28.064831000000002</v>
      </c>
      <c r="H20">
        <v>26.812207999999998</v>
      </c>
      <c r="I20">
        <v>23.089866000000001</v>
      </c>
      <c r="J20">
        <v>56.393014000000001</v>
      </c>
      <c r="K20">
        <v>52.464575000000004</v>
      </c>
      <c r="L20">
        <v>106.63981800000001</v>
      </c>
      <c r="M20">
        <v>-622.49755100000004</v>
      </c>
      <c r="N20">
        <v>2.165127</v>
      </c>
      <c r="O20">
        <v>14.755371</v>
      </c>
      <c r="P20">
        <f t="shared" si="0"/>
        <v>3.6085450000000002E-5</v>
      </c>
      <c r="Q20" cm="1">
        <f t="array" ref="Q20">[1]!PropsSI("D","T",J20+273.15,"P",101325,"Water")</f>
        <v>985.01260394979852</v>
      </c>
      <c r="R20" cm="1">
        <f t="array" ref="R20">[1]!PropsSI("D","T",K20+273.15,"P",101325,"Water")</f>
        <v>986.90058951099206</v>
      </c>
      <c r="S20">
        <f t="shared" si="1"/>
        <v>985.95659673039529</v>
      </c>
      <c r="T20" cm="1">
        <f t="array" ref="T20">[1]!PropsSI("H","T",J20+273.15,"P",101325,"Water")</f>
        <v>236156.34972710055</v>
      </c>
      <c r="U20" cm="1">
        <f t="array" ref="U20">[1]!PropsSI("H","T",K20+273.15,"P",101325,"Water")</f>
        <v>219724.62349230828</v>
      </c>
      <c r="V20">
        <f t="shared" si="2"/>
        <v>584.61925235753597</v>
      </c>
    </row>
    <row r="21" spans="1:22" x14ac:dyDescent="0.2">
      <c r="A21">
        <v>46122.880445023147</v>
      </c>
      <c r="B21">
        <v>20.028396999999998</v>
      </c>
      <c r="C21">
        <v>20.117322999999999</v>
      </c>
      <c r="D21">
        <v>19.963957000000001</v>
      </c>
      <c r="E21">
        <v>20.066375000000001</v>
      </c>
      <c r="F21">
        <v>30.923389</v>
      </c>
      <c r="G21">
        <v>27.755538000000001</v>
      </c>
      <c r="H21">
        <v>27.166884</v>
      </c>
      <c r="I21">
        <v>23.095623</v>
      </c>
      <c r="J21">
        <v>56.396357000000002</v>
      </c>
      <c r="K21">
        <v>52.467754999999997</v>
      </c>
      <c r="L21">
        <v>104.23953</v>
      </c>
      <c r="M21">
        <v>-622.51550899999995</v>
      </c>
      <c r="N21">
        <v>2.1620900000000001</v>
      </c>
      <c r="O21">
        <v>14.9207</v>
      </c>
      <c r="P21">
        <f t="shared" si="0"/>
        <v>3.6034833333333336E-5</v>
      </c>
      <c r="Q21" cm="1">
        <f t="array" ref="Q21">[1]!PropsSI("D","T",J21+273.15,"P",101325,"Water")</f>
        <v>985.01095655449456</v>
      </c>
      <c r="R21" cm="1">
        <f t="array" ref="R21">[1]!PropsSI("D","T",K21+273.15,"P",101325,"Water")</f>
        <v>986.89910047845706</v>
      </c>
      <c r="S21">
        <f t="shared" si="1"/>
        <v>985.95502851647575</v>
      </c>
      <c r="T21" cm="1">
        <f t="array" ref="T21">[1]!PropsSI("H","T",J21+273.15,"P",101325,"Water")</f>
        <v>236170.33508663063</v>
      </c>
      <c r="U21" cm="1">
        <f t="array" ref="U21">[1]!PropsSI("H","T",K21+273.15,"P",101325,"Water")</f>
        <v>219737.92253616831</v>
      </c>
      <c r="V21">
        <f t="shared" si="2"/>
        <v>583.82266867478404</v>
      </c>
    </row>
    <row r="22" spans="1:22" x14ac:dyDescent="0.2">
      <c r="A22">
        <v>46122.880502893517</v>
      </c>
      <c r="B22">
        <v>20.057701000000002</v>
      </c>
      <c r="C22">
        <v>20.142431999999999</v>
      </c>
      <c r="D22">
        <v>19.980238</v>
      </c>
      <c r="E22">
        <v>20.069161999999999</v>
      </c>
      <c r="F22">
        <v>30.754211999999999</v>
      </c>
      <c r="G22">
        <v>28.021573</v>
      </c>
      <c r="H22">
        <v>27.151129999999998</v>
      </c>
      <c r="I22">
        <v>23.234432999999999</v>
      </c>
      <c r="J22">
        <v>56.395879000000001</v>
      </c>
      <c r="K22">
        <v>52.467596</v>
      </c>
      <c r="L22">
        <v>112.64849700000001</v>
      </c>
      <c r="M22">
        <v>-622.50040799999999</v>
      </c>
      <c r="N22">
        <v>2.1622699999999999</v>
      </c>
      <c r="O22">
        <v>14.828568000000001</v>
      </c>
      <c r="P22">
        <f t="shared" si="0"/>
        <v>3.6037833333333336E-5</v>
      </c>
      <c r="Q22" cm="1">
        <f t="array" ref="Q22">[1]!PropsSI("D","T",J22+273.15,"P",101325,"Water")</f>
        <v>985.01119211206151</v>
      </c>
      <c r="R22" cm="1">
        <f t="array" ref="R22">[1]!PropsSI("D","T",K22+273.15,"P",101325,"Water")</f>
        <v>986.89917493160078</v>
      </c>
      <c r="S22">
        <f t="shared" si="1"/>
        <v>985.95518352183115</v>
      </c>
      <c r="T22" cm="1">
        <f t="array" ref="T22">[1]!PropsSI("H","T",J22+273.15,"P",101325,"Water")</f>
        <v>236168.33538494396</v>
      </c>
      <c r="U22" cm="1">
        <f t="array" ref="U22">[1]!PropsSI("H","T",K22+273.15,"P",101325,"Water")</f>
        <v>219737.25758388839</v>
      </c>
      <c r="V22">
        <f t="shared" si="2"/>
        <v>583.8239394262838</v>
      </c>
    </row>
    <row r="23" spans="1:22" x14ac:dyDescent="0.2">
      <c r="A23">
        <v>46122.880561342594</v>
      </c>
      <c r="B23">
        <v>20.190871000000001</v>
      </c>
      <c r="C23">
        <v>20.282371000000001</v>
      </c>
      <c r="D23">
        <v>19.985969000000001</v>
      </c>
      <c r="E23">
        <v>20.025663000000002</v>
      </c>
      <c r="F23">
        <v>30.897911000000001</v>
      </c>
      <c r="G23">
        <v>27.786297999999999</v>
      </c>
      <c r="H23">
        <v>27.543986</v>
      </c>
      <c r="I23">
        <v>23.132652</v>
      </c>
      <c r="J23">
        <v>56.393172999999997</v>
      </c>
      <c r="K23">
        <v>52.466482999999997</v>
      </c>
      <c r="L23">
        <v>117.762935</v>
      </c>
      <c r="M23">
        <v>-622.49102100000005</v>
      </c>
      <c r="N23">
        <v>2.1627990000000001</v>
      </c>
      <c r="O23">
        <v>14.938224</v>
      </c>
      <c r="P23">
        <f t="shared" si="0"/>
        <v>3.6046649999999998E-5</v>
      </c>
      <c r="Q23" cm="1">
        <f t="array" ref="Q23">[1]!PropsSI("D","T",J23+273.15,"P",101325,"Water")</f>
        <v>985.01252559782097</v>
      </c>
      <c r="R23" cm="1">
        <f t="array" ref="R23">[1]!PropsSI("D","T",K23+273.15,"P",101325,"Water")</f>
        <v>986.89969609921013</v>
      </c>
      <c r="S23">
        <f t="shared" si="1"/>
        <v>985.95611084851555</v>
      </c>
      <c r="T23" cm="1">
        <f t="array" ref="T23">[1]!PropsSI("H","T",J23+273.15,"P",101325,"Water")</f>
        <v>236157.01489966086</v>
      </c>
      <c r="U23" cm="1">
        <f t="array" ref="U23">[1]!PropsSI("H","T",K23+273.15,"P",101325,"Water")</f>
        <v>219732.60291823655</v>
      </c>
      <c r="V23">
        <f t="shared" si="2"/>
        <v>583.7304153740921</v>
      </c>
    </row>
    <row r="24" spans="1:22" x14ac:dyDescent="0.2">
      <c r="A24">
        <v>46122.880619212963</v>
      </c>
      <c r="B24">
        <v>20.194078999999999</v>
      </c>
      <c r="C24">
        <v>20.188032</v>
      </c>
      <c r="D24">
        <v>19.943180999999999</v>
      </c>
      <c r="E24">
        <v>19.952062000000002</v>
      </c>
      <c r="F24">
        <v>30.939176</v>
      </c>
      <c r="G24">
        <v>27.868362000000001</v>
      </c>
      <c r="H24">
        <v>26.952639999999999</v>
      </c>
      <c r="I24">
        <v>23.06485</v>
      </c>
      <c r="J24">
        <v>56.390149000000001</v>
      </c>
      <c r="K24">
        <v>52.466324</v>
      </c>
      <c r="L24">
        <v>110.192702</v>
      </c>
      <c r="M24">
        <v>-622.53428399999996</v>
      </c>
      <c r="N24">
        <v>2.1629830000000001</v>
      </c>
      <c r="O24">
        <v>14.898410999999999</v>
      </c>
      <c r="P24">
        <f t="shared" si="0"/>
        <v>3.6049716666666672E-5</v>
      </c>
      <c r="Q24" cm="1">
        <f t="array" ref="Q24">[1]!PropsSI("D","T",J24+273.15,"P",101325,"Water")</f>
        <v>985.01401573730482</v>
      </c>
      <c r="R24" cm="1">
        <f t="array" ref="R24">[1]!PropsSI("D","T",K24+273.15,"P",101325,"Water")</f>
        <v>986.89977055107897</v>
      </c>
      <c r="S24">
        <f t="shared" si="1"/>
        <v>985.95689314419189</v>
      </c>
      <c r="T24" cm="1">
        <f t="array" ref="T24">[1]!PropsSI("H","T",J24+273.15,"P",101325,"Water")</f>
        <v>236144.36407237151</v>
      </c>
      <c r="U24" cm="1">
        <f t="array" ref="U24">[1]!PropsSI("H","T",K24+273.15,"P",101325,"Water")</f>
        <v>219731.93796600131</v>
      </c>
      <c r="V24">
        <f t="shared" si="2"/>
        <v>583.35451984895553</v>
      </c>
    </row>
    <row r="25" spans="1:22" x14ac:dyDescent="0.2">
      <c r="A25">
        <v>46122.880677083333</v>
      </c>
      <c r="B25">
        <v>20.193771999999999</v>
      </c>
      <c r="C25">
        <v>20.231612999999999</v>
      </c>
      <c r="D25">
        <v>19.881582999999999</v>
      </c>
      <c r="E25">
        <v>19.954749</v>
      </c>
      <c r="F25">
        <v>30.718340000000001</v>
      </c>
      <c r="G25">
        <v>27.888824</v>
      </c>
      <c r="H25">
        <v>27.213138000000001</v>
      </c>
      <c r="I25">
        <v>23.092583000000001</v>
      </c>
      <c r="J25">
        <v>56.390625999999997</v>
      </c>
      <c r="K25">
        <v>52.464416</v>
      </c>
      <c r="L25">
        <v>106.851236</v>
      </c>
      <c r="M25">
        <v>-622.51673400000004</v>
      </c>
      <c r="N25">
        <v>2.1531859999999998</v>
      </c>
      <c r="O25">
        <v>14.834859</v>
      </c>
      <c r="P25">
        <f t="shared" si="0"/>
        <v>3.5886433333333336E-5</v>
      </c>
      <c r="Q25" cm="1">
        <f t="array" ref="Q25">[1]!PropsSI("D","T",J25+273.15,"P",101325,"Water")</f>
        <v>985.01378068926249</v>
      </c>
      <c r="R25" cm="1">
        <f t="array" ref="R25">[1]!PropsSI("D","T",K25+273.15,"P",101325,"Water")</f>
        <v>986.90066396090958</v>
      </c>
      <c r="S25">
        <f t="shared" si="1"/>
        <v>985.95722232508604</v>
      </c>
      <c r="T25" cm="1">
        <f t="array" ref="T25">[1]!PropsSI("H","T",J25+273.15,"P",101325,"Water")</f>
        <v>236146.35958955085</v>
      </c>
      <c r="U25" cm="1">
        <f t="array" ref="U25">[1]!PropsSI("H","T",K25+273.15,"P",101325,"Water")</f>
        <v>219723.9585401963</v>
      </c>
      <c r="V25">
        <f t="shared" si="2"/>
        <v>581.06541017005156</v>
      </c>
    </row>
    <row r="26" spans="1:22" x14ac:dyDescent="0.2">
      <c r="A26">
        <v>46122.88073553241</v>
      </c>
      <c r="B26">
        <v>20.079612000000001</v>
      </c>
      <c r="C26">
        <v>20.147207000000002</v>
      </c>
      <c r="D26">
        <v>19.92906</v>
      </c>
      <c r="E26">
        <v>20.030919999999998</v>
      </c>
      <c r="F26">
        <v>30.579654000000001</v>
      </c>
      <c r="G26">
        <v>28.006419000000001</v>
      </c>
      <c r="H26">
        <v>27.127925999999999</v>
      </c>
      <c r="I26">
        <v>22.952714</v>
      </c>
      <c r="J26">
        <v>56.389034000000002</v>
      </c>
      <c r="K26">
        <v>52.459487000000003</v>
      </c>
      <c r="L26">
        <v>107.81241300000001</v>
      </c>
      <c r="M26">
        <v>-622.49755100000004</v>
      </c>
      <c r="N26">
        <v>2.1561560000000002</v>
      </c>
      <c r="O26">
        <v>14.728342</v>
      </c>
      <c r="P26">
        <f t="shared" si="0"/>
        <v>3.5935933333333336E-5</v>
      </c>
      <c r="Q26" cm="1">
        <f t="array" ref="Q26">[1]!PropsSI("D","T",J26+273.15,"P",101325,"Water")</f>
        <v>985.01456516287021</v>
      </c>
      <c r="R26" cm="1">
        <f t="array" ref="R26">[1]!PropsSI("D","T",K26+273.15,"P",101325,"Water")</f>
        <v>986.90297182886411</v>
      </c>
      <c r="S26">
        <f t="shared" si="1"/>
        <v>985.95876849586716</v>
      </c>
      <c r="T26" cm="1">
        <f t="array" ref="T26">[1]!PropsSI("H","T",J26+273.15,"P",101325,"Water")</f>
        <v>236139.69949900461</v>
      </c>
      <c r="U26" cm="1">
        <f t="array" ref="U26">[1]!PropsSI("H","T",K26+273.15,"P",101325,"Water")</f>
        <v>219703.34502887767</v>
      </c>
      <c r="V26">
        <f t="shared" si="2"/>
        <v>582.36220451825363</v>
      </c>
    </row>
    <row r="27" spans="1:22" x14ac:dyDescent="0.2">
      <c r="A27">
        <v>46122.880793402779</v>
      </c>
      <c r="B27">
        <v>20.082438</v>
      </c>
      <c r="C27">
        <v>20.229188000000001</v>
      </c>
      <c r="D27">
        <v>19.942540999999999</v>
      </c>
      <c r="E27">
        <v>20.100095</v>
      </c>
      <c r="F27">
        <v>30.704609999999999</v>
      </c>
      <c r="G27">
        <v>28.062774999999998</v>
      </c>
      <c r="H27">
        <v>27.459820000000001</v>
      </c>
      <c r="I27">
        <v>22.578799</v>
      </c>
      <c r="J27">
        <v>56.390467000000001</v>
      </c>
      <c r="K27">
        <v>52.459169000000003</v>
      </c>
      <c r="L27">
        <v>101.43640499999999</v>
      </c>
      <c r="M27">
        <v>-622.46734900000001</v>
      </c>
      <c r="N27">
        <v>2.1634220000000002</v>
      </c>
      <c r="O27">
        <v>14.905628999999999</v>
      </c>
      <c r="P27">
        <f t="shared" si="0"/>
        <v>3.6057033333333337E-5</v>
      </c>
      <c r="Q27" cm="1">
        <f t="array" ref="Q27">[1]!PropsSI("D","T",J27+273.15,"P",101325,"Water")</f>
        <v>985.01385903876462</v>
      </c>
      <c r="R27" cm="1">
        <f t="array" ref="R27">[1]!PropsSI("D","T",K27+273.15,"P",101325,"Water")</f>
        <v>986.90312071824383</v>
      </c>
      <c r="S27">
        <f t="shared" si="1"/>
        <v>985.95848987850422</v>
      </c>
      <c r="T27" cm="1">
        <f t="array" ref="T27">[1]!PropsSI("H","T",J27+273.15,"P",101325,"Water")</f>
        <v>236145.69441715491</v>
      </c>
      <c r="U27" cm="1">
        <f t="array" ref="U27">[1]!PropsSI("H","T",K27+273.15,"P",101325,"Water")</f>
        <v>219702.01512519908</v>
      </c>
      <c r="V27">
        <f t="shared" si="2"/>
        <v>584.58493648148533</v>
      </c>
    </row>
    <row r="28" spans="1:22" x14ac:dyDescent="0.2">
      <c r="A28">
        <v>46122.880851851849</v>
      </c>
      <c r="B28">
        <v>20.098043000000001</v>
      </c>
      <c r="C28">
        <v>20.138546999999999</v>
      </c>
      <c r="D28">
        <v>19.920866</v>
      </c>
      <c r="E28">
        <v>20.071292</v>
      </c>
      <c r="F28">
        <v>30.804697000000001</v>
      </c>
      <c r="G28">
        <v>27.754716999999999</v>
      </c>
      <c r="H28">
        <v>27.279972999999998</v>
      </c>
      <c r="I28">
        <v>23.134454000000002</v>
      </c>
      <c r="J28">
        <v>56.395083</v>
      </c>
      <c r="K28">
        <v>52.456147999999999</v>
      </c>
      <c r="L28">
        <v>113.37580699999999</v>
      </c>
      <c r="M28">
        <v>-622.44775800000002</v>
      </c>
      <c r="N28">
        <v>2.1630449999999999</v>
      </c>
      <c r="O28">
        <v>14.936534</v>
      </c>
      <c r="P28">
        <f t="shared" si="0"/>
        <v>3.6050749999999994E-5</v>
      </c>
      <c r="Q28" cm="1">
        <f t="array" ref="Q28">[1]!PropsSI("D","T",J28+273.15,"P",101325,"Water")</f>
        <v>985.01158437637832</v>
      </c>
      <c r="R28" cm="1">
        <f t="array" ref="R28">[1]!PropsSI("D","T",K28+273.15,"P",101325,"Water")</f>
        <v>986.9045351351923</v>
      </c>
      <c r="S28">
        <f t="shared" si="1"/>
        <v>985.95805975578537</v>
      </c>
      <c r="T28" cm="1">
        <f t="array" ref="T28">[1]!PropsSI("H","T",J28+273.15,"P",101325,"Water")</f>
        <v>236165.00533798529</v>
      </c>
      <c r="U28" cm="1">
        <f t="array" ref="U28">[1]!PropsSI("H","T",K28+273.15,"P",101325,"Water")</f>
        <v>219689.38104183061</v>
      </c>
      <c r="V28">
        <f t="shared" si="2"/>
        <v>585.61828124900831</v>
      </c>
    </row>
    <row r="29" spans="1:22" x14ac:dyDescent="0.2">
      <c r="A29">
        <v>46122.880909722226</v>
      </c>
      <c r="B29">
        <v>20.154838999999999</v>
      </c>
      <c r="C29">
        <v>20.132635000000001</v>
      </c>
      <c r="D29">
        <v>19.973925999999999</v>
      </c>
      <c r="E29">
        <v>20.061765999999999</v>
      </c>
      <c r="F29">
        <v>30.793236</v>
      </c>
      <c r="G29">
        <v>28.073308999999998</v>
      </c>
      <c r="H29">
        <v>27.128896999999998</v>
      </c>
      <c r="I29">
        <v>22.878851999999998</v>
      </c>
      <c r="J29">
        <v>56.397629999999999</v>
      </c>
      <c r="K29">
        <v>52.461872</v>
      </c>
      <c r="L29">
        <v>108.068318</v>
      </c>
      <c r="M29">
        <v>-622.48040900000001</v>
      </c>
      <c r="N29">
        <v>2.1616270000000002</v>
      </c>
      <c r="O29">
        <v>14.899706999999999</v>
      </c>
      <c r="P29">
        <f t="shared" si="0"/>
        <v>3.6027116666666669E-5</v>
      </c>
      <c r="Q29" cm="1">
        <f t="array" ref="Q29">[1]!PropsSI("D","T",J29+273.15,"P",101325,"Water")</f>
        <v>985.01032921547437</v>
      </c>
      <c r="R29" cm="1">
        <f t="array" ref="R29">[1]!PropsSI("D","T",K29+273.15,"P",101325,"Water")</f>
        <v>986.90185513793369</v>
      </c>
      <c r="S29">
        <f t="shared" si="1"/>
        <v>985.95609217670403</v>
      </c>
      <c r="T29" cm="1">
        <f t="array" ref="T29">[1]!PropsSI("H","T",J29+273.15,"P",101325,"Water")</f>
        <v>236175.66065247409</v>
      </c>
      <c r="U29" cm="1">
        <f t="array" ref="U29">[1]!PropsSI("H","T",K29+273.15,"P",101325,"Water")</f>
        <v>219713.31930756732</v>
      </c>
      <c r="V29">
        <f t="shared" si="2"/>
        <v>584.76138122678105</v>
      </c>
    </row>
    <row r="30" spans="1:22" x14ac:dyDescent="0.2">
      <c r="A30">
        <v>46122.880968171296</v>
      </c>
      <c r="B30">
        <v>20.085343999999999</v>
      </c>
      <c r="C30">
        <v>20.096463</v>
      </c>
      <c r="D30">
        <v>19.963298999999999</v>
      </c>
      <c r="E30">
        <v>20.034016000000001</v>
      </c>
      <c r="F30">
        <v>30.951360999999999</v>
      </c>
      <c r="G30">
        <v>27.819232</v>
      </c>
      <c r="H30">
        <v>27.320633000000001</v>
      </c>
      <c r="I30">
        <v>22.799989</v>
      </c>
      <c r="J30">
        <v>56.400494999999999</v>
      </c>
      <c r="K30">
        <v>52.465528999999997</v>
      </c>
      <c r="L30">
        <v>99.842198999999994</v>
      </c>
      <c r="M30">
        <v>-622.46122600000001</v>
      </c>
      <c r="N30">
        <v>2.1628440000000002</v>
      </c>
      <c r="O30">
        <v>14.786327999999999</v>
      </c>
      <c r="P30">
        <f t="shared" si="0"/>
        <v>3.6047400000000003E-5</v>
      </c>
      <c r="Q30" cm="1">
        <f t="array" ref="Q30">[1]!PropsSI("D","T",J30+273.15,"P",101325,"Water")</f>
        <v>985.00891729682496</v>
      </c>
      <c r="R30" cm="1">
        <f t="array" ref="R30">[1]!PropsSI("D","T",K30+273.15,"P",101325,"Water")</f>
        <v>986.90014280798141</v>
      </c>
      <c r="S30">
        <f t="shared" si="1"/>
        <v>985.95453005240324</v>
      </c>
      <c r="T30" cm="1">
        <f t="array" ref="T30">[1]!PropsSI("H","T",J30+273.15,"P",101325,"Water")</f>
        <v>236187.6463153761</v>
      </c>
      <c r="U30" cm="1">
        <f t="array" ref="U30">[1]!PropsSI("H","T",K30+273.15,"P",101325,"Water")</f>
        <v>219728.6132051115</v>
      </c>
      <c r="V30">
        <f t="shared" si="2"/>
        <v>584.97209767382719</v>
      </c>
    </row>
    <row r="31" spans="1:22" x14ac:dyDescent="0.2">
      <c r="A31">
        <v>46122.881026041665</v>
      </c>
      <c r="B31">
        <v>20.046126000000001</v>
      </c>
      <c r="C31">
        <v>20.174377</v>
      </c>
      <c r="D31">
        <v>19.958780000000001</v>
      </c>
      <c r="E31">
        <v>20.017595</v>
      </c>
      <c r="F31">
        <v>30.814533000000001</v>
      </c>
      <c r="G31">
        <v>27.992961999999999</v>
      </c>
      <c r="H31">
        <v>26.520167000000001</v>
      </c>
      <c r="I31">
        <v>22.920629000000002</v>
      </c>
      <c r="J31">
        <v>56.401131999999997</v>
      </c>
      <c r="K31">
        <v>52.467436999999997</v>
      </c>
      <c r="L31">
        <v>105.234582</v>
      </c>
      <c r="M31">
        <v>-622.49142900000004</v>
      </c>
      <c r="N31">
        <v>2.1614140000000002</v>
      </c>
      <c r="O31">
        <v>14.927536999999999</v>
      </c>
      <c r="P31">
        <f t="shared" si="0"/>
        <v>3.6023566666666672E-5</v>
      </c>
      <c r="Q31" cm="1">
        <f t="array" ref="Q31">[1]!PropsSI("D","T",J31+273.15,"P",101325,"Water")</f>
        <v>985.00860336601932</v>
      </c>
      <c r="R31" cm="1">
        <f t="array" ref="R31">[1]!PropsSI("D","T",K31+273.15,"P",101325,"Water")</f>
        <v>986.89924938460911</v>
      </c>
      <c r="S31">
        <f t="shared" si="1"/>
        <v>985.95392637531427</v>
      </c>
      <c r="T31" cm="1">
        <f t="array" ref="T31">[1]!PropsSI("H","T",J31+273.15,"P",101325,"Water")</f>
        <v>236190.31119095499</v>
      </c>
      <c r="U31" cm="1">
        <f t="array" ref="U31">[1]!PropsSI("H","T",K31+273.15,"P",101325,"Water")</f>
        <v>219736.5926316079</v>
      </c>
      <c r="V31">
        <f t="shared" si="2"/>
        <v>584.39621581928407</v>
      </c>
    </row>
    <row r="32" spans="1:22" x14ac:dyDescent="0.2">
      <c r="A32">
        <v>46122.881084490742</v>
      </c>
      <c r="B32">
        <v>20.050146999999999</v>
      </c>
      <c r="C32">
        <v>20.166520999999999</v>
      </c>
      <c r="D32">
        <v>19.954872999999999</v>
      </c>
      <c r="E32">
        <v>20.007522999999999</v>
      </c>
      <c r="F32">
        <v>30.723489000000001</v>
      </c>
      <c r="G32">
        <v>27.901295999999999</v>
      </c>
      <c r="H32">
        <v>26.879733000000002</v>
      </c>
      <c r="I32">
        <v>22.960837000000001</v>
      </c>
      <c r="J32">
        <v>56.403359999999999</v>
      </c>
      <c r="K32">
        <v>52.471888999999997</v>
      </c>
      <c r="L32">
        <v>107.535692</v>
      </c>
      <c r="M32">
        <v>-622.46041000000002</v>
      </c>
      <c r="N32">
        <v>2.162963</v>
      </c>
      <c r="O32">
        <v>14.258368000000001</v>
      </c>
      <c r="P32">
        <f t="shared" si="0"/>
        <v>3.6049383333333331E-5</v>
      </c>
      <c r="Q32" cm="1">
        <f t="array" ref="Q32">[1]!PropsSI("D","T",J32+273.15,"P",101325,"Water")</f>
        <v>985.00750532792665</v>
      </c>
      <c r="R32" cm="1">
        <f t="array" ref="R32">[1]!PropsSI("D","T",K32+273.15,"P",101325,"Water")</f>
        <v>986.89716463970365</v>
      </c>
      <c r="S32">
        <f t="shared" si="1"/>
        <v>985.95233498381515</v>
      </c>
      <c r="T32" cm="1">
        <f t="array" ref="T32">[1]!PropsSI("H","T",J32+273.15,"P",101325,"Water")</f>
        <v>236199.6319814662</v>
      </c>
      <c r="U32" cm="1">
        <f t="array" ref="U32">[1]!PropsSI("H","T",K32+273.15,"P",101325,"Water")</f>
        <v>219755.21129805958</v>
      </c>
      <c r="V32">
        <f t="shared" si="2"/>
        <v>584.4836114053403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7373-1BF9-DE49-BDFA-75A3FE6514B6}">
  <dimension ref="A1:W57"/>
  <sheetViews>
    <sheetView topLeftCell="J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44660.882307870503</v>
      </c>
      <c r="B2">
        <v>20.318750000000001</v>
      </c>
      <c r="C2">
        <v>20.282871</v>
      </c>
      <c r="D2">
        <v>20.029418</v>
      </c>
      <c r="E2">
        <v>20.045228000000002</v>
      </c>
      <c r="F2">
        <v>30.172077000000002</v>
      </c>
      <c r="G2">
        <v>26.634195999999999</v>
      </c>
      <c r="H2">
        <v>26.025479000000001</v>
      </c>
      <c r="I2">
        <v>22.561492000000001</v>
      </c>
      <c r="J2">
        <v>56.390785000000001</v>
      </c>
      <c r="K2">
        <v>52.245483999999998</v>
      </c>
      <c r="L2">
        <v>144.61914100000001</v>
      </c>
      <c r="M2">
        <v>-622.50408100000004</v>
      </c>
      <c r="N2">
        <v>2.1614550000000001</v>
      </c>
      <c r="O2">
        <v>14.938428</v>
      </c>
      <c r="P2">
        <f t="shared" ref="P2:P65" si="0" xml:space="preserve"> N2*0.001/60</f>
        <v>3.6024250000000003E-5</v>
      </c>
      <c r="Q2" cm="1">
        <f t="array" ref="Q2">[1]!PropsSI("D","T",J2+273.15,"P",101325,"Water")</f>
        <v>985.01370233960176</v>
      </c>
      <c r="R2" cm="1">
        <f t="array" ref="R2">[1]!PropsSI("D","T",K2+273.15,"P",101325,"Water")</f>
        <v>987.00302324592951</v>
      </c>
      <c r="S2">
        <f t="shared" ref="S2:S65" si="1">(Q2+R2)/2</f>
        <v>986.00836279276564</v>
      </c>
      <c r="T2" cm="1">
        <f t="array" ref="T2">[1]!PropsSI("H","T",J2+273.15,"P",101325,"Water")</f>
        <v>236147.02476193561</v>
      </c>
      <c r="U2" cm="1">
        <f t="array" ref="U2">[1]!PropsSI("H","T",K2+273.15,"P",101325,"Water")</f>
        <v>218808.37319843186</v>
      </c>
      <c r="V2">
        <f t="shared" ref="V2:V65" si="2">S2*P2*(T2-U2)</f>
        <v>615.87257522637242</v>
      </c>
      <c r="W2" s="2">
        <f>AVERAGE(V4:V57)</f>
        <v>619.37411615765166</v>
      </c>
    </row>
    <row r="3" spans="1:23" x14ac:dyDescent="0.2">
      <c r="A3">
        <v>44660.882366319602</v>
      </c>
      <c r="B3">
        <v>20.161846000000001</v>
      </c>
      <c r="C3">
        <v>20.225961000000002</v>
      </c>
      <c r="D3">
        <v>20.027304999999998</v>
      </c>
      <c r="E3">
        <v>20.025903</v>
      </c>
      <c r="F3">
        <v>30.043184</v>
      </c>
      <c r="G3">
        <v>26.863923</v>
      </c>
      <c r="H3">
        <v>26.163989000000001</v>
      </c>
      <c r="I3">
        <v>22.463267999999999</v>
      </c>
      <c r="J3">
        <v>56.389830000000003</v>
      </c>
      <c r="K3">
        <v>52.236262000000004</v>
      </c>
      <c r="L3">
        <v>142.35149899999999</v>
      </c>
      <c r="M3">
        <v>-622.46449199999995</v>
      </c>
      <c r="N3">
        <v>2.1534599999999999</v>
      </c>
      <c r="O3">
        <v>14.756413</v>
      </c>
      <c r="P3">
        <f t="shared" si="0"/>
        <v>3.5890999999999999E-5</v>
      </c>
      <c r="Q3" cm="1">
        <f t="array" ref="Q3">[1]!PropsSI("D","T",J3+273.15,"P",101325,"Water")</f>
        <v>985.01417292800477</v>
      </c>
      <c r="R3" cm="1">
        <f t="array" ref="R3">[1]!PropsSI("D","T",K3+273.15,"P",101325,"Water")</f>
        <v>987.00732816974039</v>
      </c>
      <c r="S3">
        <f t="shared" si="1"/>
        <v>986.01075054887258</v>
      </c>
      <c r="T3" cm="1">
        <f t="array" ref="T3">[1]!PropsSI("H","T",J3+273.15,"P",101325,"Water")</f>
        <v>236143.02954418535</v>
      </c>
      <c r="U3" cm="1">
        <f t="array" ref="U3">[1]!PropsSI("H","T",K3+273.15,"P",101325,"Water")</f>
        <v>218769.80663770199</v>
      </c>
      <c r="V3">
        <f t="shared" si="2"/>
        <v>614.81945395231833</v>
      </c>
      <c r="W3" s="2"/>
    </row>
    <row r="4" spans="1:23" x14ac:dyDescent="0.2">
      <c r="A4">
        <v>44660.88242419</v>
      </c>
      <c r="B4">
        <v>20.090139000000001</v>
      </c>
      <c r="C4">
        <v>20.100057</v>
      </c>
      <c r="D4">
        <v>19.965267999999998</v>
      </c>
      <c r="E4">
        <v>20.024016</v>
      </c>
      <c r="F4">
        <v>30.06541</v>
      </c>
      <c r="G4">
        <v>26.872323000000002</v>
      </c>
      <c r="H4">
        <v>26.216830000000002</v>
      </c>
      <c r="I4">
        <v>22.884249000000001</v>
      </c>
      <c r="J4">
        <v>56.392059000000003</v>
      </c>
      <c r="K4">
        <v>52.227677</v>
      </c>
      <c r="L4">
        <v>147.379819</v>
      </c>
      <c r="M4">
        <v>-622.49428599999999</v>
      </c>
      <c r="N4">
        <v>2.1627169999999998</v>
      </c>
      <c r="O4">
        <v>14.926342</v>
      </c>
      <c r="P4">
        <f t="shared" si="0"/>
        <v>3.6045283333333329E-5</v>
      </c>
      <c r="Q4" cm="1">
        <f t="array" ref="Q4">[1]!PropsSI("D","T",J4+273.15,"P",101325,"Water")</f>
        <v>985.01307455122844</v>
      </c>
      <c r="R4" cm="1">
        <f t="array" ref="R4">[1]!PropsSI("D","T",K4+273.15,"P",101325,"Water")</f>
        <v>987.01133524657871</v>
      </c>
      <c r="S4">
        <f t="shared" si="1"/>
        <v>986.01220489890352</v>
      </c>
      <c r="T4" cm="1">
        <f t="array" ref="T4">[1]!PropsSI("H","T",J4+273.15,"P",101325,"Water")</f>
        <v>236152.35450848812</v>
      </c>
      <c r="U4" cm="1">
        <f t="array" ref="U4">[1]!PropsSI("H","T",K4+273.15,"P",101325,"Water")</f>
        <v>218733.90404619722</v>
      </c>
      <c r="V4">
        <f t="shared" si="2"/>
        <v>619.07070327310703</v>
      </c>
      <c r="W4" s="2"/>
    </row>
    <row r="5" spans="1:23" x14ac:dyDescent="0.2">
      <c r="A5">
        <v>44660.882482060399</v>
      </c>
      <c r="B5">
        <v>20.072586000000001</v>
      </c>
      <c r="C5">
        <v>20.276306000000002</v>
      </c>
      <c r="D5">
        <v>19.971083</v>
      </c>
      <c r="E5">
        <v>20.074576</v>
      </c>
      <c r="F5">
        <v>30.042235999999999</v>
      </c>
      <c r="G5">
        <v>26.704252</v>
      </c>
      <c r="H5">
        <v>25.772573000000001</v>
      </c>
      <c r="I5">
        <v>22.641787000000001</v>
      </c>
      <c r="J5">
        <v>56.391103999999999</v>
      </c>
      <c r="K5">
        <v>52.222431</v>
      </c>
      <c r="L5">
        <v>141.849076</v>
      </c>
      <c r="M5">
        <v>-622.48612300000002</v>
      </c>
      <c r="N5">
        <v>2.1627990000000001</v>
      </c>
      <c r="O5">
        <v>14.711644</v>
      </c>
      <c r="P5">
        <f t="shared" si="0"/>
        <v>3.6046649999999998E-5</v>
      </c>
      <c r="Q5" cm="1">
        <f t="array" ref="Q5">[1]!PropsSI("D","T",J5+273.15,"P",101325,"Water")</f>
        <v>985.01354514704724</v>
      </c>
      <c r="R5" cm="1">
        <f t="array" ref="R5">[1]!PropsSI("D","T",K5+273.15,"P",101325,"Water")</f>
        <v>987.01378360221156</v>
      </c>
      <c r="S5">
        <f t="shared" si="1"/>
        <v>986.01366437462934</v>
      </c>
      <c r="T5" cm="1">
        <f t="array" ref="T5">[1]!PropsSI("H","T",J5+273.15,"P",101325,"Water")</f>
        <v>236148.35929027389</v>
      </c>
      <c r="U5" cm="1">
        <f t="array" ref="U5">[1]!PropsSI("H","T",K5+273.15,"P",101325,"Water")</f>
        <v>218711.96521144247</v>
      </c>
      <c r="V5">
        <f t="shared" si="2"/>
        <v>619.73285267886502</v>
      </c>
      <c r="W5" s="2"/>
    </row>
    <row r="6" spans="1:23" x14ac:dyDescent="0.2">
      <c r="A6">
        <v>46122.882540509258</v>
      </c>
      <c r="B6">
        <v>20.151074000000001</v>
      </c>
      <c r="C6">
        <v>20.252662999999998</v>
      </c>
      <c r="D6">
        <v>20.017554000000001</v>
      </c>
      <c r="E6">
        <v>20.078520999999999</v>
      </c>
      <c r="F6">
        <v>30.088187999999999</v>
      </c>
      <c r="G6">
        <v>26.720506</v>
      </c>
      <c r="H6">
        <v>25.971639</v>
      </c>
      <c r="I6">
        <v>22.851973000000001</v>
      </c>
      <c r="J6">
        <v>56.394924000000003</v>
      </c>
      <c r="K6">
        <v>52.223861999999997</v>
      </c>
      <c r="L6">
        <v>147.68633399999999</v>
      </c>
      <c r="M6">
        <v>-622.49918400000001</v>
      </c>
      <c r="N6">
        <v>2.1636799999999998</v>
      </c>
      <c r="O6">
        <v>14.932213000000001</v>
      </c>
      <c r="P6">
        <f t="shared" si="0"/>
        <v>3.6061333333333333E-5</v>
      </c>
      <c r="Q6" cm="1">
        <f t="array" ref="Q6">[1]!PropsSI("D","T",J6+273.15,"P",101325,"Water")</f>
        <v>985.01166273022682</v>
      </c>
      <c r="R6" cm="1">
        <f t="array" ref="R6">[1]!PropsSI("D","T",K6+273.15,"P",101325,"Water")</f>
        <v>987.01311575905868</v>
      </c>
      <c r="S6">
        <f t="shared" si="1"/>
        <v>986.01238924464269</v>
      </c>
      <c r="T6" cm="1">
        <f t="array" ref="T6">[1]!PropsSI("H","T",J6+273.15,"P",101325,"Water")</f>
        <v>236164.34016529846</v>
      </c>
      <c r="U6" cm="1">
        <f t="array" ref="U6">[1]!PropsSI("H","T",K6+273.15,"P",101325,"Water")</f>
        <v>218717.94966964764</v>
      </c>
      <c r="V6">
        <f t="shared" si="2"/>
        <v>620.33993625403457</v>
      </c>
      <c r="W6" s="2"/>
    </row>
    <row r="7" spans="1:23" x14ac:dyDescent="0.2">
      <c r="A7">
        <v>46122.882598379627</v>
      </c>
      <c r="B7">
        <v>20.268179</v>
      </c>
      <c r="C7">
        <v>20.168171000000001</v>
      </c>
      <c r="D7">
        <v>19.968363</v>
      </c>
      <c r="E7">
        <v>19.980892999999998</v>
      </c>
      <c r="F7">
        <v>30.175488999999999</v>
      </c>
      <c r="G7">
        <v>26.930399999999999</v>
      </c>
      <c r="H7">
        <v>26.182791000000002</v>
      </c>
      <c r="I7">
        <v>22.778074</v>
      </c>
      <c r="J7">
        <v>56.396037999999997</v>
      </c>
      <c r="K7">
        <v>52.220363999999996</v>
      </c>
      <c r="L7">
        <v>150.133151</v>
      </c>
      <c r="M7">
        <v>-622.48489900000004</v>
      </c>
      <c r="N7">
        <v>2.1623480000000002</v>
      </c>
      <c r="O7">
        <v>14.853336000000001</v>
      </c>
      <c r="P7">
        <f t="shared" si="0"/>
        <v>3.6039133333333339E-5</v>
      </c>
      <c r="Q7" cm="1">
        <f t="array" ref="Q7">[1]!PropsSI("D","T",J7+273.15,"P",101325,"Water")</f>
        <v>985.0111137572942</v>
      </c>
      <c r="R7" cm="1">
        <f t="array" ref="R7">[1]!PropsSI("D","T",K7+273.15,"P",101325,"Water")</f>
        <v>987.01474824144111</v>
      </c>
      <c r="S7">
        <f t="shared" si="1"/>
        <v>986.01293099936765</v>
      </c>
      <c r="T7" cm="1">
        <f t="array" ref="T7">[1]!PropsSI("H","T",J7+273.15,"P",101325,"Water")</f>
        <v>236169.00055767928</v>
      </c>
      <c r="U7" cm="1">
        <f t="array" ref="U7">[1]!PropsSI("H","T",K7+273.15,"P",101325,"Water")</f>
        <v>218703.3209951412</v>
      </c>
      <c r="V7">
        <f t="shared" si="2"/>
        <v>620.64382253952431</v>
      </c>
      <c r="W7" s="2"/>
    </row>
    <row r="8" spans="1:23" x14ac:dyDescent="0.2">
      <c r="A8">
        <v>46122.882656828704</v>
      </c>
      <c r="B8">
        <v>20.22945</v>
      </c>
      <c r="C8">
        <v>20.349644999999999</v>
      </c>
      <c r="D8">
        <v>20.084114</v>
      </c>
      <c r="E8">
        <v>20.143936</v>
      </c>
      <c r="F8">
        <v>30.162441999999999</v>
      </c>
      <c r="G8">
        <v>27.116161000000002</v>
      </c>
      <c r="H8">
        <v>26.062028000000002</v>
      </c>
      <c r="I8">
        <v>22.648178000000001</v>
      </c>
      <c r="J8">
        <v>56.397153000000003</v>
      </c>
      <c r="K8">
        <v>52.222749</v>
      </c>
      <c r="L8">
        <v>151.35145700000001</v>
      </c>
      <c r="M8">
        <v>-622.480817</v>
      </c>
      <c r="N8">
        <v>2.158922</v>
      </c>
      <c r="O8">
        <v>14.933128</v>
      </c>
      <c r="P8">
        <f t="shared" si="0"/>
        <v>3.5982033333333336E-5</v>
      </c>
      <c r="Q8" cm="1">
        <f t="array" ref="Q8">[1]!PropsSI("D","T",J8+273.15,"P",101325,"Water")</f>
        <v>985.01056428396919</v>
      </c>
      <c r="R8" cm="1">
        <f t="array" ref="R8">[1]!PropsSI("D","T",K8+273.15,"P",101325,"Water")</f>
        <v>987.01363519376423</v>
      </c>
      <c r="S8">
        <f t="shared" si="1"/>
        <v>986.01209973886671</v>
      </c>
      <c r="T8" cm="1">
        <f t="array" ref="T8">[1]!PropsSI("H","T",J8+273.15,"P",101325,"Water")</f>
        <v>236173.66513401011</v>
      </c>
      <c r="U8" cm="1">
        <f t="array" ref="U8">[1]!PropsSI("H","T",K8+273.15,"P",101325,"Water")</f>
        <v>218713.29509093624</v>
      </c>
      <c r="V8">
        <f t="shared" si="2"/>
        <v>619.47158404289269</v>
      </c>
      <c r="W8" s="2"/>
    </row>
    <row r="9" spans="1:23" x14ac:dyDescent="0.2">
      <c r="A9">
        <v>46122.882714699073</v>
      </c>
      <c r="B9">
        <v>20.280978999999999</v>
      </c>
      <c r="C9">
        <v>20.266311000000002</v>
      </c>
      <c r="D9">
        <v>20.189983000000002</v>
      </c>
      <c r="E9">
        <v>20.229648000000001</v>
      </c>
      <c r="F9">
        <v>30.208366000000002</v>
      </c>
      <c r="G9">
        <v>27.063894999999999</v>
      </c>
      <c r="H9">
        <v>26.053571000000002</v>
      </c>
      <c r="I9">
        <v>22.834332</v>
      </c>
      <c r="J9">
        <v>56.390467000000001</v>
      </c>
      <c r="K9">
        <v>52.222907999999997</v>
      </c>
      <c r="L9">
        <v>149.01892100000001</v>
      </c>
      <c r="M9">
        <v>-622.48938799999996</v>
      </c>
      <c r="N9">
        <v>2.1604920000000001</v>
      </c>
      <c r="O9">
        <v>14.860961</v>
      </c>
      <c r="P9">
        <f t="shared" si="0"/>
        <v>3.6008199999999999E-5</v>
      </c>
      <c r="Q9" cm="1">
        <f t="array" ref="Q9">[1]!PropsSI("D","T",J9+273.15,"P",101325,"Water")</f>
        <v>985.01385903876462</v>
      </c>
      <c r="R9" cm="1">
        <f t="array" ref="R9">[1]!PropsSI("D","T",K9+273.15,"P",101325,"Water")</f>
        <v>987.01356098927306</v>
      </c>
      <c r="S9">
        <f t="shared" si="1"/>
        <v>986.0137100140189</v>
      </c>
      <c r="T9" cm="1">
        <f t="array" ref="T9">[1]!PropsSI("H","T",J9+273.15,"P",101325,"Water")</f>
        <v>236145.69441715491</v>
      </c>
      <c r="U9" cm="1">
        <f t="array" ref="U9">[1]!PropsSI("H","T",K9+273.15,"P",101325,"Water")</f>
        <v>218713.96003079106</v>
      </c>
      <c r="V9">
        <f t="shared" si="2"/>
        <v>618.90638841256555</v>
      </c>
      <c r="W9" s="2"/>
    </row>
    <row r="10" spans="1:23" x14ac:dyDescent="0.2">
      <c r="A10">
        <v>44660.882773148303</v>
      </c>
      <c r="B10">
        <v>20.525856000000001</v>
      </c>
      <c r="C10">
        <v>20.518657999999999</v>
      </c>
      <c r="D10">
        <v>20.139602</v>
      </c>
      <c r="E10">
        <v>20.199773</v>
      </c>
      <c r="F10">
        <v>30.358792000000001</v>
      </c>
      <c r="G10">
        <v>26.944700000000001</v>
      </c>
      <c r="H10">
        <v>26.110809</v>
      </c>
      <c r="I10">
        <v>22.915375999999998</v>
      </c>
      <c r="J10">
        <v>56.388874999999999</v>
      </c>
      <c r="K10">
        <v>52.226723</v>
      </c>
      <c r="L10">
        <v>148.26671400000001</v>
      </c>
      <c r="M10">
        <v>-622.50163299999997</v>
      </c>
      <c r="N10">
        <v>2.1613850000000001</v>
      </c>
      <c r="O10">
        <v>14.967617000000001</v>
      </c>
      <c r="P10">
        <f t="shared" si="0"/>
        <v>3.6023083333333334E-5</v>
      </c>
      <c r="Q10" cm="1">
        <f t="array" ref="Q10">[1]!PropsSI("D","T",J10+273.15,"P",101325,"Water")</f>
        <v>985.01464351080926</v>
      </c>
      <c r="R10" cm="1">
        <f t="array" ref="R10">[1]!PropsSI("D","T",K10+273.15,"P",101325,"Water")</f>
        <v>987.01178050009685</v>
      </c>
      <c r="S10">
        <f t="shared" si="1"/>
        <v>986.01321200545306</v>
      </c>
      <c r="T10" cm="1">
        <f t="array" ref="T10">[1]!PropsSI("H","T",J10+273.15,"P",101325,"Water")</f>
        <v>236139.03432669849</v>
      </c>
      <c r="U10" cm="1">
        <f t="array" ref="U10">[1]!PropsSI("H","T",K10+273.15,"P",101325,"Water")</f>
        <v>218729.91440608789</v>
      </c>
      <c r="V10">
        <f t="shared" si="2"/>
        <v>618.35864082023386</v>
      </c>
    </row>
    <row r="11" spans="1:23" x14ac:dyDescent="0.2">
      <c r="A11">
        <v>44660.882831018702</v>
      </c>
      <c r="B11">
        <v>20.331792</v>
      </c>
      <c r="C11">
        <v>20.542581999999999</v>
      </c>
      <c r="D11">
        <v>20.181168</v>
      </c>
      <c r="E11">
        <v>20.450181000000001</v>
      </c>
      <c r="F11">
        <v>30.277683</v>
      </c>
      <c r="G11">
        <v>26.954989999999999</v>
      </c>
      <c r="H11">
        <v>26.243852</v>
      </c>
      <c r="I11">
        <v>22.580680000000001</v>
      </c>
      <c r="J11">
        <v>56.387442999999998</v>
      </c>
      <c r="K11">
        <v>52.227836000000003</v>
      </c>
      <c r="L11">
        <v>158.42089899999999</v>
      </c>
      <c r="M11">
        <v>-622.47143000000005</v>
      </c>
      <c r="N11">
        <v>2.1612749999999998</v>
      </c>
      <c r="O11">
        <v>14.808426000000001</v>
      </c>
      <c r="P11">
        <f t="shared" si="0"/>
        <v>3.6021249999999997E-5</v>
      </c>
      <c r="Q11" cm="1">
        <f t="array" ref="Q11">[1]!PropsSI("D","T",J11+273.15,"P",101325,"Water")</f>
        <v>985.01534912818693</v>
      </c>
      <c r="R11" cm="1">
        <f t="array" ref="R11">[1]!PropsSI("D","T",K11+273.15,"P",101325,"Water")</f>
        <v>987.01126103709237</v>
      </c>
      <c r="S11">
        <f t="shared" si="1"/>
        <v>986.01330508263959</v>
      </c>
      <c r="T11" cm="1">
        <f t="array" ref="T11">[1]!PropsSI("H","T",J11+273.15,"P",101325,"Water")</f>
        <v>236133.04359295015</v>
      </c>
      <c r="U11" cm="1">
        <f t="array" ref="U11">[1]!PropsSI("H","T",K11+273.15,"P",101325,"Water")</f>
        <v>218734.56898619159</v>
      </c>
      <c r="V11">
        <f t="shared" si="2"/>
        <v>617.94913467295112</v>
      </c>
    </row>
    <row r="12" spans="1:23" x14ac:dyDescent="0.2">
      <c r="A12">
        <v>44660.882889467801</v>
      </c>
      <c r="B12">
        <v>20.393540000000002</v>
      </c>
      <c r="C12">
        <v>20.447576999999999</v>
      </c>
      <c r="D12">
        <v>20.171358000000001</v>
      </c>
      <c r="E12">
        <v>20.305405</v>
      </c>
      <c r="F12">
        <v>30.269670000000001</v>
      </c>
      <c r="G12">
        <v>26.871583999999999</v>
      </c>
      <c r="H12">
        <v>26.318197999999999</v>
      </c>
      <c r="I12">
        <v>22.553512999999999</v>
      </c>
      <c r="J12">
        <v>56.386488</v>
      </c>
      <c r="K12">
        <v>52.231175</v>
      </c>
      <c r="L12">
        <v>142.706176</v>
      </c>
      <c r="M12">
        <v>-622.49428599999999</v>
      </c>
      <c r="N12">
        <v>2.1649259999999999</v>
      </c>
      <c r="O12">
        <v>14.961721000000001</v>
      </c>
      <c r="P12">
        <f t="shared" si="0"/>
        <v>3.6082099999999998E-5</v>
      </c>
      <c r="Q12" cm="1">
        <f t="array" ref="Q12">[1]!PropsSI("D","T",J12+273.15,"P",101325,"Water")</f>
        <v>985.01581969705637</v>
      </c>
      <c r="R12" cm="1">
        <f t="array" ref="R12">[1]!PropsSI("D","T",K12+273.15,"P",101325,"Water")</f>
        <v>987.00970260054851</v>
      </c>
      <c r="S12">
        <f t="shared" si="1"/>
        <v>986.01276114880238</v>
      </c>
      <c r="T12" cm="1">
        <f t="array" ref="T12">[1]!PropsSI("H","T",J12+273.15,"P",101325,"Water")</f>
        <v>236129.04837641231</v>
      </c>
      <c r="U12" cm="1">
        <f t="array" ref="U12">[1]!PropsSI("H","T",K12+273.15,"P",101325,"Water")</f>
        <v>218748.53272881795</v>
      </c>
      <c r="V12">
        <f t="shared" si="2"/>
        <v>618.35374943886097</v>
      </c>
    </row>
    <row r="13" spans="1:23" x14ac:dyDescent="0.2">
      <c r="A13">
        <v>44660.882947916798</v>
      </c>
      <c r="B13">
        <v>20.325005000000001</v>
      </c>
      <c r="C13">
        <v>20.452051999999998</v>
      </c>
      <c r="D13">
        <v>20.086228999999999</v>
      </c>
      <c r="E13">
        <v>20.286401000000001</v>
      </c>
      <c r="F13">
        <v>30.180420999999999</v>
      </c>
      <c r="G13">
        <v>26.900646999999999</v>
      </c>
      <c r="H13">
        <v>26.122503999999999</v>
      </c>
      <c r="I13">
        <v>22.594709999999999</v>
      </c>
      <c r="J13">
        <v>56.385373000000001</v>
      </c>
      <c r="K13">
        <v>52.229107999999997</v>
      </c>
      <c r="L13">
        <v>147.300231</v>
      </c>
      <c r="M13">
        <v>-622.48285799999996</v>
      </c>
      <c r="N13">
        <v>2.162299</v>
      </c>
      <c r="O13">
        <v>14.91</v>
      </c>
      <c r="P13">
        <f t="shared" si="0"/>
        <v>3.6038316666666667E-5</v>
      </c>
      <c r="Q13" cm="1">
        <f t="array" ref="Q13">[1]!PropsSI("D","T",J13+273.15,"P",101325,"Water")</f>
        <v>985.0163690976126</v>
      </c>
      <c r="R13" cm="1">
        <f t="array" ref="R13">[1]!PropsSI("D","T",K13+273.15,"P",101325,"Water")</f>
        <v>987.01066735539564</v>
      </c>
      <c r="S13">
        <f t="shared" si="1"/>
        <v>986.01351822650417</v>
      </c>
      <c r="T13" cm="1">
        <f t="array" ref="T13">[1]!PropsSI("H","T",J13+273.15,"P",101325,"Water")</f>
        <v>236124.38380465258</v>
      </c>
      <c r="U13" cm="1">
        <f t="array" ref="U13">[1]!PropsSI("H","T",K13+273.15,"P",101325,"Water")</f>
        <v>218739.88850676065</v>
      </c>
      <c r="V13">
        <f t="shared" si="2"/>
        <v>617.74530465903797</v>
      </c>
    </row>
    <row r="14" spans="1:23" x14ac:dyDescent="0.2">
      <c r="A14">
        <v>44660.883006365897</v>
      </c>
      <c r="B14">
        <v>20.192986000000001</v>
      </c>
      <c r="C14">
        <v>20.367816999999999</v>
      </c>
      <c r="D14">
        <v>20.047498000000001</v>
      </c>
      <c r="E14">
        <v>20.219816000000002</v>
      </c>
      <c r="F14">
        <v>30.180685</v>
      </c>
      <c r="G14">
        <v>26.90137</v>
      </c>
      <c r="H14">
        <v>26.138112</v>
      </c>
      <c r="I14">
        <v>22.861715</v>
      </c>
      <c r="J14">
        <v>56.383941</v>
      </c>
      <c r="K14">
        <v>52.229267</v>
      </c>
      <c r="L14">
        <v>150.01233999999999</v>
      </c>
      <c r="M14">
        <v>-622.49959200000001</v>
      </c>
      <c r="N14">
        <v>2.1625740000000002</v>
      </c>
      <c r="O14">
        <v>14.927372</v>
      </c>
      <c r="P14">
        <f t="shared" si="0"/>
        <v>3.6042900000000007E-5</v>
      </c>
      <c r="Q14" cm="1">
        <f t="array" ref="Q14">[1]!PropsSI("D","T",J14+273.15,"P",101325,"Water")</f>
        <v>985.0170746842947</v>
      </c>
      <c r="R14" cm="1">
        <f t="array" ref="R14">[1]!PropsSI("D","T",K14+273.15,"P",101325,"Water")</f>
        <v>987.01059314445422</v>
      </c>
      <c r="S14">
        <f t="shared" si="1"/>
        <v>986.01383391437446</v>
      </c>
      <c r="T14" cm="1">
        <f t="array" ref="T14">[1]!PropsSI("H","T",J14+273.15,"P",101325,"Water")</f>
        <v>236118.39307284381</v>
      </c>
      <c r="U14" cm="1">
        <f t="array" ref="U14">[1]!PropsSI("H","T",K14+273.15,"P",101325,"Water")</f>
        <v>218740.55344688127</v>
      </c>
      <c r="V14">
        <f t="shared" si="2"/>
        <v>617.58753239358748</v>
      </c>
    </row>
    <row r="15" spans="1:23" x14ac:dyDescent="0.2">
      <c r="A15">
        <v>46122.883064814814</v>
      </c>
      <c r="B15">
        <v>20.178984</v>
      </c>
      <c r="C15">
        <v>20.351845000000001</v>
      </c>
      <c r="D15">
        <v>20.053581000000001</v>
      </c>
      <c r="E15">
        <v>20.181265</v>
      </c>
      <c r="F15">
        <v>30.15005</v>
      </c>
      <c r="G15">
        <v>27.079968999999998</v>
      </c>
      <c r="H15">
        <v>26.17342</v>
      </c>
      <c r="I15">
        <v>22.955175000000001</v>
      </c>
      <c r="J15">
        <v>56.383462999999999</v>
      </c>
      <c r="K15">
        <v>52.224656000000003</v>
      </c>
      <c r="L15">
        <v>135.836724</v>
      </c>
      <c r="M15">
        <v>-622.47673599999996</v>
      </c>
      <c r="N15">
        <v>2.1548250000000002</v>
      </c>
      <c r="O15">
        <v>14.9039</v>
      </c>
      <c r="P15">
        <f t="shared" si="0"/>
        <v>3.5913750000000005E-5</v>
      </c>
      <c r="Q15" cm="1">
        <f t="array" ref="Q15">[1]!PropsSI("D","T",J15+273.15,"P",101325,"Water")</f>
        <v>985.0173102055445</v>
      </c>
      <c r="R15" cm="1">
        <f t="array" ref="R15">[1]!PropsSI("D","T",K15+273.15,"P",101325,"Water")</f>
        <v>987.01274519609387</v>
      </c>
      <c r="S15">
        <f t="shared" si="1"/>
        <v>986.01502770081925</v>
      </c>
      <c r="T15" cm="1">
        <f t="array" ref="T15">[1]!PropsSI("H","T",J15+273.15,"P",101325,"Water")</f>
        <v>236116.39337342253</v>
      </c>
      <c r="U15" cm="1">
        <f t="array" ref="U15">[1]!PropsSI("H","T",K15+273.15,"P",101325,"Water")</f>
        <v>218721.27018695656</v>
      </c>
      <c r="V15">
        <f t="shared" si="2"/>
        <v>615.98735603016053</v>
      </c>
    </row>
    <row r="16" spans="1:23" x14ac:dyDescent="0.2">
      <c r="A16">
        <v>46122.883123263891</v>
      </c>
      <c r="B16">
        <v>20.143972000000002</v>
      </c>
      <c r="C16">
        <v>20.277197999999999</v>
      </c>
      <c r="D16">
        <v>20.020030999999999</v>
      </c>
      <c r="E16">
        <v>20.136575000000001</v>
      </c>
      <c r="F16">
        <v>30.159251000000001</v>
      </c>
      <c r="G16">
        <v>26.875951000000001</v>
      </c>
      <c r="H16">
        <v>25.931256999999999</v>
      </c>
      <c r="I16">
        <v>22.554493999999998</v>
      </c>
      <c r="J16">
        <v>56.381234999999997</v>
      </c>
      <c r="K16">
        <v>52.218138000000003</v>
      </c>
      <c r="L16">
        <v>149.071979</v>
      </c>
      <c r="M16">
        <v>-622.47551099999998</v>
      </c>
      <c r="N16">
        <v>2.159726</v>
      </c>
      <c r="O16">
        <v>14.818885</v>
      </c>
      <c r="P16">
        <f t="shared" si="0"/>
        <v>3.5995433333333338E-5</v>
      </c>
      <c r="Q16" cm="1">
        <f t="array" ref="Q16">[1]!PropsSI("D","T",J16+273.15,"P",101325,"Water")</f>
        <v>985.01840797238299</v>
      </c>
      <c r="R16" cm="1">
        <f t="array" ref="R16">[1]!PropsSI("D","T",K16+273.15,"P",101325,"Water")</f>
        <v>987.01578705314421</v>
      </c>
      <c r="S16">
        <f t="shared" si="1"/>
        <v>986.0170975127636</v>
      </c>
      <c r="T16" cm="1">
        <f t="array" ref="T16">[1]!PropsSI("H","T",J16+273.15,"P",101325,"Water")</f>
        <v>236107.07259985511</v>
      </c>
      <c r="U16" cm="1">
        <f t="array" ref="U16">[1]!PropsSI("H","T",K16+273.15,"P",101325,"Water")</f>
        <v>218694.01184066245</v>
      </c>
      <c r="V16">
        <f t="shared" si="2"/>
        <v>618.02631490062765</v>
      </c>
    </row>
    <row r="17" spans="1:22" x14ac:dyDescent="0.2">
      <c r="A17">
        <v>46122.883181134261</v>
      </c>
      <c r="B17">
        <v>20.197213999999999</v>
      </c>
      <c r="C17">
        <v>20.142378999999998</v>
      </c>
      <c r="D17">
        <v>20.104851</v>
      </c>
      <c r="E17">
        <v>20.220977999999999</v>
      </c>
      <c r="F17">
        <v>30.138653999999999</v>
      </c>
      <c r="G17">
        <v>26.719145999999999</v>
      </c>
      <c r="H17">
        <v>25.902028000000001</v>
      </c>
      <c r="I17">
        <v>22.416910000000001</v>
      </c>
      <c r="J17">
        <v>56.379643000000002</v>
      </c>
      <c r="K17">
        <v>52.215912000000003</v>
      </c>
      <c r="L17">
        <v>142.37027399999999</v>
      </c>
      <c r="M17">
        <v>-622.46898099999999</v>
      </c>
      <c r="N17">
        <v>2.1625860000000001</v>
      </c>
      <c r="O17">
        <v>14.934298</v>
      </c>
      <c r="P17">
        <f t="shared" si="0"/>
        <v>3.6043100000000001E-5</v>
      </c>
      <c r="Q17" cm="1">
        <f t="array" ref="Q17">[1]!PropsSI("D","T",J17+273.15,"P",101325,"Water")</f>
        <v>985.0191923544528</v>
      </c>
      <c r="R17" cm="1">
        <f t="array" ref="R17">[1]!PropsSI("D","T",K17+273.15,"P",101325,"Water")</f>
        <v>987.0168258331687</v>
      </c>
      <c r="S17">
        <f t="shared" si="1"/>
        <v>986.01800909381075</v>
      </c>
      <c r="T17" cm="1">
        <f t="array" ref="T17">[1]!PropsSI("H","T",J17+273.15,"P",101325,"Water")</f>
        <v>236100.41251510798</v>
      </c>
      <c r="U17" cm="1">
        <f t="array" ref="U17">[1]!PropsSI("H","T",K17+273.15,"P",101325,"Water")</f>
        <v>218684.70268776006</v>
      </c>
      <c r="V17">
        <f t="shared" si="2"/>
        <v>618.93944908519848</v>
      </c>
    </row>
    <row r="18" spans="1:22" x14ac:dyDescent="0.2">
      <c r="A18">
        <v>46122.88323900463</v>
      </c>
      <c r="B18">
        <v>20.508939000000002</v>
      </c>
      <c r="C18">
        <v>20.207961999999998</v>
      </c>
      <c r="D18">
        <v>20.146505000000001</v>
      </c>
      <c r="E18">
        <v>20.322389000000001</v>
      </c>
      <c r="F18">
        <v>30.340781</v>
      </c>
      <c r="G18">
        <v>26.907419999999998</v>
      </c>
      <c r="H18">
        <v>26.366257999999998</v>
      </c>
      <c r="I18">
        <v>22.872053999999999</v>
      </c>
      <c r="J18">
        <v>56.380279999999999</v>
      </c>
      <c r="K18">
        <v>52.216230000000003</v>
      </c>
      <c r="L18">
        <v>141.71112299999999</v>
      </c>
      <c r="M18">
        <v>-622.48204199999998</v>
      </c>
      <c r="N18">
        <v>2.1570049999999998</v>
      </c>
      <c r="O18">
        <v>14.902514999999999</v>
      </c>
      <c r="P18">
        <f t="shared" si="0"/>
        <v>3.5950083333333337E-5</v>
      </c>
      <c r="Q18" cm="1">
        <f t="array" ref="Q18">[1]!PropsSI("D","T",J18+273.15,"P",101325,"Water")</f>
        <v>985.01887850493824</v>
      </c>
      <c r="R18" cm="1">
        <f t="array" ref="R18">[1]!PropsSI("D","T",K18+273.15,"P",101325,"Water")</f>
        <v>987.0166774379544</v>
      </c>
      <c r="S18">
        <f t="shared" si="1"/>
        <v>986.01777797144632</v>
      </c>
      <c r="T18" cm="1">
        <f t="array" ref="T18">[1]!PropsSI("H","T",J18+273.15,"P",101325,"Water")</f>
        <v>236103.07738558968</v>
      </c>
      <c r="U18" cm="1">
        <f t="array" ref="U18">[1]!PropsSI("H","T",K18+273.15,"P",101325,"Water")</f>
        <v>218686.03256663738</v>
      </c>
      <c r="V18">
        <f t="shared" si="2"/>
        <v>617.38932525840653</v>
      </c>
    </row>
    <row r="19" spans="1:22" x14ac:dyDescent="0.2">
      <c r="A19">
        <v>46122.883297453707</v>
      </c>
      <c r="B19">
        <v>20.466298999999999</v>
      </c>
      <c r="C19">
        <v>20.336789</v>
      </c>
      <c r="D19">
        <v>20.119312000000001</v>
      </c>
      <c r="E19">
        <v>20.246316</v>
      </c>
      <c r="F19">
        <v>30.345065999999999</v>
      </c>
      <c r="G19">
        <v>27.157169</v>
      </c>
      <c r="H19">
        <v>26.257023</v>
      </c>
      <c r="I19">
        <v>22.845635000000001</v>
      </c>
      <c r="J19">
        <v>56.378050999999999</v>
      </c>
      <c r="K19">
        <v>52.219569</v>
      </c>
      <c r="L19">
        <v>150.471093</v>
      </c>
      <c r="M19">
        <v>-622.49755100000004</v>
      </c>
      <c r="N19">
        <v>2.1633520000000002</v>
      </c>
      <c r="O19">
        <v>14.908284999999999</v>
      </c>
      <c r="P19">
        <f t="shared" si="0"/>
        <v>3.6055866666666675E-5</v>
      </c>
      <c r="Q19" cm="1">
        <f t="array" ref="Q19">[1]!PropsSI("D","T",J19+273.15,"P",101325,"Water")</f>
        <v>985.0199767210346</v>
      </c>
      <c r="R19" cm="1">
        <f t="array" ref="R19">[1]!PropsSI("D","T",K19+273.15,"P",101325,"Water")</f>
        <v>987.01511924929434</v>
      </c>
      <c r="S19">
        <f t="shared" si="1"/>
        <v>986.01754798516447</v>
      </c>
      <c r="T19" cm="1">
        <f t="array" ref="T19">[1]!PropsSI("H","T",J19+273.15,"P",101325,"Water")</f>
        <v>236093.75243130416</v>
      </c>
      <c r="U19" cm="1">
        <f t="array" ref="U19">[1]!PropsSI("H","T",K19+273.15,"P",101325,"Water")</f>
        <v>218699.99629691866</v>
      </c>
      <c r="V19">
        <f t="shared" si="2"/>
        <v>618.37789985113443</v>
      </c>
    </row>
    <row r="20" spans="1:22" x14ac:dyDescent="0.2">
      <c r="A20">
        <v>46122.883355902777</v>
      </c>
      <c r="B20">
        <v>20.384585000000001</v>
      </c>
      <c r="C20">
        <v>20.639025</v>
      </c>
      <c r="D20">
        <v>20.064285000000002</v>
      </c>
      <c r="E20">
        <v>20.210238</v>
      </c>
      <c r="F20">
        <v>30.275749000000001</v>
      </c>
      <c r="G20">
        <v>27.081136000000001</v>
      </c>
      <c r="H20">
        <v>26.400324999999999</v>
      </c>
      <c r="I20">
        <v>22.926203999999998</v>
      </c>
      <c r="J20">
        <v>56.377574000000003</v>
      </c>
      <c r="K20">
        <v>52.222431</v>
      </c>
      <c r="L20">
        <v>146.14559499999999</v>
      </c>
      <c r="M20">
        <v>-622.47591999999997</v>
      </c>
      <c r="N20">
        <v>2.1609060000000002</v>
      </c>
      <c r="O20">
        <v>14.795973</v>
      </c>
      <c r="P20">
        <f t="shared" si="0"/>
        <v>3.60151E-5</v>
      </c>
      <c r="Q20" cm="1">
        <f t="array" ref="Q20">[1]!PropsSI("D","T",J20+273.15,"P",101325,"Water")</f>
        <v>985.02021173238279</v>
      </c>
      <c r="R20" cm="1">
        <f t="array" ref="R20">[1]!PropsSI("D","T",K20+273.15,"P",101325,"Water")</f>
        <v>987.01378360221156</v>
      </c>
      <c r="S20">
        <f t="shared" si="1"/>
        <v>986.01699766729712</v>
      </c>
      <c r="T20" cm="1">
        <f t="array" ref="T20">[1]!PropsSI("H","T",J20+273.15,"P",101325,"Water")</f>
        <v>236091.75691644574</v>
      </c>
      <c r="U20" cm="1">
        <f t="array" ref="U20">[1]!PropsSI("H","T",K20+273.15,"P",101325,"Water")</f>
        <v>218711.96521144247</v>
      </c>
      <c r="V20">
        <f t="shared" si="2"/>
        <v>617.18248656137098</v>
      </c>
    </row>
    <row r="21" spans="1:22" x14ac:dyDescent="0.2">
      <c r="A21">
        <v>46122.883414351854</v>
      </c>
      <c r="B21">
        <v>20.220670999999999</v>
      </c>
      <c r="C21">
        <v>20.427536</v>
      </c>
      <c r="D21">
        <v>20.029909</v>
      </c>
      <c r="E21">
        <v>20.127739999999999</v>
      </c>
      <c r="F21">
        <v>30.190055999999998</v>
      </c>
      <c r="G21">
        <v>26.952342999999999</v>
      </c>
      <c r="H21">
        <v>26.069700000000001</v>
      </c>
      <c r="I21">
        <v>22.786180000000002</v>
      </c>
      <c r="J21">
        <v>56.377414999999999</v>
      </c>
      <c r="K21">
        <v>52.222589999999997</v>
      </c>
      <c r="L21">
        <v>148.520578</v>
      </c>
      <c r="M21">
        <v>-622.49306200000001</v>
      </c>
      <c r="N21">
        <v>2.1654629999999999</v>
      </c>
      <c r="O21">
        <v>14.903658999999999</v>
      </c>
      <c r="P21">
        <f t="shared" si="0"/>
        <v>3.6091050000000001E-5</v>
      </c>
      <c r="Q21" cm="1">
        <f t="array" ref="Q21">[1]!PropsSI("D","T",J21+273.15,"P",101325,"Water")</f>
        <v>985.02029006918985</v>
      </c>
      <c r="R21" cm="1">
        <f t="array" ref="R21">[1]!PropsSI("D","T",K21+273.15,"P",101325,"Water")</f>
        <v>987.01370939807305</v>
      </c>
      <c r="S21">
        <f t="shared" si="1"/>
        <v>986.01699973363145</v>
      </c>
      <c r="T21" cm="1">
        <f t="array" ref="T21">[1]!PropsSI("H","T",J21+273.15,"P",101325,"Water")</f>
        <v>236091.09174482827</v>
      </c>
      <c r="U21" cm="1">
        <f t="array" ref="U21">[1]!PropsSI("H","T",K21+273.15,"P",101325,"Water")</f>
        <v>218712.63015124266</v>
      </c>
      <c r="V21">
        <f t="shared" si="2"/>
        <v>618.43669167969631</v>
      </c>
    </row>
    <row r="22" spans="1:22" x14ac:dyDescent="0.2">
      <c r="A22">
        <v>46122.883472800924</v>
      </c>
      <c r="B22">
        <v>20.422166000000001</v>
      </c>
      <c r="C22">
        <v>20.400513</v>
      </c>
      <c r="D22">
        <v>19.984777000000001</v>
      </c>
      <c r="E22">
        <v>20.084682999999998</v>
      </c>
      <c r="F22">
        <v>30.269959</v>
      </c>
      <c r="G22">
        <v>27.040158000000002</v>
      </c>
      <c r="H22">
        <v>25.839223</v>
      </c>
      <c r="I22">
        <v>22.624904000000001</v>
      </c>
      <c r="J22">
        <v>56.376300000000001</v>
      </c>
      <c r="K22">
        <v>52.212733</v>
      </c>
      <c r="L22">
        <v>145.58766399999999</v>
      </c>
      <c r="M22">
        <v>-622.48122499999999</v>
      </c>
      <c r="N22">
        <v>2.1645240000000001</v>
      </c>
      <c r="O22">
        <v>14.894394999999999</v>
      </c>
      <c r="P22">
        <f t="shared" si="0"/>
        <v>3.6075400000000004E-5</v>
      </c>
      <c r="Q22" cm="1">
        <f t="array" ref="Q22">[1]!PropsSI("D","T",J22+273.15,"P",101325,"Water")</f>
        <v>985.02083940782813</v>
      </c>
      <c r="R22" cm="1">
        <f t="array" ref="R22">[1]!PropsSI("D","T",K22+273.15,"P",101325,"Water")</f>
        <v>987.01830928295408</v>
      </c>
      <c r="S22">
        <f t="shared" si="1"/>
        <v>986.01957434539111</v>
      </c>
      <c r="T22" cm="1">
        <f t="array" ref="T22">[1]!PropsSI("H","T",J22+273.15,"P",101325,"Water")</f>
        <v>236086.42717694084</v>
      </c>
      <c r="U22" cm="1">
        <f t="array" ref="U22">[1]!PropsSI("H","T",K22+273.15,"P",101325,"Water")</f>
        <v>218671.40808264411</v>
      </c>
      <c r="V22">
        <f t="shared" si="2"/>
        <v>619.47052457319057</v>
      </c>
    </row>
    <row r="23" spans="1:22" x14ac:dyDescent="0.2">
      <c r="A23">
        <v>46122.883530671294</v>
      </c>
      <c r="B23">
        <v>20.222196</v>
      </c>
      <c r="C23">
        <v>20.306001999999999</v>
      </c>
      <c r="D23">
        <v>20.041868000000001</v>
      </c>
      <c r="E23">
        <v>20.117519000000001</v>
      </c>
      <c r="F23">
        <v>30.165174</v>
      </c>
      <c r="G23">
        <v>26.605789000000001</v>
      </c>
      <c r="H23">
        <v>25.880887000000001</v>
      </c>
      <c r="I23">
        <v>22.704288999999999</v>
      </c>
      <c r="J23">
        <v>56.375664</v>
      </c>
      <c r="K23">
        <v>52.212097</v>
      </c>
      <c r="L23">
        <v>149.943364</v>
      </c>
      <c r="M23">
        <v>-622.46489999999994</v>
      </c>
      <c r="N23">
        <v>2.1617500000000001</v>
      </c>
      <c r="O23">
        <v>14.9031</v>
      </c>
      <c r="P23">
        <f t="shared" si="0"/>
        <v>3.6029166666666671E-5</v>
      </c>
      <c r="Q23" cm="1">
        <f t="array" ref="Q23">[1]!PropsSI("D","T",J23+273.15,"P",101325,"Water")</f>
        <v>985.02115274916559</v>
      </c>
      <c r="R23" cm="1">
        <f t="array" ref="R23">[1]!PropsSI("D","T",K23+273.15,"P",101325,"Water")</f>
        <v>987.01860605848583</v>
      </c>
      <c r="S23">
        <f t="shared" si="1"/>
        <v>986.01987940382571</v>
      </c>
      <c r="T23" cm="1">
        <f t="array" ref="T23">[1]!PropsSI("H","T",J23+273.15,"P",101325,"Water")</f>
        <v>236083.76649087982</v>
      </c>
      <c r="U23" cm="1">
        <f t="array" ref="U23">[1]!PropsSI("H","T",K23+273.15,"P",101325,"Water")</f>
        <v>218668.74832559039</v>
      </c>
      <c r="V23">
        <f t="shared" si="2"/>
        <v>618.67678499645672</v>
      </c>
    </row>
    <row r="24" spans="1:22" x14ac:dyDescent="0.2">
      <c r="A24">
        <v>46122.88358854167</v>
      </c>
      <c r="B24">
        <v>20.236446000000001</v>
      </c>
      <c r="C24">
        <v>20.251173999999999</v>
      </c>
      <c r="D24">
        <v>20.054603</v>
      </c>
      <c r="E24">
        <v>20.100943999999998</v>
      </c>
      <c r="F24">
        <v>30.121504999999999</v>
      </c>
      <c r="G24">
        <v>26.819299000000001</v>
      </c>
      <c r="H24">
        <v>25.939025000000001</v>
      </c>
      <c r="I24">
        <v>22.680719</v>
      </c>
      <c r="J24">
        <v>56.375822999999997</v>
      </c>
      <c r="K24">
        <v>52.210189</v>
      </c>
      <c r="L24">
        <v>142.714338</v>
      </c>
      <c r="M24">
        <v>-622.50693799999999</v>
      </c>
      <c r="N24">
        <v>2.1652490000000002</v>
      </c>
      <c r="O24">
        <v>14.932328</v>
      </c>
      <c r="P24">
        <f t="shared" si="0"/>
        <v>3.6087483333333333E-5</v>
      </c>
      <c r="Q24" cm="1">
        <f t="array" ref="Q24">[1]!PropsSI("D","T",J24+273.15,"P",101325,"Water")</f>
        <v>985.02107441405792</v>
      </c>
      <c r="R24" cm="1">
        <f t="array" ref="R24">[1]!PropsSI("D","T",K24+273.15,"P",101325,"Water")</f>
        <v>987.01949636954805</v>
      </c>
      <c r="S24">
        <f t="shared" si="1"/>
        <v>986.02028539180299</v>
      </c>
      <c r="T24" cm="1">
        <f t="array" ref="T24">[1]!PropsSI("H","T",J24+273.15,"P",101325,"Water")</f>
        <v>236084.43166238963</v>
      </c>
      <c r="U24" cm="1">
        <f t="array" ref="U24">[1]!PropsSI("H","T",K24+273.15,"P",101325,"Water")</f>
        <v>218660.76905529926</v>
      </c>
      <c r="V24">
        <f t="shared" si="2"/>
        <v>619.98602303408438</v>
      </c>
    </row>
    <row r="25" spans="1:22" x14ac:dyDescent="0.2">
      <c r="A25">
        <v>46122.88364641204</v>
      </c>
      <c r="B25">
        <v>20.239286</v>
      </c>
      <c r="C25">
        <v>20.283709999999999</v>
      </c>
      <c r="D25">
        <v>20.024685999999999</v>
      </c>
      <c r="E25">
        <v>20.099135</v>
      </c>
      <c r="F25">
        <v>30.153808000000001</v>
      </c>
      <c r="G25">
        <v>26.752873000000001</v>
      </c>
      <c r="H25">
        <v>26.085615000000001</v>
      </c>
      <c r="I25">
        <v>22.920838</v>
      </c>
      <c r="J25">
        <v>56.377254999999998</v>
      </c>
      <c r="K25">
        <v>52.212415</v>
      </c>
      <c r="L25">
        <v>153.232179</v>
      </c>
      <c r="M25">
        <v>-622.50163299999997</v>
      </c>
      <c r="N25">
        <v>2.159894</v>
      </c>
      <c r="O25">
        <v>14.959662</v>
      </c>
      <c r="P25">
        <f t="shared" si="0"/>
        <v>3.599823333333333E-5</v>
      </c>
      <c r="Q25" cm="1">
        <f t="array" ref="Q25">[1]!PropsSI("D","T",J25+273.15,"P",101325,"Water")</f>
        <v>985.02036889853025</v>
      </c>
      <c r="R25" cm="1">
        <f t="array" ref="R25">[1]!PropsSI("D","T",K25+273.15,"P",101325,"Water")</f>
        <v>987.01845767105658</v>
      </c>
      <c r="S25">
        <f t="shared" si="1"/>
        <v>986.01941328479347</v>
      </c>
      <c r="T25" cm="1">
        <f t="array" ref="T25">[1]!PropsSI("H","T",J25+273.15,"P",101325,"Water")</f>
        <v>236090.42238978649</v>
      </c>
      <c r="U25" cm="1">
        <f t="array" ref="U25">[1]!PropsSI("H","T",K25+273.15,"P",101325,"Water")</f>
        <v>218670.07820407732</v>
      </c>
      <c r="V25">
        <f t="shared" si="2"/>
        <v>618.33436623995885</v>
      </c>
    </row>
    <row r="26" spans="1:22" x14ac:dyDescent="0.2">
      <c r="A26">
        <v>46122.883704861109</v>
      </c>
      <c r="B26">
        <v>20.214703</v>
      </c>
      <c r="C26">
        <v>20.317378999999999</v>
      </c>
      <c r="D26">
        <v>19.988935999999999</v>
      </c>
      <c r="E26">
        <v>19.994592000000001</v>
      </c>
      <c r="F26">
        <v>30.134492000000002</v>
      </c>
      <c r="G26">
        <v>26.579521</v>
      </c>
      <c r="H26">
        <v>25.605789000000001</v>
      </c>
      <c r="I26">
        <v>22.633443</v>
      </c>
      <c r="J26">
        <v>56.378529</v>
      </c>
      <c r="K26">
        <v>52.206214000000003</v>
      </c>
      <c r="L26">
        <v>142.64128099999999</v>
      </c>
      <c r="M26">
        <v>-622.48612300000002</v>
      </c>
      <c r="N26">
        <v>2.1629749999999999</v>
      </c>
      <c r="O26">
        <v>14.937372999999999</v>
      </c>
      <c r="P26">
        <f t="shared" si="0"/>
        <v>3.6049583333333331E-5</v>
      </c>
      <c r="Q26" cm="1">
        <f t="array" ref="Q26">[1]!PropsSI("D","T",J26+273.15,"P",101325,"Water")</f>
        <v>985.0197412156233</v>
      </c>
      <c r="R26" cm="1">
        <f t="array" ref="R26">[1]!PropsSI("D","T",K26+273.15,"P",101325,"Water")</f>
        <v>987.02135110943834</v>
      </c>
      <c r="S26">
        <f t="shared" si="1"/>
        <v>986.02054616253076</v>
      </c>
      <c r="T26" cm="1">
        <f t="array" ref="T26">[1]!PropsSI("H","T",J26+273.15,"P",101325,"Water")</f>
        <v>236095.75212973275</v>
      </c>
      <c r="U26" cm="1">
        <f t="array" ref="U26">[1]!PropsSI("H","T",K26+273.15,"P",101325,"Water")</f>
        <v>218644.14557910361</v>
      </c>
      <c r="V26">
        <f t="shared" si="2"/>
        <v>620.32834668876831</v>
      </c>
    </row>
    <row r="27" spans="1:22" x14ac:dyDescent="0.2">
      <c r="A27">
        <v>46122.883763310187</v>
      </c>
      <c r="B27">
        <v>20.282548999999999</v>
      </c>
      <c r="C27">
        <v>20.449189000000001</v>
      </c>
      <c r="D27">
        <v>20.038561999999999</v>
      </c>
      <c r="E27">
        <v>20.132168</v>
      </c>
      <c r="F27">
        <v>30.202618000000001</v>
      </c>
      <c r="G27">
        <v>27.058577</v>
      </c>
      <c r="H27">
        <v>25.957324</v>
      </c>
      <c r="I27">
        <v>22.239850000000001</v>
      </c>
      <c r="J27">
        <v>56.381872000000001</v>
      </c>
      <c r="K27">
        <v>52.207008999999999</v>
      </c>
      <c r="L27">
        <v>144.27385200000001</v>
      </c>
      <c r="M27">
        <v>-622.49469399999998</v>
      </c>
      <c r="N27">
        <v>2.1624180000000002</v>
      </c>
      <c r="O27">
        <v>14.91122</v>
      </c>
      <c r="P27">
        <f t="shared" si="0"/>
        <v>3.6040300000000001E-5</v>
      </c>
      <c r="Q27" cm="1">
        <f t="array" ref="Q27">[1]!PropsSI("D","T",J27+273.15,"P",101325,"Water")</f>
        <v>985.01809411664715</v>
      </c>
      <c r="R27" cm="1">
        <f t="array" ref="R27">[1]!PropsSI("D","T",K27+273.15,"P",101325,"Water")</f>
        <v>987.02098016955574</v>
      </c>
      <c r="S27">
        <f t="shared" si="1"/>
        <v>986.01953714310139</v>
      </c>
      <c r="T27" cm="1">
        <f t="array" ref="T27">[1]!PropsSI("H","T",J27+273.15,"P",101325,"Water")</f>
        <v>236109.73747078524</v>
      </c>
      <c r="U27" cm="1">
        <f t="array" ref="U27">[1]!PropsSI("H","T",K27+273.15,"P",101325,"Water")</f>
        <v>218647.47027390639</v>
      </c>
      <c r="V27">
        <f t="shared" si="2"/>
        <v>620.54680918742633</v>
      </c>
    </row>
    <row r="28" spans="1:22" x14ac:dyDescent="0.2">
      <c r="A28">
        <v>46122.883821759257</v>
      </c>
      <c r="B28">
        <v>20.173698000000002</v>
      </c>
      <c r="C28">
        <v>20.248162000000001</v>
      </c>
      <c r="D28">
        <v>19.976603999999998</v>
      </c>
      <c r="E28">
        <v>20.113126999999999</v>
      </c>
      <c r="F28">
        <v>30.083781999999999</v>
      </c>
      <c r="G28">
        <v>26.826841000000002</v>
      </c>
      <c r="H28">
        <v>25.837572999999999</v>
      </c>
      <c r="I28">
        <v>22.428222000000002</v>
      </c>
      <c r="J28">
        <v>56.385213999999998</v>
      </c>
      <c r="K28">
        <v>52.212415</v>
      </c>
      <c r="L28">
        <v>142.795151</v>
      </c>
      <c r="M28">
        <v>-622.47918500000003</v>
      </c>
      <c r="N28">
        <v>2.1656879999999998</v>
      </c>
      <c r="O28">
        <v>14.963195000000001</v>
      </c>
      <c r="P28">
        <f t="shared" si="0"/>
        <v>3.6094799999999999E-5</v>
      </c>
      <c r="Q28" cm="1">
        <f t="array" ref="Q28">[1]!PropsSI("D","T",J28+273.15,"P",101325,"Water")</f>
        <v>985.01644744200098</v>
      </c>
      <c r="R28" cm="1">
        <f t="array" ref="R28">[1]!PropsSI("D","T",K28+273.15,"P",101325,"Water")</f>
        <v>987.01845767105658</v>
      </c>
      <c r="S28">
        <f t="shared" si="1"/>
        <v>986.01745255652872</v>
      </c>
      <c r="T28" cm="1">
        <f t="array" ref="T28">[1]!PropsSI("H","T",J28+273.15,"P",101325,"Water")</f>
        <v>236123.71863259791</v>
      </c>
      <c r="U28" cm="1">
        <f t="array" ref="U28">[1]!PropsSI("H","T",K28+273.15,"P",101325,"Water")</f>
        <v>218670.07820407732</v>
      </c>
      <c r="V28">
        <f t="shared" si="2"/>
        <v>621.17685615216681</v>
      </c>
    </row>
    <row r="29" spans="1:22" x14ac:dyDescent="0.2">
      <c r="A29">
        <v>46122.883880208334</v>
      </c>
      <c r="B29">
        <v>20.099485000000001</v>
      </c>
      <c r="C29">
        <v>20.181076000000001</v>
      </c>
      <c r="D29">
        <v>19.921133999999999</v>
      </c>
      <c r="E29">
        <v>20.166906999999998</v>
      </c>
      <c r="F29">
        <v>30.078344999999999</v>
      </c>
      <c r="G29">
        <v>26.500933</v>
      </c>
      <c r="H29">
        <v>25.893932</v>
      </c>
      <c r="I29">
        <v>22.622021</v>
      </c>
      <c r="J29">
        <v>56.385851000000002</v>
      </c>
      <c r="K29">
        <v>52.212733</v>
      </c>
      <c r="L29">
        <v>147.65001000000001</v>
      </c>
      <c r="M29">
        <v>-622.48244999999997</v>
      </c>
      <c r="N29">
        <v>2.1613889999999998</v>
      </c>
      <c r="O29">
        <v>14.849320000000001</v>
      </c>
      <c r="P29">
        <f t="shared" si="0"/>
        <v>3.6023149999999994E-5</v>
      </c>
      <c r="Q29" cm="1">
        <f t="array" ref="Q29">[1]!PropsSI("D","T",J29+273.15,"P",101325,"Water")</f>
        <v>985.01613357076849</v>
      </c>
      <c r="R29" cm="1">
        <f t="array" ref="R29">[1]!PropsSI("D","T",K29+273.15,"P",101325,"Water")</f>
        <v>987.01830928295408</v>
      </c>
      <c r="S29">
        <f t="shared" si="1"/>
        <v>986.01722142686128</v>
      </c>
      <c r="T29" cm="1">
        <f t="array" ref="T29">[1]!PropsSI("H","T",J29+273.15,"P",101325,"Water")</f>
        <v>236126.38350443216</v>
      </c>
      <c r="U29" cm="1">
        <f t="array" ref="U29">[1]!PropsSI("H","T",K29+273.15,"P",101325,"Water")</f>
        <v>218671.40808264411</v>
      </c>
      <c r="V29">
        <f t="shared" si="2"/>
        <v>619.99106163912256</v>
      </c>
    </row>
    <row r="30" spans="1:22" x14ac:dyDescent="0.2">
      <c r="A30">
        <v>46122.883938657411</v>
      </c>
      <c r="B30">
        <v>20.153469999999999</v>
      </c>
      <c r="C30">
        <v>20.249465000000001</v>
      </c>
      <c r="D30">
        <v>19.993462999999998</v>
      </c>
      <c r="E30">
        <v>20.167031000000001</v>
      </c>
      <c r="F30">
        <v>30.114832</v>
      </c>
      <c r="G30">
        <v>26.986139000000001</v>
      </c>
      <c r="H30">
        <v>26.000775000000001</v>
      </c>
      <c r="I30">
        <v>22.527759</v>
      </c>
      <c r="J30">
        <v>56.386009999999999</v>
      </c>
      <c r="K30">
        <v>52.212097</v>
      </c>
      <c r="L30">
        <v>146.64638600000001</v>
      </c>
      <c r="M30">
        <v>-622.49550999999997</v>
      </c>
      <c r="N30">
        <v>2.1600039999999998</v>
      </c>
      <c r="O30">
        <v>14.912248999999999</v>
      </c>
      <c r="P30">
        <f t="shared" si="0"/>
        <v>3.6000066666666661E-5</v>
      </c>
      <c r="Q30" cm="1">
        <f t="array" ref="Q30">[1]!PropsSI("D","T",J30+273.15,"P",101325,"Water")</f>
        <v>985.01605522575449</v>
      </c>
      <c r="R30" cm="1">
        <f t="array" ref="R30">[1]!PropsSI("D","T",K30+273.15,"P",101325,"Water")</f>
        <v>987.01860605848583</v>
      </c>
      <c r="S30">
        <f t="shared" si="1"/>
        <v>986.01733064212021</v>
      </c>
      <c r="T30" cm="1">
        <f t="array" ref="T30">[1]!PropsSI("H","T",J30+273.15,"P",101325,"Water")</f>
        <v>236127.04867654791</v>
      </c>
      <c r="U30" cm="1">
        <f t="array" ref="U30">[1]!PropsSI("H","T",K30+273.15,"P",101325,"Water")</f>
        <v>218668.74832559039</v>
      </c>
      <c r="V30">
        <f t="shared" si="2"/>
        <v>619.71186915803003</v>
      </c>
    </row>
    <row r="31" spans="1:22" x14ac:dyDescent="0.2">
      <c r="A31">
        <v>46122.88399652778</v>
      </c>
      <c r="B31">
        <v>20.240962</v>
      </c>
      <c r="C31">
        <v>20.246829000000002</v>
      </c>
      <c r="D31">
        <v>19.975968999999999</v>
      </c>
      <c r="E31">
        <v>20.107443</v>
      </c>
      <c r="F31">
        <v>30.13157</v>
      </c>
      <c r="G31">
        <v>26.929203000000001</v>
      </c>
      <c r="H31">
        <v>25.759986000000001</v>
      </c>
      <c r="I31">
        <v>22.601143</v>
      </c>
      <c r="J31">
        <v>56.389353</v>
      </c>
      <c r="K31">
        <v>52.212255999999996</v>
      </c>
      <c r="L31">
        <v>145.237886</v>
      </c>
      <c r="M31">
        <v>-622.48816399999998</v>
      </c>
      <c r="N31">
        <v>2.1594549999999999</v>
      </c>
      <c r="O31">
        <v>14.877824</v>
      </c>
      <c r="P31">
        <f t="shared" si="0"/>
        <v>3.5990916666666665E-5</v>
      </c>
      <c r="Q31" cm="1">
        <f t="array" ref="Q31">[1]!PropsSI("D","T",J31+273.15,"P",101325,"Water")</f>
        <v>985.01440797373027</v>
      </c>
      <c r="R31" cm="1">
        <f t="array" ref="R31">[1]!PropsSI("D","T",K31+273.15,"P",101325,"Water")</f>
        <v>987.01853186483675</v>
      </c>
      <c r="S31">
        <f t="shared" si="1"/>
        <v>986.01646991928351</v>
      </c>
      <c r="T31" cm="1">
        <f t="array" ref="T31">[1]!PropsSI("H","T",J31+273.15,"P",101325,"Water")</f>
        <v>236141.03402710595</v>
      </c>
      <c r="U31" cm="1">
        <f t="array" ref="U31">[1]!PropsSI("H","T",K31+273.15,"P",101325,"Water")</f>
        <v>218669.41326485033</v>
      </c>
      <c r="V31">
        <f t="shared" si="2"/>
        <v>620.02652843837018</v>
      </c>
    </row>
    <row r="32" spans="1:22" x14ac:dyDescent="0.2">
      <c r="A32">
        <v>46122.88405439815</v>
      </c>
      <c r="B32">
        <v>20.34676</v>
      </c>
      <c r="C32">
        <v>20.471069</v>
      </c>
      <c r="D32">
        <v>19.987545000000001</v>
      </c>
      <c r="E32">
        <v>20.214016000000001</v>
      </c>
      <c r="F32">
        <v>30.318344</v>
      </c>
      <c r="G32">
        <v>26.654440999999998</v>
      </c>
      <c r="H32">
        <v>25.668558000000001</v>
      </c>
      <c r="I32">
        <v>22.181640999999999</v>
      </c>
      <c r="J32">
        <v>56.391263000000002</v>
      </c>
      <c r="K32">
        <v>52.212097</v>
      </c>
      <c r="L32">
        <v>159.489417</v>
      </c>
      <c r="M32">
        <v>-622.49714300000005</v>
      </c>
      <c r="N32">
        <v>2.1627290000000001</v>
      </c>
      <c r="O32">
        <v>14.882106</v>
      </c>
      <c r="P32">
        <f t="shared" si="0"/>
        <v>3.6045483333333336E-5</v>
      </c>
      <c r="Q32" cm="1">
        <f t="array" ref="Q32">[1]!PropsSI("D","T",J32+273.15,"P",101325,"Water")</f>
        <v>985.01346679692881</v>
      </c>
      <c r="R32" cm="1">
        <f t="array" ref="R32">[1]!PropsSI("D","T",K32+273.15,"P",101325,"Water")</f>
        <v>987.01860605848583</v>
      </c>
      <c r="S32">
        <f t="shared" si="1"/>
        <v>986.01603642770738</v>
      </c>
      <c r="T32" cm="1">
        <f t="array" ref="T32">[1]!PropsSI("H","T",J32+273.15,"P",101325,"Water")</f>
        <v>236149.02446270379</v>
      </c>
      <c r="U32" cm="1">
        <f t="array" ref="U32">[1]!PropsSI("H","T",K32+273.15,"P",101325,"Water")</f>
        <v>218668.74832559039</v>
      </c>
      <c r="V32">
        <f t="shared" si="2"/>
        <v>621.27391644469856</v>
      </c>
    </row>
    <row r="33" spans="1:22" x14ac:dyDescent="0.2">
      <c r="A33">
        <v>46122.88411284722</v>
      </c>
      <c r="B33">
        <v>20.631751999999999</v>
      </c>
      <c r="C33">
        <v>20.703510999999999</v>
      </c>
      <c r="D33">
        <v>19.996922000000001</v>
      </c>
      <c r="E33">
        <v>20.144492</v>
      </c>
      <c r="F33">
        <v>30.464307999999999</v>
      </c>
      <c r="G33">
        <v>27.094795999999999</v>
      </c>
      <c r="H33">
        <v>26.101966999999998</v>
      </c>
      <c r="I33">
        <v>22.719598000000001</v>
      </c>
      <c r="J33">
        <v>56.392536</v>
      </c>
      <c r="K33">
        <v>52.218297</v>
      </c>
      <c r="L33">
        <v>152.20406700000001</v>
      </c>
      <c r="M33">
        <v>-622.47265400000003</v>
      </c>
      <c r="N33">
        <v>2.1633689999999999</v>
      </c>
      <c r="O33">
        <v>14.952088</v>
      </c>
      <c r="P33">
        <f t="shared" ref="P33:P57" si="3" xml:space="preserve"> N33*0.001/60</f>
        <v>3.6056149999999999E-5</v>
      </c>
      <c r="Q33" cm="1">
        <f t="array" ref="Q33">[1]!PropsSI("D","T",J33+273.15,"P",101325,"Water")</f>
        <v>985.01283949761932</v>
      </c>
      <c r="R33" cm="1">
        <f t="array" ref="R33">[1]!PropsSI("D","T",K33+273.15,"P",101325,"Water")</f>
        <v>987.01571285336456</v>
      </c>
      <c r="S33">
        <f t="shared" ref="S33:S57" si="4">(Q33+R33)/2</f>
        <v>986.01427617549189</v>
      </c>
      <c r="T33" cm="1">
        <f t="array" ref="T33">[1]!PropsSI("H","T",J33+273.15,"P",101325,"Water")</f>
        <v>236154.35002598353</v>
      </c>
      <c r="U33" cm="1">
        <f t="array" ref="U33">[1]!PropsSI("H","T",K33+273.15,"P",101325,"Water")</f>
        <v>218694.67678021194</v>
      </c>
      <c r="V33">
        <f t="shared" ref="V33:V57" si="5">S33*P33*(T33-U33)</f>
        <v>620.72418439625471</v>
      </c>
    </row>
    <row r="34" spans="1:22" x14ac:dyDescent="0.2">
      <c r="A34">
        <v>46122.884171296297</v>
      </c>
      <c r="B34">
        <v>20.436672999999999</v>
      </c>
      <c r="C34">
        <v>20.690201999999999</v>
      </c>
      <c r="D34">
        <v>20.089935000000001</v>
      </c>
      <c r="E34">
        <v>20.237919000000002</v>
      </c>
      <c r="F34">
        <v>30.289722000000001</v>
      </c>
      <c r="G34">
        <v>26.920733999999999</v>
      </c>
      <c r="H34">
        <v>26.442786000000002</v>
      </c>
      <c r="I34">
        <v>22.961020999999999</v>
      </c>
      <c r="J34">
        <v>56.394128000000002</v>
      </c>
      <c r="K34">
        <v>52.226564000000003</v>
      </c>
      <c r="L34">
        <v>158.78577899999999</v>
      </c>
      <c r="M34">
        <v>-622.48653100000001</v>
      </c>
      <c r="N34">
        <v>2.1630780000000001</v>
      </c>
      <c r="O34">
        <v>14.937271000000001</v>
      </c>
      <c r="P34">
        <f t="shared" si="3"/>
        <v>3.6051300000000005E-5</v>
      </c>
      <c r="Q34" cm="1">
        <f t="array" ref="Q34">[1]!PropsSI("D","T",J34+273.15,"P",101325,"Water")</f>
        <v>985.01205498989464</v>
      </c>
      <c r="R34" cm="1">
        <f t="array" ref="R34">[1]!PropsSI("D","T",K34+273.15,"P",101325,"Water")</f>
        <v>987.01185470846383</v>
      </c>
      <c r="S34">
        <f t="shared" si="4"/>
        <v>986.01195484917923</v>
      </c>
      <c r="T34" cm="1">
        <f t="array" ref="T34">[1]!PropsSI("H","T",J34+273.15,"P",101325,"Water")</f>
        <v>236161.01011864017</v>
      </c>
      <c r="U34" cm="1">
        <f t="array" ref="U34">[1]!PropsSI("H","T",K34+273.15,"P",101325,"Water")</f>
        <v>218729.24946610897</v>
      </c>
      <c r="V34">
        <f t="shared" si="5"/>
        <v>619.64701883034058</v>
      </c>
    </row>
    <row r="35" spans="1:22" x14ac:dyDescent="0.2">
      <c r="A35">
        <v>46122.884229166666</v>
      </c>
      <c r="B35">
        <v>20.537413000000001</v>
      </c>
      <c r="C35">
        <v>20.799358999999999</v>
      </c>
      <c r="D35">
        <v>20.107420999999999</v>
      </c>
      <c r="E35">
        <v>20.192506000000002</v>
      </c>
      <c r="F35">
        <v>30.423860999999999</v>
      </c>
      <c r="G35">
        <v>27.146388000000002</v>
      </c>
      <c r="H35">
        <v>26.149360999999999</v>
      </c>
      <c r="I35">
        <v>22.842254000000001</v>
      </c>
      <c r="J35">
        <v>56.395242000000003</v>
      </c>
      <c r="K35">
        <v>52.231969999999997</v>
      </c>
      <c r="L35">
        <v>149.78296399999999</v>
      </c>
      <c r="M35">
        <v>-622.48204199999998</v>
      </c>
      <c r="N35">
        <v>2.1641349999999999</v>
      </c>
      <c r="O35">
        <v>14.934768</v>
      </c>
      <c r="P35">
        <f t="shared" si="3"/>
        <v>3.6068916666666659E-5</v>
      </c>
      <c r="Q35" cm="1">
        <f t="array" ref="Q35">[1]!PropsSI("D","T",J35+273.15,"P",101325,"Water")</f>
        <v>985.01150602239079</v>
      </c>
      <c r="R35" cm="1">
        <f t="array" ref="R35">[1]!PropsSI("D","T",K35+273.15,"P",101325,"Water")</f>
        <v>987.00933153372023</v>
      </c>
      <c r="S35">
        <f t="shared" si="4"/>
        <v>986.01041877805551</v>
      </c>
      <c r="T35" cm="1">
        <f t="array" ref="T35">[1]!PropsSI("H","T",J35+273.15,"P",101325,"Water")</f>
        <v>236165.67051067489</v>
      </c>
      <c r="U35" cm="1">
        <f t="array" ref="U35">[1]!PropsSI("H","T",K35+273.15,"P",101325,"Water")</f>
        <v>218751.85743000187</v>
      </c>
      <c r="V35">
        <f t="shared" si="5"/>
        <v>619.3105536428501</v>
      </c>
    </row>
    <row r="36" spans="1:22" x14ac:dyDescent="0.2">
      <c r="A36">
        <v>46122.884287037035</v>
      </c>
      <c r="B36">
        <v>20.436872000000001</v>
      </c>
      <c r="C36">
        <v>20.788805</v>
      </c>
      <c r="D36">
        <v>20.029309000000001</v>
      </c>
      <c r="E36">
        <v>20.103940999999999</v>
      </c>
      <c r="F36">
        <v>30.314003</v>
      </c>
      <c r="G36">
        <v>27.112490999999999</v>
      </c>
      <c r="H36">
        <v>25.512523999999999</v>
      </c>
      <c r="I36">
        <v>22.553296</v>
      </c>
      <c r="J36">
        <v>56.395401999999997</v>
      </c>
      <c r="K36">
        <v>52.237851999999997</v>
      </c>
      <c r="L36">
        <v>146.047641</v>
      </c>
      <c r="M36">
        <v>-622.49347</v>
      </c>
      <c r="N36">
        <v>2.1610740000000002</v>
      </c>
      <c r="O36">
        <v>14.935682999999999</v>
      </c>
      <c r="P36">
        <f t="shared" si="3"/>
        <v>3.6017900000000006E-5</v>
      </c>
      <c r="Q36" cm="1">
        <f t="array" ref="Q36">[1]!PropsSI("D","T",J36+273.15,"P",101325,"Water")</f>
        <v>985.01142717546145</v>
      </c>
      <c r="R36" cm="1">
        <f t="array" ref="R36">[1]!PropsSI("D","T",K36+273.15,"P",101325,"Water")</f>
        <v>987.00658598029645</v>
      </c>
      <c r="S36">
        <f t="shared" si="4"/>
        <v>986.00900657787895</v>
      </c>
      <c r="T36" cm="1">
        <f t="array" ref="T36">[1]!PropsSI("H","T",J36+273.15,"P",101325,"Water")</f>
        <v>236166.33986681455</v>
      </c>
      <c r="U36" cm="1">
        <f t="array" ref="U36">[1]!PropsSI("H","T",K36+273.15,"P",101325,"Water")</f>
        <v>218776.45604279856</v>
      </c>
      <c r="V36">
        <f t="shared" si="5"/>
        <v>617.5838784767401</v>
      </c>
    </row>
    <row r="37" spans="1:22" x14ac:dyDescent="0.2">
      <c r="A37">
        <v>46122.884345486113</v>
      </c>
      <c r="B37">
        <v>20.662106000000001</v>
      </c>
      <c r="C37">
        <v>20.44021</v>
      </c>
      <c r="D37">
        <v>20.046994000000002</v>
      </c>
      <c r="E37">
        <v>20.162799</v>
      </c>
      <c r="F37">
        <v>30.494907999999999</v>
      </c>
      <c r="G37">
        <v>27.021663</v>
      </c>
      <c r="H37">
        <v>26.156618999999999</v>
      </c>
      <c r="I37">
        <v>22.642970999999999</v>
      </c>
      <c r="J37">
        <v>56.396833999999998</v>
      </c>
      <c r="K37">
        <v>52.238805999999997</v>
      </c>
      <c r="L37">
        <v>151.88326699999999</v>
      </c>
      <c r="M37">
        <v>-622.48979599999996</v>
      </c>
      <c r="N37">
        <v>2.1643810000000001</v>
      </c>
      <c r="O37">
        <v>14.913152</v>
      </c>
      <c r="P37">
        <f t="shared" si="3"/>
        <v>3.6073016666666668E-5</v>
      </c>
      <c r="Q37" cm="1">
        <f t="array" ref="Q37">[1]!PropsSI("D","T",J37+273.15,"P",101325,"Water")</f>
        <v>985.01072148833168</v>
      </c>
      <c r="R37" cm="1">
        <f t="array" ref="R37">[1]!PropsSI("D","T",K37+273.15,"P",101325,"Water")</f>
        <v>987.00614065888988</v>
      </c>
      <c r="S37">
        <f t="shared" si="4"/>
        <v>986.00843107361084</v>
      </c>
      <c r="T37" cm="1">
        <f t="array" ref="T37">[1]!PropsSI("H","T",J37+273.15,"P",101325,"Water")</f>
        <v>236172.3306049353</v>
      </c>
      <c r="U37" cm="1">
        <f t="array" ref="U37">[1]!PropsSI("H","T",K37+273.15,"P",101325,"Water")</f>
        <v>218780.44568618038</v>
      </c>
      <c r="V37">
        <f t="shared" si="5"/>
        <v>618.59975544347924</v>
      </c>
    </row>
    <row r="38" spans="1:22" x14ac:dyDescent="0.2">
      <c r="A38">
        <v>44660.884403935401</v>
      </c>
      <c r="B38">
        <v>20.451639</v>
      </c>
      <c r="C38">
        <v>20.362879</v>
      </c>
      <c r="D38">
        <v>20.046042</v>
      </c>
      <c r="E38">
        <v>20.156573000000002</v>
      </c>
      <c r="F38">
        <v>30.292206</v>
      </c>
      <c r="G38">
        <v>26.878015999999999</v>
      </c>
      <c r="H38">
        <v>26.445288000000001</v>
      </c>
      <c r="I38">
        <v>23.054646000000002</v>
      </c>
      <c r="J38">
        <v>56.396197000000001</v>
      </c>
      <c r="K38">
        <v>52.239123999999997</v>
      </c>
      <c r="L38">
        <v>161.30402000000001</v>
      </c>
      <c r="M38">
        <v>-622.52367200000003</v>
      </c>
      <c r="N38">
        <v>2.1563080000000001</v>
      </c>
      <c r="O38">
        <v>14.626246999999999</v>
      </c>
      <c r="P38">
        <f t="shared" si="3"/>
        <v>3.5938466666666668E-5</v>
      </c>
      <c r="Q38" cm="1">
        <f t="array" ref="Q38">[1]!PropsSI("D","T",J38+273.15,"P",101325,"Water")</f>
        <v>985.01103540236556</v>
      </c>
      <c r="R38" cm="1">
        <f t="array" ref="R38">[1]!PropsSI("D","T",K38+273.15,"P",101325,"Water")</f>
        <v>987.00599221712366</v>
      </c>
      <c r="S38">
        <f t="shared" si="4"/>
        <v>986.00851380974461</v>
      </c>
      <c r="T38" cm="1">
        <f t="array" ref="T38">[1]!PropsSI("H","T",J38+273.15,"P",101325,"Water")</f>
        <v>236169.66573045508</v>
      </c>
      <c r="U38" cm="1">
        <f t="array" ref="U38">[1]!PropsSI("H","T",K38+273.15,"P",101325,"Water")</f>
        <v>218781.77556743249</v>
      </c>
      <c r="V38">
        <f t="shared" si="5"/>
        <v>616.1509137026361</v>
      </c>
    </row>
    <row r="39" spans="1:22" x14ac:dyDescent="0.2">
      <c r="A39">
        <v>44660.884461805697</v>
      </c>
      <c r="B39">
        <v>20.277735</v>
      </c>
      <c r="C39">
        <v>20.366412</v>
      </c>
      <c r="D39">
        <v>20.016840999999999</v>
      </c>
      <c r="E39">
        <v>20.180516999999998</v>
      </c>
      <c r="F39">
        <v>30.220216000000001</v>
      </c>
      <c r="G39">
        <v>26.917798000000001</v>
      </c>
      <c r="H39">
        <v>26.371397000000002</v>
      </c>
      <c r="I39">
        <v>22.500820000000001</v>
      </c>
      <c r="J39">
        <v>56.392059000000003</v>
      </c>
      <c r="K39">
        <v>52.235467</v>
      </c>
      <c r="L39">
        <v>149.81561600000001</v>
      </c>
      <c r="M39">
        <v>-622.48530700000003</v>
      </c>
      <c r="N39">
        <v>2.1598649999999999</v>
      </c>
      <c r="O39">
        <v>14.936458</v>
      </c>
      <c r="P39">
        <f t="shared" si="3"/>
        <v>3.5997749999999999E-5</v>
      </c>
      <c r="Q39" cm="1">
        <f t="array" ref="Q39">[1]!PropsSI("D","T",J39+273.15,"P",101325,"Water")</f>
        <v>985.01307455122844</v>
      </c>
      <c r="R39" cm="1">
        <f t="array" ref="R39">[1]!PropsSI("D","T",K39+273.15,"P",101325,"Water")</f>
        <v>987.0076992584037</v>
      </c>
      <c r="S39">
        <f t="shared" si="4"/>
        <v>986.01038690481607</v>
      </c>
      <c r="T39" cm="1">
        <f t="array" ref="T39">[1]!PropsSI("H","T",J39+273.15,"P",101325,"Water")</f>
        <v>236152.35450848812</v>
      </c>
      <c r="U39" cm="1">
        <f t="array" ref="U39">[1]!PropsSI("H","T",K39+273.15,"P",101325,"Water")</f>
        <v>218766.48193544173</v>
      </c>
      <c r="V39">
        <f t="shared" si="5"/>
        <v>617.09686296276243</v>
      </c>
    </row>
    <row r="40" spans="1:22" x14ac:dyDescent="0.2">
      <c r="A40">
        <v>44660.884520254796</v>
      </c>
      <c r="B40">
        <v>20.316345999999999</v>
      </c>
      <c r="C40">
        <v>20.280023</v>
      </c>
      <c r="D40">
        <v>20.057679</v>
      </c>
      <c r="E40">
        <v>20.138221999999999</v>
      </c>
      <c r="F40">
        <v>30.244966000000002</v>
      </c>
      <c r="G40">
        <v>26.880099999999999</v>
      </c>
      <c r="H40">
        <v>25.93496</v>
      </c>
      <c r="I40">
        <v>22.437787</v>
      </c>
      <c r="J40">
        <v>56.392377000000003</v>
      </c>
      <c r="K40">
        <v>52.228631</v>
      </c>
      <c r="L40">
        <v>147.62266399999999</v>
      </c>
      <c r="M40">
        <v>-622.50081599999999</v>
      </c>
      <c r="N40">
        <v>2.1627869999999998</v>
      </c>
      <c r="O40">
        <v>14.899896999999999</v>
      </c>
      <c r="P40">
        <f t="shared" si="3"/>
        <v>3.6046449999999998E-5</v>
      </c>
      <c r="Q40" cm="1">
        <f t="array" ref="Q40">[1]!PropsSI("D","T",J40+273.15,"P",101325,"Water")</f>
        <v>985.01291784895727</v>
      </c>
      <c r="R40" cm="1">
        <f t="array" ref="R40">[1]!PropsSI("D","T",K40+273.15,"P",101325,"Water")</f>
        <v>987.01088998724867</v>
      </c>
      <c r="S40">
        <f t="shared" si="4"/>
        <v>986.01190391810292</v>
      </c>
      <c r="T40" cm="1">
        <f t="array" ref="T40">[1]!PropsSI("H","T",J40+273.15,"P",101325,"Water")</f>
        <v>236153.6848534875</v>
      </c>
      <c r="U40" cm="1">
        <f t="array" ref="U40">[1]!PropsSI("H","T",K40+273.15,"P",101325,"Water")</f>
        <v>218737.8936865034</v>
      </c>
      <c r="V40">
        <f t="shared" si="5"/>
        <v>618.99603428527621</v>
      </c>
    </row>
    <row r="41" spans="1:22" x14ac:dyDescent="0.2">
      <c r="A41">
        <v>44660.884578703903</v>
      </c>
      <c r="B41">
        <v>20.336767999999999</v>
      </c>
      <c r="C41">
        <v>20.210186</v>
      </c>
      <c r="D41">
        <v>20.019424999999998</v>
      </c>
      <c r="E41">
        <v>20.047286</v>
      </c>
      <c r="F41">
        <v>30.229336</v>
      </c>
      <c r="G41">
        <v>26.895907000000001</v>
      </c>
      <c r="H41">
        <v>26.093937</v>
      </c>
      <c r="I41">
        <v>22.728852</v>
      </c>
      <c r="J41">
        <v>56.392854999999997</v>
      </c>
      <c r="K41">
        <v>52.225292000000003</v>
      </c>
      <c r="L41">
        <v>153.43992399999999</v>
      </c>
      <c r="M41">
        <v>-622.50489800000003</v>
      </c>
      <c r="N41">
        <v>2.1644049999999999</v>
      </c>
      <c r="O41">
        <v>15.145883</v>
      </c>
      <c r="P41">
        <f t="shared" si="3"/>
        <v>3.6073416666666663E-5</v>
      </c>
      <c r="Q41" cm="1">
        <f t="array" ref="Q41">[1]!PropsSI("D","T",J41+273.15,"P",101325,"Water")</f>
        <v>985.01268230164442</v>
      </c>
      <c r="R41" cm="1">
        <f t="array" ref="R41">[1]!PropsSI("D","T",K41+273.15,"P",101325,"Water")</f>
        <v>987.01244836949229</v>
      </c>
      <c r="S41">
        <f t="shared" si="4"/>
        <v>986.0125653355683</v>
      </c>
      <c r="T41" cm="1">
        <f t="array" ref="T41">[1]!PropsSI("H","T",J41+273.15,"P",101325,"Water")</f>
        <v>236155.68455447973</v>
      </c>
      <c r="U41" cm="1">
        <f t="array" ref="U41">[1]!PropsSI("H","T",K41+273.15,"P",101325,"Water")</f>
        <v>218723.92994654857</v>
      </c>
      <c r="V41">
        <f t="shared" si="5"/>
        <v>620.0273273134901</v>
      </c>
    </row>
    <row r="42" spans="1:22" x14ac:dyDescent="0.2">
      <c r="A42">
        <v>46122.884637152776</v>
      </c>
      <c r="B42">
        <v>20.330805999999999</v>
      </c>
      <c r="C42">
        <v>20.187787</v>
      </c>
      <c r="D42">
        <v>19.982171999999998</v>
      </c>
      <c r="E42">
        <v>20.053612999999999</v>
      </c>
      <c r="F42">
        <v>30.234458</v>
      </c>
      <c r="G42">
        <v>26.529693999999999</v>
      </c>
      <c r="H42">
        <v>25.878793999999999</v>
      </c>
      <c r="I42">
        <v>22.644822000000001</v>
      </c>
      <c r="J42">
        <v>56.397629999999999</v>
      </c>
      <c r="K42">
        <v>52.226723</v>
      </c>
      <c r="L42">
        <v>148.034888</v>
      </c>
      <c r="M42">
        <v>-622.51714200000004</v>
      </c>
      <c r="N42">
        <v>2.1630159999999998</v>
      </c>
      <c r="O42">
        <v>14.974353000000001</v>
      </c>
      <c r="P42">
        <f t="shared" si="3"/>
        <v>3.6050266666666663E-5</v>
      </c>
      <c r="Q42" cm="1">
        <f t="array" ref="Q42">[1]!PropsSI("D","T",J42+273.15,"P",101325,"Water")</f>
        <v>985.01032921547437</v>
      </c>
      <c r="R42" cm="1">
        <f t="array" ref="R42">[1]!PropsSI("D","T",K42+273.15,"P",101325,"Water")</f>
        <v>987.01178050009685</v>
      </c>
      <c r="S42">
        <f t="shared" si="4"/>
        <v>986.01105485778567</v>
      </c>
      <c r="T42" cm="1">
        <f t="array" ref="T42">[1]!PropsSI("H","T",J42+273.15,"P",101325,"Water")</f>
        <v>236175.66065247409</v>
      </c>
      <c r="U42" cm="1">
        <f t="array" ref="U42">[1]!PropsSI("H","T",K42+273.15,"P",101325,"Water")</f>
        <v>218729.91440608789</v>
      </c>
      <c r="V42">
        <f t="shared" si="5"/>
        <v>620.12582378309992</v>
      </c>
    </row>
    <row r="43" spans="1:22" x14ac:dyDescent="0.2">
      <c r="A43">
        <v>46122.884695601853</v>
      </c>
      <c r="B43">
        <v>20.220479000000001</v>
      </c>
      <c r="C43">
        <v>20.145945999999999</v>
      </c>
      <c r="D43">
        <v>19.992574000000001</v>
      </c>
      <c r="E43">
        <v>20.091939</v>
      </c>
      <c r="F43">
        <v>30.227368999999999</v>
      </c>
      <c r="G43">
        <v>27.028874999999999</v>
      </c>
      <c r="H43">
        <v>25.880123999999999</v>
      </c>
      <c r="I43">
        <v>23.040548999999999</v>
      </c>
      <c r="J43">
        <v>56.398108000000001</v>
      </c>
      <c r="K43">
        <v>52.225133</v>
      </c>
      <c r="L43">
        <v>140.33935500000001</v>
      </c>
      <c r="M43">
        <v>-622.47959300000002</v>
      </c>
      <c r="N43">
        <v>2.153038</v>
      </c>
      <c r="O43">
        <v>14.740897</v>
      </c>
      <c r="P43">
        <f t="shared" si="3"/>
        <v>3.5883966666666664E-5</v>
      </c>
      <c r="Q43" cm="1">
        <f t="array" ref="Q43">[1]!PropsSI("D","T",J43+273.15,"P",101325,"Water")</f>
        <v>985.01009365278344</v>
      </c>
      <c r="R43" cm="1">
        <f t="array" ref="R43">[1]!PropsSI("D","T",K43+273.15,"P",101325,"Water")</f>
        <v>987.01252257636156</v>
      </c>
      <c r="S43">
        <f t="shared" si="4"/>
        <v>986.01130811457256</v>
      </c>
      <c r="T43" cm="1">
        <f t="array" ref="T43">[1]!PropsSI("H","T",J43+273.15,"P",101325,"Water")</f>
        <v>236177.66035439912</v>
      </c>
      <c r="U43" cm="1">
        <f t="array" ref="U43">[1]!PropsSI("H","T",K43+273.15,"P",101325,"Water")</f>
        <v>218723.26500664765</v>
      </c>
      <c r="V43">
        <f t="shared" si="5"/>
        <v>617.57136231835375</v>
      </c>
    </row>
    <row r="44" spans="1:22" x14ac:dyDescent="0.2">
      <c r="A44">
        <v>46122.884753472223</v>
      </c>
      <c r="B44">
        <v>20.142346</v>
      </c>
      <c r="C44">
        <v>20.101205</v>
      </c>
      <c r="D44">
        <v>19.977326999999999</v>
      </c>
      <c r="E44">
        <v>20.056170999999999</v>
      </c>
      <c r="F44">
        <v>30.127217999999999</v>
      </c>
      <c r="G44">
        <v>26.862490999999999</v>
      </c>
      <c r="H44">
        <v>25.942720999999999</v>
      </c>
      <c r="I44">
        <v>22.711894999999998</v>
      </c>
      <c r="J44">
        <v>56.395561000000001</v>
      </c>
      <c r="K44">
        <v>52.219569</v>
      </c>
      <c r="L44">
        <v>152.04407499999999</v>
      </c>
      <c r="M44">
        <v>-622.47918500000003</v>
      </c>
      <c r="N44">
        <v>2.164037</v>
      </c>
      <c r="O44">
        <v>14.762297</v>
      </c>
      <c r="P44">
        <f t="shared" si="3"/>
        <v>3.6067283333333336E-5</v>
      </c>
      <c r="Q44" cm="1">
        <f t="array" ref="Q44">[1]!PropsSI("D","T",J44+273.15,"P",101325,"Water")</f>
        <v>985.01134882115252</v>
      </c>
      <c r="R44" cm="1">
        <f t="array" ref="R44">[1]!PropsSI("D","T",K44+273.15,"P",101325,"Water")</f>
        <v>987.01511924929434</v>
      </c>
      <c r="S44">
        <f t="shared" si="4"/>
        <v>986.01323403522338</v>
      </c>
      <c r="T44" cm="1">
        <f t="array" ref="T44">[1]!PropsSI("H","T",J44+273.15,"P",101325,"Water")</f>
        <v>236167.00503948756</v>
      </c>
      <c r="U44" cm="1">
        <f t="array" ref="U44">[1]!PropsSI("H","T",K44+273.15,"P",101325,"Water")</f>
        <v>218699.99629691866</v>
      </c>
      <c r="V44">
        <f t="shared" si="5"/>
        <v>621.17606483525708</v>
      </c>
    </row>
    <row r="45" spans="1:22" x14ac:dyDescent="0.2">
      <c r="A45">
        <v>46122.8848119213</v>
      </c>
      <c r="B45">
        <v>20.308364999999998</v>
      </c>
      <c r="C45">
        <v>20.094010999999998</v>
      </c>
      <c r="D45">
        <v>19.976866999999999</v>
      </c>
      <c r="E45">
        <v>20.043538000000002</v>
      </c>
      <c r="F45">
        <v>30.141995999999999</v>
      </c>
      <c r="G45">
        <v>26.668375000000001</v>
      </c>
      <c r="H45">
        <v>25.607854</v>
      </c>
      <c r="I45">
        <v>22.621797000000001</v>
      </c>
      <c r="J45">
        <v>56.396833999999998</v>
      </c>
      <c r="K45">
        <v>52.216070999999999</v>
      </c>
      <c r="L45">
        <v>147.824287</v>
      </c>
      <c r="M45">
        <v>-622.47632799999997</v>
      </c>
      <c r="N45">
        <v>2.162512</v>
      </c>
      <c r="O45">
        <v>14.820016000000001</v>
      </c>
      <c r="P45">
        <f t="shared" si="3"/>
        <v>3.6041866666666671E-5</v>
      </c>
      <c r="Q45" cm="1">
        <f t="array" ref="Q45">[1]!PropsSI("D","T",J45+273.15,"P",101325,"Water")</f>
        <v>985.01072148833168</v>
      </c>
      <c r="R45" cm="1">
        <f t="array" ref="R45">[1]!PropsSI("D","T",K45+273.15,"P",101325,"Water")</f>
        <v>987.01675163561811</v>
      </c>
      <c r="S45">
        <f t="shared" si="4"/>
        <v>986.01373656197484</v>
      </c>
      <c r="T45" cm="1">
        <f t="array" ref="T45">[1]!PropsSI("H","T",J45+273.15,"P",101325,"Water")</f>
        <v>236172.3306049353</v>
      </c>
      <c r="U45" cm="1">
        <f t="array" ref="U45">[1]!PropsSI("H","T",K45+273.15,"P",101325,"Water")</f>
        <v>218685.36762718146</v>
      </c>
      <c r="V45">
        <f t="shared" si="5"/>
        <v>621.44776666030054</v>
      </c>
    </row>
    <row r="46" spans="1:22" x14ac:dyDescent="0.2">
      <c r="A46">
        <v>46122.88487037037</v>
      </c>
      <c r="B46">
        <v>20.378692000000001</v>
      </c>
      <c r="C46">
        <v>20.33024</v>
      </c>
      <c r="D46">
        <v>20.024547999999999</v>
      </c>
      <c r="E46">
        <v>20.081078000000002</v>
      </c>
      <c r="F46">
        <v>30.212534999999999</v>
      </c>
      <c r="G46">
        <v>26.971958999999998</v>
      </c>
      <c r="H46">
        <v>26.260638</v>
      </c>
      <c r="I46">
        <v>22.741230000000002</v>
      </c>
      <c r="J46">
        <v>56.398744000000001</v>
      </c>
      <c r="K46">
        <v>52.219410000000003</v>
      </c>
      <c r="L46">
        <v>149.96826100000001</v>
      </c>
      <c r="M46">
        <v>-622.49183700000003</v>
      </c>
      <c r="N46">
        <v>2.1603240000000001</v>
      </c>
      <c r="O46">
        <v>14.933534999999999</v>
      </c>
      <c r="P46">
        <f t="shared" si="3"/>
        <v>3.6005400000000006E-5</v>
      </c>
      <c r="Q46" cm="1">
        <f t="array" ref="Q46">[1]!PropsSI("D","T",J46+273.15,"P",101325,"Water")</f>
        <v>985.00978022410072</v>
      </c>
      <c r="R46" cm="1">
        <f t="array" ref="R46">[1]!PropsSI("D","T",K46+273.15,"P",101325,"Water")</f>
        <v>987.01519345034615</v>
      </c>
      <c r="S46">
        <f t="shared" si="4"/>
        <v>986.01248683722338</v>
      </c>
      <c r="T46" cm="1">
        <f t="array" ref="T46">[1]!PropsSI("H","T",J46+273.15,"P",101325,"Water")</f>
        <v>236180.32104593501</v>
      </c>
      <c r="U46" cm="1">
        <f t="array" ref="U46">[1]!PropsSI("H","T",K46+273.15,"P",101325,"Water")</f>
        <v>218699.33135733122</v>
      </c>
      <c r="V46">
        <f t="shared" si="5"/>
        <v>620.60614510872131</v>
      </c>
    </row>
    <row r="47" spans="1:22" x14ac:dyDescent="0.2">
      <c r="A47">
        <v>46122.884928819447</v>
      </c>
      <c r="B47">
        <v>20.234072999999999</v>
      </c>
      <c r="C47">
        <v>20.290614000000001</v>
      </c>
      <c r="D47">
        <v>19.984693</v>
      </c>
      <c r="E47">
        <v>20.172595999999999</v>
      </c>
      <c r="F47">
        <v>30.156701999999999</v>
      </c>
      <c r="G47">
        <v>27.141444</v>
      </c>
      <c r="H47">
        <v>26.584624000000002</v>
      </c>
      <c r="I47">
        <v>22.958328000000002</v>
      </c>
      <c r="J47">
        <v>56.396833999999998</v>
      </c>
      <c r="K47">
        <v>52.219410000000003</v>
      </c>
      <c r="L47">
        <v>143.676331</v>
      </c>
      <c r="M47">
        <v>-622.50204099999996</v>
      </c>
      <c r="N47">
        <v>2.1650900000000002</v>
      </c>
      <c r="O47">
        <v>14.625852999999999</v>
      </c>
      <c r="P47">
        <f t="shared" si="3"/>
        <v>3.6084833333333337E-5</v>
      </c>
      <c r="Q47" cm="1">
        <f t="array" ref="Q47">[1]!PropsSI("D","T",J47+273.15,"P",101325,"Water")</f>
        <v>985.01072148833168</v>
      </c>
      <c r="R47" cm="1">
        <f t="array" ref="R47">[1]!PropsSI("D","T",K47+273.15,"P",101325,"Water")</f>
        <v>987.01519345034615</v>
      </c>
      <c r="S47">
        <f t="shared" si="4"/>
        <v>986.01295746933897</v>
      </c>
      <c r="T47" cm="1">
        <f t="array" ref="T47">[1]!PropsSI("H","T",J47+273.15,"P",101325,"Water")</f>
        <v>236172.3306049353</v>
      </c>
      <c r="U47" cm="1">
        <f t="array" ref="U47">[1]!PropsSI("H","T",K47+273.15,"P",101325,"Water")</f>
        <v>218699.33135733122</v>
      </c>
      <c r="V47">
        <f t="shared" si="5"/>
        <v>621.691291781122</v>
      </c>
    </row>
    <row r="48" spans="1:22" x14ac:dyDescent="0.2">
      <c r="A48">
        <v>46122.884986689816</v>
      </c>
      <c r="B48">
        <v>20.24428</v>
      </c>
      <c r="C48">
        <v>20.301895999999999</v>
      </c>
      <c r="D48">
        <v>20.065389</v>
      </c>
      <c r="E48">
        <v>20.164462</v>
      </c>
      <c r="F48">
        <v>30.137063999999999</v>
      </c>
      <c r="G48">
        <v>26.889966999999999</v>
      </c>
      <c r="H48">
        <v>25.842023999999999</v>
      </c>
      <c r="I48">
        <v>22.452103999999999</v>
      </c>
      <c r="J48">
        <v>56.399380999999998</v>
      </c>
      <c r="K48">
        <v>52.223385</v>
      </c>
      <c r="L48">
        <v>150.38048499999999</v>
      </c>
      <c r="M48">
        <v>-622.47224600000004</v>
      </c>
      <c r="N48">
        <v>2.158074</v>
      </c>
      <c r="O48">
        <v>14.947615000000001</v>
      </c>
      <c r="P48">
        <f t="shared" si="3"/>
        <v>3.5967900000000005E-5</v>
      </c>
      <c r="Q48" cm="1">
        <f t="array" ref="Q48">[1]!PropsSI("D","T",J48+273.15,"P",101325,"Water")</f>
        <v>985.00946630013721</v>
      </c>
      <c r="R48" cm="1">
        <f t="array" ref="R48">[1]!PropsSI("D","T",K48+273.15,"P",101325,"Water")</f>
        <v>987.01333837488141</v>
      </c>
      <c r="S48">
        <f t="shared" si="4"/>
        <v>986.01140233750925</v>
      </c>
      <c r="T48" cm="1">
        <f t="array" ref="T48">[1]!PropsSI("H","T",J48+273.15,"P",101325,"Water")</f>
        <v>236182.98592105886</v>
      </c>
      <c r="U48" cm="1">
        <f t="array" ref="U48">[1]!PropsSI("H","T",K48+273.15,"P",101325,"Water")</f>
        <v>218715.95485020994</v>
      </c>
      <c r="V48">
        <f t="shared" si="5"/>
        <v>619.46405642345462</v>
      </c>
    </row>
    <row r="49" spans="1:22" x14ac:dyDescent="0.2">
      <c r="A49">
        <v>44660.885045139097</v>
      </c>
      <c r="B49">
        <v>20.198515</v>
      </c>
      <c r="C49">
        <v>20.234227000000001</v>
      </c>
      <c r="D49">
        <v>20.092445000000001</v>
      </c>
      <c r="E49">
        <v>20.157236000000001</v>
      </c>
      <c r="F49">
        <v>30.180143000000001</v>
      </c>
      <c r="G49">
        <v>26.683187</v>
      </c>
      <c r="H49">
        <v>25.845585</v>
      </c>
      <c r="I49">
        <v>22.634361999999999</v>
      </c>
      <c r="J49">
        <v>56.400336000000003</v>
      </c>
      <c r="K49">
        <v>52.224021</v>
      </c>
      <c r="L49">
        <v>159.59716700000001</v>
      </c>
      <c r="M49">
        <v>-622.49142900000004</v>
      </c>
      <c r="N49">
        <v>2.1607050000000001</v>
      </c>
      <c r="O49">
        <v>14.757887</v>
      </c>
      <c r="P49">
        <f t="shared" si="3"/>
        <v>3.6011750000000003E-5</v>
      </c>
      <c r="Q49" cm="1">
        <f t="array" ref="Q49">[1]!PropsSI("D","T",J49+273.15,"P",101325,"Water")</f>
        <v>985.00899565591601</v>
      </c>
      <c r="R49" cm="1">
        <f t="array" ref="R49">[1]!PropsSI("D","T",K49+273.15,"P",101325,"Water")</f>
        <v>987.01304155342416</v>
      </c>
      <c r="S49">
        <f t="shared" si="4"/>
        <v>986.01101860467008</v>
      </c>
      <c r="T49" cm="1">
        <f t="array" ref="T49">[1]!PropsSI("H","T",J49+273.15,"P",101325,"Water")</f>
        <v>236186.98114235001</v>
      </c>
      <c r="U49" cm="1">
        <f t="array" ref="U49">[1]!PropsSI("H","T",K49+273.15,"P",101325,"Water")</f>
        <v>218718.61460952295</v>
      </c>
      <c r="V49">
        <f t="shared" si="5"/>
        <v>620.26644964420257</v>
      </c>
    </row>
    <row r="50" spans="1:22" x14ac:dyDescent="0.2">
      <c r="A50" t="s">
        <v>18</v>
      </c>
      <c r="B50">
        <v>20.189965999999998</v>
      </c>
      <c r="C50">
        <v>20.162592</v>
      </c>
      <c r="D50">
        <v>20.061684</v>
      </c>
      <c r="E50">
        <v>20.117601000000001</v>
      </c>
      <c r="F50">
        <v>30.178436999999999</v>
      </c>
      <c r="G50">
        <v>26.738340999999998</v>
      </c>
      <c r="H50">
        <v>26.136533</v>
      </c>
      <c r="I50">
        <v>22.594536999999999</v>
      </c>
      <c r="J50">
        <v>56.400973</v>
      </c>
      <c r="K50">
        <v>52.227677</v>
      </c>
      <c r="L50">
        <v>142.46006499999999</v>
      </c>
      <c r="M50">
        <v>-622.49061300000005</v>
      </c>
      <c r="N50">
        <v>2.1596350000000002</v>
      </c>
      <c r="O50">
        <v>14.931628999999999</v>
      </c>
      <c r="P50">
        <f t="shared" si="3"/>
        <v>3.5993916666666664E-5</v>
      </c>
      <c r="Q50" cm="1">
        <f t="array" ref="Q50">[1]!PropsSI("D","T",J50+273.15,"P",101325,"Water")</f>
        <v>985.00868172574576</v>
      </c>
      <c r="R50" cm="1">
        <f t="array" ref="R50">[1]!PropsSI("D","T",K50+273.15,"P",101325,"Water")</f>
        <v>987.01133524657871</v>
      </c>
      <c r="S50">
        <f t="shared" si="4"/>
        <v>986.01000848616218</v>
      </c>
      <c r="T50" cm="1">
        <f t="array" ref="T50">[1]!PropsSI("H","T",J50+273.15,"P",101325,"Water")</f>
        <v>236189.64601785591</v>
      </c>
      <c r="U50" cm="1">
        <f t="array" ref="U50">[1]!PropsSI("H","T",K50+273.15,"P",101325,"Water")</f>
        <v>218733.90404619722</v>
      </c>
      <c r="V50">
        <f t="shared" si="5"/>
        <v>619.51060291343936</v>
      </c>
    </row>
    <row r="51" spans="1:22" x14ac:dyDescent="0.2">
      <c r="A51">
        <v>46122.885160879632</v>
      </c>
      <c r="B51">
        <v>20.177174999999998</v>
      </c>
      <c r="C51">
        <v>20.184505999999999</v>
      </c>
      <c r="D51">
        <v>20.002803</v>
      </c>
      <c r="E51">
        <v>20.112401999999999</v>
      </c>
      <c r="F51">
        <v>30.094429000000002</v>
      </c>
      <c r="G51">
        <v>26.852611</v>
      </c>
      <c r="H51">
        <v>25.892963000000002</v>
      </c>
      <c r="I51">
        <v>22.853985000000002</v>
      </c>
      <c r="J51">
        <v>56.401131999999997</v>
      </c>
      <c r="K51">
        <v>52.226564000000003</v>
      </c>
      <c r="L51">
        <v>148.08182500000001</v>
      </c>
      <c r="M51">
        <v>-622.49550999999997</v>
      </c>
      <c r="N51">
        <v>2.1622330000000001</v>
      </c>
      <c r="O51">
        <v>14.975484</v>
      </c>
      <c r="P51">
        <f t="shared" si="3"/>
        <v>3.6037216666666664E-5</v>
      </c>
      <c r="Q51" cm="1">
        <f t="array" ref="Q51">[1]!PropsSI("D","T",J51+273.15,"P",101325,"Water")</f>
        <v>985.00860336601932</v>
      </c>
      <c r="R51" cm="1">
        <f t="array" ref="R51">[1]!PropsSI("D","T",K51+273.15,"P",101325,"Water")</f>
        <v>987.01185470846383</v>
      </c>
      <c r="S51">
        <f t="shared" si="4"/>
        <v>986.01022903724152</v>
      </c>
      <c r="T51" cm="1">
        <f t="array" ref="T51">[1]!PropsSI("H","T",J51+273.15,"P",101325,"Water")</f>
        <v>236190.31119095499</v>
      </c>
      <c r="U51" cm="1">
        <f t="array" ref="U51">[1]!PropsSI("H","T",K51+273.15,"P",101325,"Water")</f>
        <v>218729.24946610897</v>
      </c>
      <c r="V51">
        <f t="shared" si="5"/>
        <v>620.44502830568683</v>
      </c>
    </row>
    <row r="52" spans="1:22" x14ac:dyDescent="0.2">
      <c r="A52">
        <v>46122.885219328702</v>
      </c>
      <c r="B52">
        <v>20.117394000000001</v>
      </c>
      <c r="C52">
        <v>20.149374999999999</v>
      </c>
      <c r="D52">
        <v>20.008538999999999</v>
      </c>
      <c r="E52">
        <v>20.136230000000001</v>
      </c>
      <c r="F52">
        <v>30.023219999999998</v>
      </c>
      <c r="G52">
        <v>26.870128000000001</v>
      </c>
      <c r="H52">
        <v>26.283083999999999</v>
      </c>
      <c r="I52">
        <v>22.806374000000002</v>
      </c>
      <c r="J52">
        <v>56.400336000000003</v>
      </c>
      <c r="K52">
        <v>52.224815</v>
      </c>
      <c r="L52">
        <v>151.250238</v>
      </c>
      <c r="M52">
        <v>-622.49673499999994</v>
      </c>
      <c r="N52">
        <v>2.1656589999999998</v>
      </c>
      <c r="O52">
        <v>14.695835000000001</v>
      </c>
      <c r="P52">
        <f t="shared" si="3"/>
        <v>3.6094316666666668E-5</v>
      </c>
      <c r="Q52" cm="1">
        <f t="array" ref="Q52">[1]!PropsSI("D","T",J52+273.15,"P",101325,"Water")</f>
        <v>985.00899565591601</v>
      </c>
      <c r="R52" cm="1">
        <f t="array" ref="R52">[1]!PropsSI("D","T",K52+273.15,"P",101325,"Water")</f>
        <v>987.0126709896906</v>
      </c>
      <c r="S52">
        <f t="shared" si="4"/>
        <v>986.01083332280336</v>
      </c>
      <c r="T52" cm="1">
        <f t="array" ref="T52">[1]!PropsSI("H","T",J52+273.15,"P",101325,"Water")</f>
        <v>236186.98114235001</v>
      </c>
      <c r="U52" cm="1">
        <f t="array" ref="U52">[1]!PropsSI("H","T",K52+273.15,"P",101325,"Water")</f>
        <v>218721.93512683202</v>
      </c>
      <c r="V52">
        <f t="shared" si="5"/>
        <v>621.57028606772451</v>
      </c>
    </row>
    <row r="53" spans="1:22" x14ac:dyDescent="0.2">
      <c r="A53">
        <v>46122.885277199071</v>
      </c>
      <c r="B53">
        <v>20.083428999999999</v>
      </c>
      <c r="C53">
        <v>20.159583000000001</v>
      </c>
      <c r="D53">
        <v>20.033602999999999</v>
      </c>
      <c r="E53">
        <v>20.106352000000001</v>
      </c>
      <c r="F53">
        <v>30.052078000000002</v>
      </c>
      <c r="G53">
        <v>26.800467999999999</v>
      </c>
      <c r="H53">
        <v>26.445841000000001</v>
      </c>
      <c r="I53">
        <v>22.906199000000001</v>
      </c>
      <c r="J53">
        <v>56.397948</v>
      </c>
      <c r="K53">
        <v>52.223385</v>
      </c>
      <c r="L53">
        <v>144.99708100000001</v>
      </c>
      <c r="M53">
        <v>-622.50449000000003</v>
      </c>
      <c r="N53">
        <v>2.1613929999999999</v>
      </c>
      <c r="O53">
        <v>14.850311</v>
      </c>
      <c r="P53">
        <f t="shared" si="3"/>
        <v>3.6023216666666661E-5</v>
      </c>
      <c r="Q53" cm="1">
        <f t="array" ref="Q53">[1]!PropsSI("D","T",J53+273.15,"P",101325,"Water")</f>
        <v>985.01017250236839</v>
      </c>
      <c r="R53" cm="1">
        <f t="array" ref="R53">[1]!PropsSI("D","T",K53+273.15,"P",101325,"Water")</f>
        <v>987.01333837488141</v>
      </c>
      <c r="S53">
        <f t="shared" si="4"/>
        <v>986.01175543862496</v>
      </c>
      <c r="T53" cm="1">
        <f t="array" ref="T53">[1]!PropsSI("H","T",J53+273.15,"P",101325,"Water")</f>
        <v>236176.99099813486</v>
      </c>
      <c r="U53" cm="1">
        <f t="array" ref="U53">[1]!PropsSI("H","T",K53+273.15,"P",101325,"Water")</f>
        <v>218715.95485020994</v>
      </c>
      <c r="V53">
        <f t="shared" si="5"/>
        <v>620.20404494635955</v>
      </c>
    </row>
    <row r="54" spans="1:22" x14ac:dyDescent="0.2">
      <c r="A54">
        <v>46122.885335069448</v>
      </c>
      <c r="B54">
        <v>20.108969999999999</v>
      </c>
      <c r="C54">
        <v>20.172369</v>
      </c>
      <c r="D54">
        <v>20.074012</v>
      </c>
      <c r="E54">
        <v>20.140142000000001</v>
      </c>
      <c r="F54">
        <v>30.070730999999999</v>
      </c>
      <c r="G54">
        <v>26.811216999999999</v>
      </c>
      <c r="H54">
        <v>26.254242999999999</v>
      </c>
      <c r="I54">
        <v>22.933073</v>
      </c>
      <c r="J54">
        <v>56.398266999999997</v>
      </c>
      <c r="K54">
        <v>52.222431</v>
      </c>
      <c r="L54">
        <v>139.83529899999999</v>
      </c>
      <c r="M54">
        <v>-622.51591800000006</v>
      </c>
      <c r="N54">
        <v>2.1689790000000002</v>
      </c>
      <c r="O54">
        <v>14.893848</v>
      </c>
      <c r="P54">
        <f t="shared" si="3"/>
        <v>3.614965E-5</v>
      </c>
      <c r="Q54" cm="1">
        <f t="array" ref="Q54">[1]!PropsSI("D","T",J54+273.15,"P",101325,"Water")</f>
        <v>985.01001529584437</v>
      </c>
      <c r="R54" cm="1">
        <f t="array" ref="R54">[1]!PropsSI("D","T",K54+273.15,"P",101325,"Water")</f>
        <v>987.01378360221156</v>
      </c>
      <c r="S54">
        <f t="shared" si="4"/>
        <v>986.01189944902796</v>
      </c>
      <c r="T54" cm="1">
        <f t="array" ref="T54">[1]!PropsSI("H","T",J54+273.15,"P",101325,"Water")</f>
        <v>236178.32552730758</v>
      </c>
      <c r="U54" cm="1">
        <f t="array" ref="U54">[1]!PropsSI("H","T",K54+273.15,"P",101325,"Water")</f>
        <v>218711.96521144247</v>
      </c>
      <c r="V54">
        <f t="shared" si="5"/>
        <v>622.57068616729919</v>
      </c>
    </row>
    <row r="55" spans="1:22" x14ac:dyDescent="0.2">
      <c r="A55">
        <v>46122.885393518518</v>
      </c>
      <c r="B55">
        <v>20.202950000000001</v>
      </c>
      <c r="C55">
        <v>20.129954999999999</v>
      </c>
      <c r="D55">
        <v>20.104734000000001</v>
      </c>
      <c r="E55">
        <v>20.158370999999999</v>
      </c>
      <c r="F55">
        <v>30.153084</v>
      </c>
      <c r="G55">
        <v>26.801703</v>
      </c>
      <c r="H55">
        <v>26.039089000000001</v>
      </c>
      <c r="I55">
        <v>22.764385999999998</v>
      </c>
      <c r="J55">
        <v>56.399698999999998</v>
      </c>
      <c r="K55">
        <v>52.223543999999997</v>
      </c>
      <c r="L55">
        <v>140.34996699999999</v>
      </c>
      <c r="M55">
        <v>-622.49061300000005</v>
      </c>
      <c r="N55">
        <v>2.1631019999999999</v>
      </c>
      <c r="O55">
        <v>14.791995</v>
      </c>
      <c r="P55">
        <f t="shared" si="3"/>
        <v>3.6051699999999999E-5</v>
      </c>
      <c r="Q55" cm="1">
        <f t="array" ref="Q55">[1]!PropsSI("D","T",J55+273.15,"P",101325,"Water")</f>
        <v>985.00930958362801</v>
      </c>
      <c r="R55" cm="1">
        <f t="array" ref="R55">[1]!PropsSI("D","T",K55+273.15,"P",101325,"Water")</f>
        <v>987.01326416975598</v>
      </c>
      <c r="S55">
        <f t="shared" si="4"/>
        <v>986.011286876692</v>
      </c>
      <c r="T55" cm="1">
        <f t="array" ref="T55">[1]!PropsSI("H","T",J55+273.15,"P",101325,"Water")</f>
        <v>236184.31626699594</v>
      </c>
      <c r="U55" cm="1">
        <f t="array" ref="U55">[1]!PropsSI("H","T",K55+273.15,"P",101325,"Water")</f>
        <v>218716.61979001324</v>
      </c>
      <c r="V55">
        <f t="shared" si="5"/>
        <v>620.93089873558381</v>
      </c>
    </row>
    <row r="56" spans="1:22" x14ac:dyDescent="0.2">
      <c r="A56">
        <v>46122.885451967595</v>
      </c>
      <c r="B56">
        <v>20.187203</v>
      </c>
      <c r="C56">
        <v>20.405729999999998</v>
      </c>
      <c r="D56">
        <v>20.090052</v>
      </c>
      <c r="E56">
        <v>20.227007</v>
      </c>
      <c r="F56">
        <v>30.139619</v>
      </c>
      <c r="G56">
        <v>26.975421000000001</v>
      </c>
      <c r="H56">
        <v>26.179167</v>
      </c>
      <c r="I56">
        <v>22.517074000000001</v>
      </c>
      <c r="J56">
        <v>56.400018000000003</v>
      </c>
      <c r="K56">
        <v>52.223703</v>
      </c>
      <c r="L56">
        <v>150.840462</v>
      </c>
      <c r="M56">
        <v>-622.50571400000001</v>
      </c>
      <c r="N56">
        <v>2.1553939999999998</v>
      </c>
      <c r="O56">
        <v>14.934386</v>
      </c>
      <c r="P56">
        <f t="shared" si="3"/>
        <v>3.5923233333333329E-5</v>
      </c>
      <c r="Q56" cm="1">
        <f t="array" ref="Q56">[1]!PropsSI("D","T",J56+273.15,"P",101325,"Water")</f>
        <v>985.00915237366996</v>
      </c>
      <c r="R56" cm="1">
        <f t="array" ref="R56">[1]!PropsSI("D","T",K56+273.15,"P",101325,"Water")</f>
        <v>987.01318996447446</v>
      </c>
      <c r="S56">
        <f t="shared" si="4"/>
        <v>986.01117116907221</v>
      </c>
      <c r="T56" cm="1">
        <f t="array" ref="T56">[1]!PropsSI("H","T",J56+273.15,"P",101325,"Water")</f>
        <v>236185.65079641136</v>
      </c>
      <c r="U56" cm="1">
        <f t="array" ref="U56">[1]!PropsSI("H","T",K56+273.15,"P",101325,"Water")</f>
        <v>218717.28472984038</v>
      </c>
      <c r="V56">
        <f t="shared" si="5"/>
        <v>618.7419176333907</v>
      </c>
    </row>
    <row r="57" spans="1:22" x14ac:dyDescent="0.2">
      <c r="A57">
        <v>46122.885510416665</v>
      </c>
      <c r="B57">
        <v>20.264303000000002</v>
      </c>
      <c r="C57">
        <v>20.351236</v>
      </c>
      <c r="D57">
        <v>20.141186000000001</v>
      </c>
      <c r="E57">
        <v>20.247747</v>
      </c>
      <c r="F57">
        <v>30.198089</v>
      </c>
      <c r="G57">
        <v>26.944887000000001</v>
      </c>
      <c r="H57">
        <v>25.842828999999998</v>
      </c>
      <c r="I57">
        <v>22.851631999999999</v>
      </c>
      <c r="J57">
        <v>56.399540000000002</v>
      </c>
      <c r="K57">
        <v>52.224656000000003</v>
      </c>
      <c r="L57">
        <v>149.814391</v>
      </c>
      <c r="M57">
        <v>-622.46979699999997</v>
      </c>
      <c r="N57">
        <v>2.159545</v>
      </c>
      <c r="O57">
        <v>14.835977</v>
      </c>
      <c r="P57">
        <f t="shared" si="3"/>
        <v>3.5992416666666668E-5</v>
      </c>
      <c r="Q57" cm="1">
        <f t="array" ref="Q57">[1]!PropsSI("D","T",J57+273.15,"P",101325,"Water")</f>
        <v>985.0093879419436</v>
      </c>
      <c r="R57" cm="1">
        <f t="array" ref="R57">[1]!PropsSI("D","T",K57+273.15,"P",101325,"Water")</f>
        <v>987.01274519609387</v>
      </c>
      <c r="S57">
        <f t="shared" si="4"/>
        <v>986.01106656901879</v>
      </c>
      <c r="T57" cm="1">
        <f t="array" ref="T57">[1]!PropsSI("H","T",J57+273.15,"P",101325,"Water")</f>
        <v>236183.65109403292</v>
      </c>
      <c r="U57" cm="1">
        <f t="array" ref="U57">[1]!PropsSI("H","T",K57+273.15,"P",101325,"Water")</f>
        <v>218721.27018695656</v>
      </c>
      <c r="V57">
        <f t="shared" si="5"/>
        <v>619.72105903084184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C46-586C-F245-BB37-5501FD8DFC6E}">
  <dimension ref="A1:W47"/>
  <sheetViews>
    <sheetView topLeftCell="L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44660.887222222402</v>
      </c>
      <c r="B2">
        <v>20.356843999999999</v>
      </c>
      <c r="C2">
        <v>20.427672999999999</v>
      </c>
      <c r="D2">
        <v>20.075315</v>
      </c>
      <c r="E2">
        <v>20.163488000000001</v>
      </c>
      <c r="F2">
        <v>29.313289999999999</v>
      </c>
      <c r="G2">
        <v>26.098382000000001</v>
      </c>
      <c r="H2">
        <v>25.525852</v>
      </c>
      <c r="I2">
        <v>22.516960000000001</v>
      </c>
      <c r="J2">
        <v>56.384259</v>
      </c>
      <c r="K2">
        <v>52.049140999999999</v>
      </c>
      <c r="L2">
        <v>192.291448</v>
      </c>
      <c r="M2">
        <v>-622.51428499999997</v>
      </c>
      <c r="N2">
        <v>2.162598</v>
      </c>
      <c r="O2">
        <v>14.563191</v>
      </c>
      <c r="P2">
        <f t="shared" ref="P2:P65" si="0" xml:space="preserve"> N2*0.001/60</f>
        <v>3.6043300000000001E-5</v>
      </c>
      <c r="Q2" cm="1">
        <f t="array" ref="Q2">[1]!PropsSI("D","T",J2+273.15,"P",101325,"Water")</f>
        <v>985.01691799783316</v>
      </c>
      <c r="R2" cm="1">
        <f t="array" ref="R2">[1]!PropsSI("D","T",K2+273.15,"P",101325,"Water")</f>
        <v>987.09456060019784</v>
      </c>
      <c r="S2">
        <f t="shared" ref="S2:S65" si="1">(Q2+R2)/2</f>
        <v>986.0557392990155</v>
      </c>
      <c r="T2" cm="1">
        <f t="array" ref="T2">[1]!PropsSI("H","T",J2+273.15,"P",101325,"Water")</f>
        <v>236119.72341683559</v>
      </c>
      <c r="U2" cm="1">
        <f t="array" ref="U2">[1]!PropsSI("H","T",K2+273.15,"P",101325,"Water")</f>
        <v>217987.26927694189</v>
      </c>
      <c r="V2">
        <f t="shared" ref="V2:V65" si="2">S2*P2*(T2-U2)</f>
        <v>644.4401641333086</v>
      </c>
      <c r="W2" s="2">
        <f>AVERAGE(V2:V47)</f>
        <v>646.51345867393752</v>
      </c>
    </row>
    <row r="3" spans="1:23" x14ac:dyDescent="0.2">
      <c r="A3">
        <v>44660.887280671501</v>
      </c>
      <c r="B3">
        <v>20.416805</v>
      </c>
      <c r="C3">
        <v>20.378018000000001</v>
      </c>
      <c r="D3">
        <v>20.111322999999999</v>
      </c>
      <c r="E3">
        <v>20.172243999999999</v>
      </c>
      <c r="F3">
        <v>29.306908</v>
      </c>
      <c r="G3">
        <v>26.198038</v>
      </c>
      <c r="H3">
        <v>25.619119000000001</v>
      </c>
      <c r="I3">
        <v>22.381212000000001</v>
      </c>
      <c r="J3">
        <v>56.382666999999998</v>
      </c>
      <c r="K3">
        <v>52.045326000000003</v>
      </c>
      <c r="L3">
        <v>206.42420999999999</v>
      </c>
      <c r="M3">
        <v>-622.48449100000005</v>
      </c>
      <c r="N3">
        <v>2.16059</v>
      </c>
      <c r="O3">
        <v>14.882145</v>
      </c>
      <c r="P3">
        <f t="shared" si="0"/>
        <v>3.6009833333333335E-5</v>
      </c>
      <c r="Q3" cm="1">
        <f t="array" ref="Q3">[1]!PropsSI("D","T",J3+273.15,"P",101325,"Water")</f>
        <v>985.01770240938993</v>
      </c>
      <c r="R3" cm="1">
        <f t="array" ref="R3">[1]!PropsSI("D","T",K3+273.15,"P",101325,"Water")</f>
        <v>987.09633675169187</v>
      </c>
      <c r="S3">
        <f t="shared" si="1"/>
        <v>986.0570195805409</v>
      </c>
      <c r="T3" cm="1">
        <f t="array" ref="T3">[1]!PropsSI("H","T",J3+273.15,"P",101325,"Water")</f>
        <v>236113.06333022649</v>
      </c>
      <c r="U3" cm="1">
        <f t="array" ref="U3">[1]!PropsSI("H","T",K3+273.15,"P",101325,"Water")</f>
        <v>217971.31511657516</v>
      </c>
      <c r="V3">
        <f t="shared" si="2"/>
        <v>644.17264076258391</v>
      </c>
      <c r="W3" s="2"/>
    </row>
    <row r="4" spans="1:23" x14ac:dyDescent="0.2">
      <c r="A4">
        <v>44660.887338541797</v>
      </c>
      <c r="B4">
        <v>20.327742000000001</v>
      </c>
      <c r="C4">
        <v>20.386512</v>
      </c>
      <c r="D4">
        <v>20.150226</v>
      </c>
      <c r="E4">
        <v>20.182718000000001</v>
      </c>
      <c r="F4">
        <v>29.287361000000001</v>
      </c>
      <c r="G4">
        <v>26.223993</v>
      </c>
      <c r="H4">
        <v>25.640329000000001</v>
      </c>
      <c r="I4">
        <v>22.574189000000001</v>
      </c>
      <c r="J4">
        <v>56.382348999999998</v>
      </c>
      <c r="K4">
        <v>52.041192000000002</v>
      </c>
      <c r="L4">
        <v>197.65771000000001</v>
      </c>
      <c r="M4">
        <v>-622.474695</v>
      </c>
      <c r="N4">
        <v>2.1634959999999999</v>
      </c>
      <c r="O4">
        <v>14.808897</v>
      </c>
      <c r="P4">
        <f t="shared" si="0"/>
        <v>3.6058266666666667E-5</v>
      </c>
      <c r="Q4" cm="1">
        <f t="array" ref="Q4">[1]!PropsSI("D","T",J4+273.15,"P",101325,"Water")</f>
        <v>985.0178590927726</v>
      </c>
      <c r="R4" cm="1">
        <f t="array" ref="R4">[1]!PropsSI("D","T",K4+273.15,"P",101325,"Water")</f>
        <v>987.09826131490422</v>
      </c>
      <c r="S4">
        <f t="shared" si="1"/>
        <v>986.05806020383841</v>
      </c>
      <c r="T4" cm="1">
        <f t="array" ref="T4">[1]!PropsSI("H","T",J4+273.15,"P",101325,"Water")</f>
        <v>236111.73298634475</v>
      </c>
      <c r="U4" cm="1">
        <f t="array" ref="U4">[1]!PropsSI("H","T",K4+273.15,"P",101325,"Water")</f>
        <v>217954.02691768666</v>
      </c>
      <c r="V4">
        <f t="shared" si="2"/>
        <v>645.60712584514295</v>
      </c>
      <c r="W4" s="2"/>
    </row>
    <row r="5" spans="1:23" x14ac:dyDescent="0.2">
      <c r="A5">
        <v>44660.887396412203</v>
      </c>
      <c r="B5">
        <v>20.304266999999999</v>
      </c>
      <c r="C5">
        <v>20.428471999999999</v>
      </c>
      <c r="D5">
        <v>20.167807</v>
      </c>
      <c r="E5">
        <v>20.196672</v>
      </c>
      <c r="F5">
        <v>29.187742</v>
      </c>
      <c r="G5">
        <v>26.272601000000002</v>
      </c>
      <c r="H5">
        <v>25.685855</v>
      </c>
      <c r="I5">
        <v>22.751480999999998</v>
      </c>
      <c r="J5">
        <v>56.382030999999998</v>
      </c>
      <c r="K5">
        <v>52.030700000000003</v>
      </c>
      <c r="L5">
        <v>189.21405100000001</v>
      </c>
      <c r="M5">
        <v>-622.46979699999997</v>
      </c>
      <c r="N5">
        <v>2.164196</v>
      </c>
      <c r="O5">
        <v>14.818377</v>
      </c>
      <c r="P5">
        <f t="shared" si="0"/>
        <v>3.6069933333333339E-5</v>
      </c>
      <c r="Q5" cm="1">
        <f t="array" ref="Q5">[1]!PropsSI("D","T",J5+273.15,"P",101325,"Water")</f>
        <v>985.0180157755093</v>
      </c>
      <c r="R5" cm="1">
        <f t="array" ref="R5">[1]!PropsSI("D","T",K5+273.15,"P",101325,"Water")</f>
        <v>987.10314532163227</v>
      </c>
      <c r="S5">
        <f t="shared" si="1"/>
        <v>986.06058054857078</v>
      </c>
      <c r="T5" cm="1">
        <f t="array" ref="T5">[1]!PropsSI("H","T",J5+273.15,"P",101325,"Water")</f>
        <v>236110.40264261852</v>
      </c>
      <c r="U5" cm="1">
        <f t="array" ref="U5">[1]!PropsSI("H","T",K5+273.15,"P",101325,"Water")</f>
        <v>217910.14987776944</v>
      </c>
      <c r="V5">
        <f t="shared" si="2"/>
        <v>647.33092725749486</v>
      </c>
      <c r="W5" s="2"/>
    </row>
    <row r="6" spans="1:23" x14ac:dyDescent="0.2">
      <c r="A6">
        <v>46122.887454861113</v>
      </c>
      <c r="B6">
        <v>20.249393000000001</v>
      </c>
      <c r="C6">
        <v>20.448352</v>
      </c>
      <c r="D6">
        <v>20.101099999999999</v>
      </c>
      <c r="E6">
        <v>20.199114999999999</v>
      </c>
      <c r="F6">
        <v>29.126087999999999</v>
      </c>
      <c r="G6">
        <v>26.180662999999999</v>
      </c>
      <c r="H6">
        <v>25.741662999999999</v>
      </c>
      <c r="I6">
        <v>22.510556999999999</v>
      </c>
      <c r="J6">
        <v>56.379325000000001</v>
      </c>
      <c r="K6">
        <v>52.034039</v>
      </c>
      <c r="L6">
        <v>188.51000500000001</v>
      </c>
      <c r="M6">
        <v>-622.47836800000005</v>
      </c>
      <c r="N6">
        <v>2.1640649999999999</v>
      </c>
      <c r="O6">
        <v>14.914956</v>
      </c>
      <c r="P6">
        <f t="shared" si="0"/>
        <v>3.6067749999999997E-5</v>
      </c>
      <c r="Q6" cm="1">
        <f t="array" ref="Q6">[1]!PropsSI("D","T",J6+273.15,"P",101325,"Water")</f>
        <v>985.01934903194399</v>
      </c>
      <c r="R6" cm="1">
        <f t="array" ref="R6">[1]!PropsSI("D","T",K6+273.15,"P",101325,"Water")</f>
        <v>987.1015910998193</v>
      </c>
      <c r="S6">
        <f t="shared" si="1"/>
        <v>986.06047006588165</v>
      </c>
      <c r="T6" cm="1">
        <f t="array" ref="T6">[1]!PropsSI("H","T",J6+273.15,"P",101325,"Water")</f>
        <v>236099.08217165279</v>
      </c>
      <c r="U6" cm="1">
        <f t="array" ref="U6">[1]!PropsSI("H","T",K6+273.15,"P",101325,"Water")</f>
        <v>217924.11341154907</v>
      </c>
      <c r="V6">
        <f t="shared" si="2"/>
        <v>646.39244624043454</v>
      </c>
      <c r="W6" s="2"/>
    </row>
    <row r="7" spans="1:23" x14ac:dyDescent="0.2">
      <c r="A7">
        <v>46122.887513310183</v>
      </c>
      <c r="B7">
        <v>20.254963</v>
      </c>
      <c r="C7">
        <v>20.279751999999998</v>
      </c>
      <c r="D7">
        <v>20.110337000000001</v>
      </c>
      <c r="E7">
        <v>20.169429999999998</v>
      </c>
      <c r="F7">
        <v>29.163578000000001</v>
      </c>
      <c r="G7">
        <v>26.078697999999999</v>
      </c>
      <c r="H7">
        <v>25.54392</v>
      </c>
      <c r="I7">
        <v>22.52834</v>
      </c>
      <c r="J7">
        <v>56.380757000000003</v>
      </c>
      <c r="K7">
        <v>52.031654000000003</v>
      </c>
      <c r="L7">
        <v>191.329047</v>
      </c>
      <c r="M7">
        <v>-622.49306200000001</v>
      </c>
      <c r="N7">
        <v>2.166032</v>
      </c>
      <c r="O7">
        <v>14.826751</v>
      </c>
      <c r="P7">
        <f t="shared" si="0"/>
        <v>3.6100533333333331E-5</v>
      </c>
      <c r="Q7" cm="1">
        <f t="array" ref="Q7">[1]!PropsSI("D","T",J7+273.15,"P",101325,"Water")</f>
        <v>985.01864348569597</v>
      </c>
      <c r="R7" cm="1">
        <f t="array" ref="R7">[1]!PropsSI("D","T",K7+273.15,"P",101325,"Water")</f>
        <v>987.10270126554599</v>
      </c>
      <c r="S7">
        <f t="shared" si="1"/>
        <v>986.06067237562092</v>
      </c>
      <c r="T7" cm="1">
        <f t="array" ref="T7">[1]!PropsSI("H","T",J7+273.15,"P",101325,"Water")</f>
        <v>236105.07290098854</v>
      </c>
      <c r="U7" cm="1">
        <f t="array" ref="U7">[1]!PropsSI("H","T",K7+273.15,"P",101325,"Water")</f>
        <v>217914.13945844915</v>
      </c>
      <c r="V7">
        <f t="shared" si="2"/>
        <v>647.54840921397533</v>
      </c>
      <c r="W7" s="2"/>
    </row>
    <row r="8" spans="1:23" x14ac:dyDescent="0.2">
      <c r="A8">
        <v>46122.88757175926</v>
      </c>
      <c r="B8">
        <v>20.221444999999999</v>
      </c>
      <c r="C8">
        <v>20.293880000000001</v>
      </c>
      <c r="D8">
        <v>20.127016000000001</v>
      </c>
      <c r="E8">
        <v>20.185248000000001</v>
      </c>
      <c r="F8">
        <v>29.090526000000001</v>
      </c>
      <c r="G8">
        <v>26.019703</v>
      </c>
      <c r="H8">
        <v>25.458199</v>
      </c>
      <c r="I8">
        <v>22.616036999999999</v>
      </c>
      <c r="J8">
        <v>56.381234999999997</v>
      </c>
      <c r="K8">
        <v>52.028950999999999</v>
      </c>
      <c r="L8">
        <v>183.47923599999999</v>
      </c>
      <c r="M8">
        <v>-622.46530800000005</v>
      </c>
      <c r="N8">
        <v>2.1567959999999999</v>
      </c>
      <c r="O8">
        <v>14.859321</v>
      </c>
      <c r="P8">
        <f t="shared" si="0"/>
        <v>3.5946599999999999E-5</v>
      </c>
      <c r="Q8" cm="1">
        <f t="array" ref="Q8">[1]!PropsSI("D","T",J8+273.15,"P",101325,"Water")</f>
        <v>985.01840797238299</v>
      </c>
      <c r="R8" cm="1">
        <f t="array" ref="R8">[1]!PropsSI("D","T",K8+273.15,"P",101325,"Water")</f>
        <v>987.10395940929413</v>
      </c>
      <c r="S8">
        <f t="shared" si="1"/>
        <v>986.06118369083856</v>
      </c>
      <c r="T8" cm="1">
        <f t="array" ref="T8">[1]!PropsSI("H","T",J8+273.15,"P",101325,"Water")</f>
        <v>236107.07259985511</v>
      </c>
      <c r="U8" cm="1">
        <f t="array" ref="U8">[1]!PropsSI("H","T",K8+273.15,"P",101325,"Water")</f>
        <v>217902.83564716243</v>
      </c>
      <c r="V8">
        <f t="shared" si="2"/>
        <v>645.25913551660688</v>
      </c>
      <c r="W8" s="2"/>
    </row>
    <row r="9" spans="1:23" x14ac:dyDescent="0.2">
      <c r="A9">
        <v>46122.887629629629</v>
      </c>
      <c r="B9">
        <v>20.236221</v>
      </c>
      <c r="C9">
        <v>20.318283000000001</v>
      </c>
      <c r="D9">
        <v>20.123325999999999</v>
      </c>
      <c r="E9">
        <v>20.170109</v>
      </c>
      <c r="F9">
        <v>29.189889000000001</v>
      </c>
      <c r="G9">
        <v>26.049437000000001</v>
      </c>
      <c r="H9">
        <v>25.888878999999999</v>
      </c>
      <c r="I9">
        <v>22.903465000000001</v>
      </c>
      <c r="J9">
        <v>56.382030999999998</v>
      </c>
      <c r="K9">
        <v>52.026249</v>
      </c>
      <c r="L9">
        <v>173.21240299999999</v>
      </c>
      <c r="M9">
        <v>-622.48122499999999</v>
      </c>
      <c r="N9">
        <v>2.1618970000000002</v>
      </c>
      <c r="O9">
        <v>14.955596</v>
      </c>
      <c r="P9">
        <f t="shared" si="0"/>
        <v>3.6031616666666673E-5</v>
      </c>
      <c r="Q9" cm="1">
        <f t="array" ref="Q9">[1]!PropsSI("D","T",J9+273.15,"P",101325,"Water")</f>
        <v>985.0180157755093</v>
      </c>
      <c r="R9" cm="1">
        <f t="array" ref="R9">[1]!PropsSI("D","T",K9+273.15,"P",101325,"Water")</f>
        <v>987.10521704080304</v>
      </c>
      <c r="S9">
        <f t="shared" si="1"/>
        <v>986.06161640815617</v>
      </c>
      <c r="T9" cm="1">
        <f t="array" ref="T9">[1]!PropsSI("H","T",J9+273.15,"P",101325,"Water")</f>
        <v>236110.40264261852</v>
      </c>
      <c r="U9" cm="1">
        <f t="array" ref="U9">[1]!PropsSI("H","T",K9+273.15,"P",101325,"Water")</f>
        <v>217891.53602007765</v>
      </c>
      <c r="V9">
        <f t="shared" si="2"/>
        <v>647.30529360176092</v>
      </c>
      <c r="W9" s="2"/>
    </row>
    <row r="10" spans="1:23" x14ac:dyDescent="0.2">
      <c r="A10">
        <v>44660.887687500202</v>
      </c>
      <c r="B10">
        <v>20.611504</v>
      </c>
      <c r="C10">
        <v>20.430880999999999</v>
      </c>
      <c r="D10">
        <v>20.101040999999999</v>
      </c>
      <c r="E10">
        <v>20.135646000000001</v>
      </c>
      <c r="F10">
        <v>29.494944</v>
      </c>
      <c r="G10">
        <v>25.957563</v>
      </c>
      <c r="H10">
        <v>25.601182999999999</v>
      </c>
      <c r="I10">
        <v>22.599895</v>
      </c>
      <c r="J10">
        <v>56.380597999999999</v>
      </c>
      <c r="K10">
        <v>52.030064000000003</v>
      </c>
      <c r="L10">
        <v>184.10369499999999</v>
      </c>
      <c r="M10">
        <v>-622.51346899999999</v>
      </c>
      <c r="N10">
        <v>2.1626059999999998</v>
      </c>
      <c r="O10">
        <v>14.888752999999999</v>
      </c>
      <c r="P10">
        <f t="shared" si="0"/>
        <v>3.6043433333333328E-5</v>
      </c>
      <c r="Q10" cm="1">
        <f t="array" ref="Q10">[1]!PropsSI("D","T",J10+273.15,"P",101325,"Water")</f>
        <v>985.01872182559953</v>
      </c>
      <c r="R10" cm="1">
        <f t="array" ref="R10">[1]!PropsSI("D","T",K10+273.15,"P",101325,"Water")</f>
        <v>987.10344135577327</v>
      </c>
      <c r="S10">
        <f t="shared" si="1"/>
        <v>986.0610815906864</v>
      </c>
      <c r="T10" cm="1">
        <f t="array" ref="T10">[1]!PropsSI("H","T",J10+273.15,"P",101325,"Water")</f>
        <v>236104.40772920294</v>
      </c>
      <c r="U10" cm="1">
        <f t="array" ref="U10">[1]!PropsSI("H","T",K10+273.15,"P",101325,"Water")</f>
        <v>217907.49015744013</v>
      </c>
      <c r="V10">
        <f t="shared" si="2"/>
        <v>646.73713613097141</v>
      </c>
    </row>
    <row r="11" spans="1:23" x14ac:dyDescent="0.2">
      <c r="A11">
        <v>44660.887745949301</v>
      </c>
      <c r="B11">
        <v>20.831516000000001</v>
      </c>
      <c r="C11">
        <v>20.643514</v>
      </c>
      <c r="D11">
        <v>20.075275000000001</v>
      </c>
      <c r="E11">
        <v>20.127376000000002</v>
      </c>
      <c r="F11">
        <v>29.526064000000002</v>
      </c>
      <c r="G11">
        <v>25.961679</v>
      </c>
      <c r="H11">
        <v>25.605537000000002</v>
      </c>
      <c r="I11">
        <v>22.565183999999999</v>
      </c>
      <c r="J11">
        <v>56.380757000000003</v>
      </c>
      <c r="K11">
        <v>52.035310000000003</v>
      </c>
      <c r="L11">
        <v>197.352419</v>
      </c>
      <c r="M11">
        <v>-622.46408299999996</v>
      </c>
      <c r="N11">
        <v>2.1633770000000001</v>
      </c>
      <c r="O11">
        <v>14.986527000000001</v>
      </c>
      <c r="P11">
        <f t="shared" si="0"/>
        <v>3.6056283333333339E-5</v>
      </c>
      <c r="Q11" cm="1">
        <f t="array" ref="Q11">[1]!PropsSI("D","T",J11+273.15,"P",101325,"Water")</f>
        <v>985.01864348569597</v>
      </c>
      <c r="R11" cm="1">
        <f t="array" ref="R11">[1]!PropsSI("D","T",K11+273.15,"P",101325,"Water")</f>
        <v>987.10099946198784</v>
      </c>
      <c r="S11">
        <f t="shared" si="1"/>
        <v>986.05982147384191</v>
      </c>
      <c r="T11" cm="1">
        <f t="array" ref="T11">[1]!PropsSI("H","T",J11+273.15,"P",101325,"Water")</f>
        <v>236105.07290098854</v>
      </c>
      <c r="U11" cm="1">
        <f t="array" ref="U11">[1]!PropsSI("H","T",K11+273.15,"P",101325,"Water")</f>
        <v>217929.42867199681</v>
      </c>
      <c r="V11">
        <f t="shared" si="2"/>
        <v>646.21053536743113</v>
      </c>
    </row>
    <row r="12" spans="1:23" x14ac:dyDescent="0.2">
      <c r="A12">
        <v>44660.887803819598</v>
      </c>
      <c r="B12">
        <v>20.368303000000001</v>
      </c>
      <c r="C12">
        <v>20.399570000000001</v>
      </c>
      <c r="D12">
        <v>20.034212</v>
      </c>
      <c r="E12">
        <v>20.175651999999999</v>
      </c>
      <c r="F12">
        <v>29.310303000000001</v>
      </c>
      <c r="G12">
        <v>26.272259999999999</v>
      </c>
      <c r="H12">
        <v>25.584717000000001</v>
      </c>
      <c r="I12">
        <v>22.620609000000002</v>
      </c>
      <c r="J12">
        <v>56.381712</v>
      </c>
      <c r="K12">
        <v>52.038808000000003</v>
      </c>
      <c r="L12">
        <v>190.35807500000001</v>
      </c>
      <c r="M12">
        <v>-622.50081599999999</v>
      </c>
      <c r="N12">
        <v>2.1632210000000001</v>
      </c>
      <c r="O12">
        <v>14.773695999999999</v>
      </c>
      <c r="P12">
        <f t="shared" si="0"/>
        <v>3.6053683333333333E-5</v>
      </c>
      <c r="Q12" cm="1">
        <f t="array" ref="Q12">[1]!PropsSI("D","T",J12+273.15,"P",101325,"Water")</f>
        <v>985.01817295034778</v>
      </c>
      <c r="R12" cm="1">
        <f t="array" ref="R12">[1]!PropsSI("D","T",K12+273.15,"P",101325,"Water")</f>
        <v>987.09937112445402</v>
      </c>
      <c r="S12">
        <f t="shared" si="1"/>
        <v>986.0587720374009</v>
      </c>
      <c r="T12" cm="1">
        <f t="array" ref="T12">[1]!PropsSI("H","T",J12+273.15,"P",101325,"Water")</f>
        <v>236109.06811540676</v>
      </c>
      <c r="U12" cm="1">
        <f t="array" ref="U12">[1]!PropsSI("H","T",K12+273.15,"P",101325,"Water")</f>
        <v>217944.05714118597</v>
      </c>
      <c r="V12">
        <f t="shared" si="2"/>
        <v>645.78522638472543</v>
      </c>
    </row>
    <row r="13" spans="1:23" x14ac:dyDescent="0.2">
      <c r="A13">
        <v>44660.887862268697</v>
      </c>
      <c r="B13">
        <v>20.395868</v>
      </c>
      <c r="C13">
        <v>20.390222999999999</v>
      </c>
      <c r="D13">
        <v>20.138615000000001</v>
      </c>
      <c r="E13">
        <v>20.278285</v>
      </c>
      <c r="F13">
        <v>29.255316000000001</v>
      </c>
      <c r="G13">
        <v>26.239070000000002</v>
      </c>
      <c r="H13">
        <v>25.544108000000001</v>
      </c>
      <c r="I13">
        <v>22.666668999999999</v>
      </c>
      <c r="J13">
        <v>56.381234999999997</v>
      </c>
      <c r="K13">
        <v>52.036740999999999</v>
      </c>
      <c r="L13">
        <v>185.43913800000001</v>
      </c>
      <c r="M13">
        <v>-622.49224500000003</v>
      </c>
      <c r="N13">
        <v>2.1606930000000002</v>
      </c>
      <c r="O13">
        <v>14.900368</v>
      </c>
      <c r="P13">
        <f t="shared" si="0"/>
        <v>3.6011550000000009E-5</v>
      </c>
      <c r="Q13" cm="1">
        <f t="array" ref="Q13">[1]!PropsSI("D","T",J13+273.15,"P",101325,"Water")</f>
        <v>985.01840797238299</v>
      </c>
      <c r="R13" cm="1">
        <f t="array" ref="R13">[1]!PropsSI("D","T",K13+273.15,"P",101325,"Water")</f>
        <v>987.10033333339038</v>
      </c>
      <c r="S13">
        <f t="shared" si="1"/>
        <v>986.05937065288663</v>
      </c>
      <c r="T13" cm="1">
        <f t="array" ref="T13">[1]!PropsSI("H","T",J13+273.15,"P",101325,"Water")</f>
        <v>236107.07259985511</v>
      </c>
      <c r="U13" cm="1">
        <f t="array" ref="U13">[1]!PropsSI("H","T",K13+273.15,"P",101325,"Water")</f>
        <v>217935.41304529336</v>
      </c>
      <c r="V13">
        <f t="shared" si="2"/>
        <v>645.26702339860447</v>
      </c>
    </row>
    <row r="14" spans="1:23" x14ac:dyDescent="0.2">
      <c r="A14">
        <v>44660.887920717803</v>
      </c>
      <c r="B14">
        <v>20.366455999999999</v>
      </c>
      <c r="C14">
        <v>20.434418999999998</v>
      </c>
      <c r="D14">
        <v>20.228301999999999</v>
      </c>
      <c r="E14">
        <v>20.318572</v>
      </c>
      <c r="F14">
        <v>29.275998999999999</v>
      </c>
      <c r="G14">
        <v>26.062974000000001</v>
      </c>
      <c r="H14">
        <v>25.589324999999999</v>
      </c>
      <c r="I14">
        <v>22.386431000000002</v>
      </c>
      <c r="J14">
        <v>56.379165</v>
      </c>
      <c r="K14">
        <v>52.037694999999999</v>
      </c>
      <c r="L14">
        <v>188.883047</v>
      </c>
      <c r="M14">
        <v>-622.50122399999998</v>
      </c>
      <c r="N14">
        <v>2.159853</v>
      </c>
      <c r="O14">
        <v>14.790253999999999</v>
      </c>
      <c r="P14">
        <f t="shared" si="0"/>
        <v>3.5997550000000006E-5</v>
      </c>
      <c r="Q14" cm="1">
        <f t="array" ref="Q14">[1]!PropsSI("D","T",J14+273.15,"P",101325,"Water")</f>
        <v>985.01942786314737</v>
      </c>
      <c r="R14" cm="1">
        <f t="array" ref="R14">[1]!PropsSI("D","T",K14+273.15,"P",101325,"Water")</f>
        <v>987.09988924036884</v>
      </c>
      <c r="S14">
        <f t="shared" si="1"/>
        <v>986.05965855175805</v>
      </c>
      <c r="T14" cm="1">
        <f t="array" ref="T14">[1]!PropsSI("H","T",J14+273.15,"P",101325,"Water")</f>
        <v>236098.41281646868</v>
      </c>
      <c r="U14" cm="1">
        <f t="array" ref="U14">[1]!PropsSI("H","T",K14+273.15,"P",101325,"Water")</f>
        <v>217939.40262780731</v>
      </c>
      <c r="V14">
        <f t="shared" si="2"/>
        <v>644.56735653059957</v>
      </c>
    </row>
    <row r="15" spans="1:23" x14ac:dyDescent="0.2">
      <c r="A15">
        <v>46122.88797916667</v>
      </c>
      <c r="B15">
        <v>20.336622999999999</v>
      </c>
      <c r="C15">
        <v>20.514177</v>
      </c>
      <c r="D15">
        <v>20.277875000000002</v>
      </c>
      <c r="E15">
        <v>20.379349000000001</v>
      </c>
      <c r="F15">
        <v>29.217998000000001</v>
      </c>
      <c r="G15">
        <v>26.217351000000001</v>
      </c>
      <c r="H15">
        <v>25.581209000000001</v>
      </c>
      <c r="I15">
        <v>22.528047000000001</v>
      </c>
      <c r="J15">
        <v>56.378369999999997</v>
      </c>
      <c r="K15">
        <v>52.034356000000002</v>
      </c>
      <c r="L15">
        <v>189.69402700000001</v>
      </c>
      <c r="M15">
        <v>-622.49836700000003</v>
      </c>
      <c r="N15">
        <v>2.1656840000000002</v>
      </c>
      <c r="O15">
        <v>14.936038</v>
      </c>
      <c r="P15">
        <f t="shared" si="0"/>
        <v>3.6094733333333339E-5</v>
      </c>
      <c r="Q15" cm="1">
        <f t="array" ref="Q15">[1]!PropsSI("D","T",J15+273.15,"P",101325,"Water")</f>
        <v>985.01981955334463</v>
      </c>
      <c r="R15" cm="1">
        <f t="array" ref="R15">[1]!PropsSI("D","T",K15+273.15,"P",101325,"Water")</f>
        <v>987.10144354045053</v>
      </c>
      <c r="S15">
        <f t="shared" si="1"/>
        <v>986.06063154689764</v>
      </c>
      <c r="T15" cm="1">
        <f t="array" ref="T15">[1]!PropsSI("H","T",J15+273.15,"P",101325,"Water")</f>
        <v>236095.0869580693</v>
      </c>
      <c r="U15" cm="1">
        <f t="array" ref="U15">[1]!PropsSI("H","T",K15+273.15,"P",101325,"Water")</f>
        <v>217925.43909014284</v>
      </c>
      <c r="V15">
        <f t="shared" si="2"/>
        <v>646.68675813181437</v>
      </c>
    </row>
    <row r="16" spans="1:23" x14ac:dyDescent="0.2">
      <c r="A16">
        <v>46122.888037615739</v>
      </c>
      <c r="B16">
        <v>20.345911000000001</v>
      </c>
      <c r="C16">
        <v>20.538242</v>
      </c>
      <c r="D16">
        <v>20.155705000000001</v>
      </c>
      <c r="E16">
        <v>20.360437000000001</v>
      </c>
      <c r="F16">
        <v>29.261409</v>
      </c>
      <c r="G16">
        <v>26.258403999999999</v>
      </c>
      <c r="H16">
        <v>25.347435000000001</v>
      </c>
      <c r="I16">
        <v>22.685359999999999</v>
      </c>
      <c r="J16">
        <v>56.374231000000002</v>
      </c>
      <c r="K16">
        <v>52.033880000000003</v>
      </c>
      <c r="L16">
        <v>186.992121</v>
      </c>
      <c r="M16">
        <v>-622.51061200000004</v>
      </c>
      <c r="N16">
        <v>2.1552920000000002</v>
      </c>
      <c r="O16">
        <v>14.544688000000001</v>
      </c>
      <c r="P16">
        <f t="shared" si="0"/>
        <v>3.5921533333333332E-5</v>
      </c>
      <c r="Q16" cm="1">
        <f t="array" ref="Q16">[1]!PropsSI("D","T",J16+273.15,"P",101325,"Water")</f>
        <v>985.0218587434299</v>
      </c>
      <c r="R16" cm="1">
        <f t="array" ref="R16">[1]!PropsSI("D","T",K16+273.15,"P",101325,"Water")</f>
        <v>987.10166511199236</v>
      </c>
      <c r="S16">
        <f t="shared" si="1"/>
        <v>986.06176192771113</v>
      </c>
      <c r="T16" cm="1">
        <f t="array" ref="T16">[1]!PropsSI("H","T",J16+273.15,"P",101325,"Water")</f>
        <v>236077.77158088688</v>
      </c>
      <c r="U16" cm="1">
        <f t="array" ref="U16">[1]!PropsSI("H","T",K16+273.15,"P",101325,"Water")</f>
        <v>217923.44848130841</v>
      </c>
      <c r="V16">
        <f t="shared" si="2"/>
        <v>643.04156352773043</v>
      </c>
    </row>
    <row r="17" spans="1:22" x14ac:dyDescent="0.2">
      <c r="A17">
        <v>46122.888096064817</v>
      </c>
      <c r="B17">
        <v>20.251985000000001</v>
      </c>
      <c r="C17">
        <v>20.301874999999999</v>
      </c>
      <c r="D17">
        <v>20.154972000000001</v>
      </c>
      <c r="E17">
        <v>20.263228999999999</v>
      </c>
      <c r="F17">
        <v>29.247869999999999</v>
      </c>
      <c r="G17">
        <v>25.869871</v>
      </c>
      <c r="H17">
        <v>25.643408999999998</v>
      </c>
      <c r="I17">
        <v>22.778749000000001</v>
      </c>
      <c r="J17">
        <v>56.371366000000002</v>
      </c>
      <c r="K17">
        <v>52.030064000000003</v>
      </c>
      <c r="L17">
        <v>199.806174</v>
      </c>
      <c r="M17">
        <v>-622.45265500000005</v>
      </c>
      <c r="N17">
        <v>2.1632500000000001</v>
      </c>
      <c r="O17">
        <v>14.934056</v>
      </c>
      <c r="P17">
        <f t="shared" si="0"/>
        <v>3.6054166666666671E-5</v>
      </c>
      <c r="Q17" cm="1">
        <f t="array" ref="Q17">[1]!PropsSI("D","T",J17+273.15,"P",101325,"Water")</f>
        <v>985.02327020159794</v>
      </c>
      <c r="R17" cm="1">
        <f t="array" ref="R17">[1]!PropsSI("D","T",K17+273.15,"P",101325,"Water")</f>
        <v>987.10344135577327</v>
      </c>
      <c r="S17">
        <f t="shared" si="1"/>
        <v>986.0633557786856</v>
      </c>
      <c r="T17" cm="1">
        <f t="array" ref="T17">[1]!PropsSI("H","T",J17+273.15,"P",101325,"Water")</f>
        <v>236065.78594677977</v>
      </c>
      <c r="U17" cm="1">
        <f t="array" ref="U17">[1]!PropsSI("H","T",K17+273.15,"P",101325,"Water")</f>
        <v>217907.49015744013</v>
      </c>
      <c r="V17">
        <f t="shared" si="2"/>
        <v>645.55814955469748</v>
      </c>
    </row>
    <row r="18" spans="1:22" x14ac:dyDescent="0.2">
      <c r="A18">
        <v>46122.888154513887</v>
      </c>
      <c r="B18">
        <v>20.418220000000002</v>
      </c>
      <c r="C18">
        <v>20.440477000000001</v>
      </c>
      <c r="D18">
        <v>20.116904000000002</v>
      </c>
      <c r="E18">
        <v>20.265986999999999</v>
      </c>
      <c r="F18">
        <v>29.363444000000001</v>
      </c>
      <c r="G18">
        <v>26.203989</v>
      </c>
      <c r="H18">
        <v>25.365044000000001</v>
      </c>
      <c r="I18">
        <v>22.609722000000001</v>
      </c>
      <c r="J18">
        <v>56.375027000000003</v>
      </c>
      <c r="K18">
        <v>52.030064000000003</v>
      </c>
      <c r="L18">
        <v>199.68740399999999</v>
      </c>
      <c r="M18">
        <v>-622.45877800000005</v>
      </c>
      <c r="N18">
        <v>2.1639870000000001</v>
      </c>
      <c r="O18">
        <v>14.71125</v>
      </c>
      <c r="P18">
        <f t="shared" si="0"/>
        <v>3.6066450000000001E-5</v>
      </c>
      <c r="Q18" cm="1">
        <f t="array" ref="Q18">[1]!PropsSI("D","T",J18+273.15,"P",101325,"Water")</f>
        <v>985.02146658068443</v>
      </c>
      <c r="R18" cm="1">
        <f t="array" ref="R18">[1]!PropsSI("D","T",K18+273.15,"P",101325,"Water")</f>
        <v>987.10344135577327</v>
      </c>
      <c r="S18">
        <f t="shared" si="1"/>
        <v>986.06245396822885</v>
      </c>
      <c r="T18" cm="1">
        <f t="array" ref="T18">[1]!PropsSI("H","T",J18+273.15,"P",101325,"Water")</f>
        <v>236081.10162151017</v>
      </c>
      <c r="U18" cm="1">
        <f t="array" ref="U18">[1]!PropsSI("H","T",K18+273.15,"P",101325,"Water")</f>
        <v>217907.49015744013</v>
      </c>
      <c r="V18">
        <f t="shared" si="2"/>
        <v>646.3221780308703</v>
      </c>
    </row>
    <row r="19" spans="1:22" x14ac:dyDescent="0.2">
      <c r="A19">
        <v>46122.888212962964</v>
      </c>
      <c r="B19">
        <v>20.572578</v>
      </c>
      <c r="C19">
        <v>20.499991999999999</v>
      </c>
      <c r="D19">
        <v>20.131383</v>
      </c>
      <c r="E19">
        <v>20.274802999999999</v>
      </c>
      <c r="F19">
        <v>29.453002999999999</v>
      </c>
      <c r="G19">
        <v>26.343449</v>
      </c>
      <c r="H19">
        <v>25.688165999999999</v>
      </c>
      <c r="I19">
        <v>22.578665000000001</v>
      </c>
      <c r="J19">
        <v>56.374867999999999</v>
      </c>
      <c r="K19">
        <v>52.026725999999996</v>
      </c>
      <c r="L19">
        <v>178.82763199999999</v>
      </c>
      <c r="M19">
        <v>-622.48449100000005</v>
      </c>
      <c r="N19">
        <v>2.1641140000000001</v>
      </c>
      <c r="O19">
        <v>14.91948</v>
      </c>
      <c r="P19">
        <f t="shared" si="0"/>
        <v>3.6068566666666669E-5</v>
      </c>
      <c r="Q19" cm="1">
        <f t="array" ref="Q19">[1]!PropsSI("D","T",J19+273.15,"P",101325,"Water")</f>
        <v>985.02154491500744</v>
      </c>
      <c r="R19" cm="1">
        <f t="array" ref="R19">[1]!PropsSI("D","T",K19+273.15,"P",101325,"Water")</f>
        <v>987.1049950270924</v>
      </c>
      <c r="S19">
        <f t="shared" si="1"/>
        <v>986.06326997104998</v>
      </c>
      <c r="T19" cm="1">
        <f t="array" ref="T19">[1]!PropsSI("H","T",J19+273.15,"P",101325,"Water")</f>
        <v>236080.43645008406</v>
      </c>
      <c r="U19" cm="1">
        <f t="array" ref="U19">[1]!PropsSI("H","T",K19+273.15,"P",101325,"Water")</f>
        <v>217893.53080976132</v>
      </c>
      <c r="V19">
        <f t="shared" si="2"/>
        <v>646.83346344707491</v>
      </c>
    </row>
    <row r="20" spans="1:22" x14ac:dyDescent="0.2">
      <c r="A20">
        <v>46122.888271412034</v>
      </c>
      <c r="B20">
        <v>20.384566</v>
      </c>
      <c r="C20">
        <v>20.477912</v>
      </c>
      <c r="D20">
        <v>20.199833000000002</v>
      </c>
      <c r="E20">
        <v>20.315207000000001</v>
      </c>
      <c r="F20">
        <v>29.358238</v>
      </c>
      <c r="G20">
        <v>26.007292</v>
      </c>
      <c r="H20">
        <v>25.738074999999998</v>
      </c>
      <c r="I20">
        <v>22.729126999999998</v>
      </c>
      <c r="J20">
        <v>56.376618999999998</v>
      </c>
      <c r="K20">
        <v>52.029904999999999</v>
      </c>
      <c r="L20">
        <v>199.72250399999999</v>
      </c>
      <c r="M20">
        <v>-622.47020599999996</v>
      </c>
      <c r="N20">
        <v>2.1619299999999999</v>
      </c>
      <c r="O20">
        <v>14.469331</v>
      </c>
      <c r="P20">
        <f t="shared" si="0"/>
        <v>3.6032166666666664E-5</v>
      </c>
      <c r="Q20" cm="1">
        <f t="array" ref="Q20">[1]!PropsSI("D","T",J20+273.15,"P",101325,"Water")</f>
        <v>985.02068224356242</v>
      </c>
      <c r="R20" cm="1">
        <f t="array" ref="R20">[1]!PropsSI("D","T",K20+273.15,"P",101325,"Water")</f>
        <v>987.10351536390397</v>
      </c>
      <c r="S20">
        <f t="shared" si="1"/>
        <v>986.06209880373319</v>
      </c>
      <c r="T20" cm="1">
        <f t="array" ref="T20">[1]!PropsSI("H","T",J20+273.15,"P",101325,"Water")</f>
        <v>236087.76170348295</v>
      </c>
      <c r="U20" cm="1">
        <f t="array" ref="U20">[1]!PropsSI("H","T",K20+273.15,"P",101325,"Water")</f>
        <v>217906.82522739028</v>
      </c>
      <c r="V20">
        <f t="shared" si="2"/>
        <v>645.96783463221618</v>
      </c>
    </row>
    <row r="21" spans="1:22" x14ac:dyDescent="0.2">
      <c r="A21">
        <v>46122.88832928241</v>
      </c>
      <c r="B21">
        <v>20.343622</v>
      </c>
      <c r="C21">
        <v>20.454725</v>
      </c>
      <c r="D21">
        <v>20.180361999999999</v>
      </c>
      <c r="E21">
        <v>20.309031999999998</v>
      </c>
      <c r="F21">
        <v>29.298078</v>
      </c>
      <c r="G21">
        <v>26.065138000000001</v>
      </c>
      <c r="H21">
        <v>25.465945999999999</v>
      </c>
      <c r="I21">
        <v>22.411985999999999</v>
      </c>
      <c r="J21">
        <v>56.377254999999998</v>
      </c>
      <c r="K21">
        <v>52.032926000000003</v>
      </c>
      <c r="L21">
        <v>192.01227800000001</v>
      </c>
      <c r="M21">
        <v>-622.506122</v>
      </c>
      <c r="N21">
        <v>2.1636310000000001</v>
      </c>
      <c r="O21">
        <v>14.930129000000001</v>
      </c>
      <c r="P21">
        <f t="shared" si="0"/>
        <v>3.6060516666666668E-5</v>
      </c>
      <c r="Q21" cm="1">
        <f t="array" ref="Q21">[1]!PropsSI("D","T",J21+273.15,"P",101325,"Water")</f>
        <v>985.02036889853025</v>
      </c>
      <c r="R21" cm="1">
        <f t="array" ref="R21">[1]!PropsSI("D","T",K21+273.15,"P",101325,"Water")</f>
        <v>987.1021091816915</v>
      </c>
      <c r="S21">
        <f t="shared" si="1"/>
        <v>986.06123904011088</v>
      </c>
      <c r="T21" cm="1">
        <f t="array" ref="T21">[1]!PropsSI("H","T",J21+273.15,"P",101325,"Water")</f>
        <v>236090.42238978649</v>
      </c>
      <c r="U21" cm="1">
        <f t="array" ref="U21">[1]!PropsSI("H","T",K21+273.15,"P",101325,"Water")</f>
        <v>217919.45889990119</v>
      </c>
      <c r="V21">
        <f t="shared" si="2"/>
        <v>646.12089827783711</v>
      </c>
    </row>
    <row r="22" spans="1:22" x14ac:dyDescent="0.2">
      <c r="A22">
        <v>46122.88838773148</v>
      </c>
      <c r="B22">
        <v>20.681584000000001</v>
      </c>
      <c r="C22">
        <v>20.696293000000001</v>
      </c>
      <c r="D22">
        <v>20.219518999999998</v>
      </c>
      <c r="E22">
        <v>20.320218000000001</v>
      </c>
      <c r="F22">
        <v>29.520205000000001</v>
      </c>
      <c r="G22">
        <v>26.300882999999999</v>
      </c>
      <c r="H22">
        <v>25.070577</v>
      </c>
      <c r="I22">
        <v>22.548158999999998</v>
      </c>
      <c r="J22">
        <v>56.377574000000003</v>
      </c>
      <c r="K22">
        <v>52.034674000000003</v>
      </c>
      <c r="L22">
        <v>193.43384</v>
      </c>
      <c r="M22">
        <v>-622.46734900000001</v>
      </c>
      <c r="N22">
        <v>2.1627459999999998</v>
      </c>
      <c r="O22">
        <v>14.775703999999999</v>
      </c>
      <c r="P22">
        <f t="shared" si="0"/>
        <v>3.604576666666666E-5</v>
      </c>
      <c r="Q22" cm="1">
        <f t="array" ref="Q22">[1]!PropsSI("D","T",J22+273.15,"P",101325,"Water")</f>
        <v>985.02021173238279</v>
      </c>
      <c r="R22" cm="1">
        <f t="array" ref="R22">[1]!PropsSI("D","T",K22+273.15,"P",101325,"Water")</f>
        <v>987.10129551495572</v>
      </c>
      <c r="S22">
        <f t="shared" si="1"/>
        <v>986.06075362366926</v>
      </c>
      <c r="T22" cm="1">
        <f t="array" ref="T22">[1]!PropsSI("H","T",J22+273.15,"P",101325,"Water")</f>
        <v>236091.75691644574</v>
      </c>
      <c r="U22" cm="1">
        <f t="array" ref="U22">[1]!PropsSI("H","T",K22+273.15,"P",101325,"Water")</f>
        <v>217926.76895071453</v>
      </c>
      <c r="V22">
        <f t="shared" si="2"/>
        <v>645.6439045734619</v>
      </c>
    </row>
    <row r="23" spans="1:22" x14ac:dyDescent="0.2">
      <c r="A23">
        <v>46122.888446180557</v>
      </c>
      <c r="B23">
        <v>20.364042999999999</v>
      </c>
      <c r="C23">
        <v>20.395578</v>
      </c>
      <c r="D23">
        <v>20.281848</v>
      </c>
      <c r="E23">
        <v>20.305866999999999</v>
      </c>
      <c r="F23">
        <v>29.284168000000001</v>
      </c>
      <c r="G23">
        <v>26.053991</v>
      </c>
      <c r="H23">
        <v>25.263897</v>
      </c>
      <c r="I23">
        <v>22.538060999999999</v>
      </c>
      <c r="J23">
        <v>56.377254999999998</v>
      </c>
      <c r="K23">
        <v>52.032449</v>
      </c>
      <c r="L23">
        <v>191.01110399999999</v>
      </c>
      <c r="M23">
        <v>-622.48204199999998</v>
      </c>
      <c r="N23">
        <v>2.1637780000000002</v>
      </c>
      <c r="O23">
        <v>14.916862</v>
      </c>
      <c r="P23">
        <f t="shared" si="0"/>
        <v>3.606296666666667E-5</v>
      </c>
      <c r="Q23" cm="1">
        <f t="array" ref="Q23">[1]!PropsSI("D","T",J23+273.15,"P",101325,"Water")</f>
        <v>985.02036889853025</v>
      </c>
      <c r="R23" cm="1">
        <f t="array" ref="R23">[1]!PropsSI("D","T",K23+273.15,"P",101325,"Water")</f>
        <v>987.10233121434828</v>
      </c>
      <c r="S23">
        <f t="shared" si="1"/>
        <v>986.06135005643932</v>
      </c>
      <c r="T23" cm="1">
        <f t="array" ref="T23">[1]!PropsSI("H","T",J23+273.15,"P",101325,"Water")</f>
        <v>236090.42238978649</v>
      </c>
      <c r="U23" cm="1">
        <f t="array" ref="U23">[1]!PropsSI("H","T",K23+273.15,"P",101325,"Water")</f>
        <v>217917.46410931041</v>
      </c>
      <c r="V23">
        <f t="shared" si="2"/>
        <v>646.23580469655883</v>
      </c>
    </row>
    <row r="24" spans="1:22" x14ac:dyDescent="0.2">
      <c r="A24">
        <v>46122.888504050927</v>
      </c>
      <c r="B24">
        <v>20.381824999999999</v>
      </c>
      <c r="C24">
        <v>20.400209</v>
      </c>
      <c r="D24">
        <v>20.172974</v>
      </c>
      <c r="E24">
        <v>20.235558000000001</v>
      </c>
      <c r="F24">
        <v>29.222591000000001</v>
      </c>
      <c r="G24">
        <v>26.112252999999999</v>
      </c>
      <c r="H24">
        <v>25.359898999999999</v>
      </c>
      <c r="I24">
        <v>22.844249999999999</v>
      </c>
      <c r="J24">
        <v>56.375822999999997</v>
      </c>
      <c r="K24">
        <v>52.033085</v>
      </c>
      <c r="L24">
        <v>169.682784</v>
      </c>
      <c r="M24">
        <v>-622.480817</v>
      </c>
      <c r="N24">
        <v>2.1647859999999999</v>
      </c>
      <c r="O24">
        <v>14.919810999999999</v>
      </c>
      <c r="P24">
        <f t="shared" si="0"/>
        <v>3.607976666666666E-5</v>
      </c>
      <c r="Q24" cm="1">
        <f t="array" ref="Q24">[1]!PropsSI("D","T",J24+273.15,"P",101325,"Water")</f>
        <v>985.02107441405792</v>
      </c>
      <c r="R24" cm="1">
        <f t="array" ref="R24">[1]!PropsSI("D","T",K24+273.15,"P",101325,"Water")</f>
        <v>987.10203517046011</v>
      </c>
      <c r="S24">
        <f t="shared" si="1"/>
        <v>986.06155479225902</v>
      </c>
      <c r="T24" cm="1">
        <f t="array" ref="T24">[1]!PropsSI("H","T",J24+273.15,"P",101325,"Water")</f>
        <v>236084.43166238963</v>
      </c>
      <c r="U24" cm="1">
        <f t="array" ref="U24">[1]!PropsSI("H","T",K24+273.15,"P",101325,"Water")</f>
        <v>217920.12383012637</v>
      </c>
      <c r="V24">
        <f t="shared" si="2"/>
        <v>646.2292332082211</v>
      </c>
    </row>
    <row r="25" spans="1:22" x14ac:dyDescent="0.2">
      <c r="A25">
        <v>46122.888562499997</v>
      </c>
      <c r="B25">
        <v>20.297685000000001</v>
      </c>
      <c r="C25">
        <v>20.446784999999998</v>
      </c>
      <c r="D25">
        <v>20.125765000000001</v>
      </c>
      <c r="E25">
        <v>20.275905000000002</v>
      </c>
      <c r="F25">
        <v>29.098448999999999</v>
      </c>
      <c r="G25">
        <v>26.188261000000001</v>
      </c>
      <c r="H25">
        <v>25.415951</v>
      </c>
      <c r="I25">
        <v>22.356770000000001</v>
      </c>
      <c r="J25">
        <v>56.376300000000001</v>
      </c>
      <c r="K25">
        <v>52.034832999999999</v>
      </c>
      <c r="L25">
        <v>198.37644900000001</v>
      </c>
      <c r="M25">
        <v>-622.48612300000002</v>
      </c>
      <c r="N25">
        <v>2.1640489999999999</v>
      </c>
      <c r="O25">
        <v>14.927092</v>
      </c>
      <c r="P25">
        <f t="shared" si="0"/>
        <v>3.606748333333333E-5</v>
      </c>
      <c r="Q25" cm="1">
        <f t="array" ref="Q25">[1]!PropsSI("D","T",J25+273.15,"P",101325,"Water")</f>
        <v>985.02083940782813</v>
      </c>
      <c r="R25" cm="1">
        <f t="array" ref="R25">[1]!PropsSI("D","T",K25+273.15,"P",101325,"Water")</f>
        <v>987.10122150195218</v>
      </c>
      <c r="S25">
        <f t="shared" si="1"/>
        <v>986.06103045489021</v>
      </c>
      <c r="T25" cm="1">
        <f t="array" ref="T25">[1]!PropsSI("H","T",J25+273.15,"P",101325,"Water")</f>
        <v>236086.42717694084</v>
      </c>
      <c r="U25" cm="1">
        <f t="array" ref="U25">[1]!PropsSI("H","T",K25+273.15,"P",101325,"Water")</f>
        <v>217927.43388102518</v>
      </c>
      <c r="V25">
        <f t="shared" si="2"/>
        <v>645.8198712647187</v>
      </c>
    </row>
    <row r="26" spans="1:22" x14ac:dyDescent="0.2">
      <c r="A26">
        <v>46122.888620949074</v>
      </c>
      <c r="B26">
        <v>20.298597000000001</v>
      </c>
      <c r="C26">
        <v>20.354827</v>
      </c>
      <c r="D26">
        <v>20.137115000000001</v>
      </c>
      <c r="E26">
        <v>20.298853000000001</v>
      </c>
      <c r="F26">
        <v>29.234154</v>
      </c>
      <c r="G26">
        <v>25.925429000000001</v>
      </c>
      <c r="H26">
        <v>25.743071</v>
      </c>
      <c r="I26">
        <v>22.500606000000001</v>
      </c>
      <c r="J26">
        <v>56.377574000000003</v>
      </c>
      <c r="K26">
        <v>52.032449</v>
      </c>
      <c r="L26">
        <v>200.48818</v>
      </c>
      <c r="M26">
        <v>-622.49183700000003</v>
      </c>
      <c r="N26">
        <v>2.164803</v>
      </c>
      <c r="O26">
        <v>14.754913999999999</v>
      </c>
      <c r="P26">
        <f t="shared" si="0"/>
        <v>3.6080049999999997E-5</v>
      </c>
      <c r="Q26" cm="1">
        <f t="array" ref="Q26">[1]!PropsSI("D","T",J26+273.15,"P",101325,"Water")</f>
        <v>985.02021173238279</v>
      </c>
      <c r="R26" cm="1">
        <f t="array" ref="R26">[1]!PropsSI("D","T",K26+273.15,"P",101325,"Water")</f>
        <v>987.10233121434828</v>
      </c>
      <c r="S26">
        <f t="shared" si="1"/>
        <v>986.06127147336554</v>
      </c>
      <c r="T26" cm="1">
        <f t="array" ref="T26">[1]!PropsSI("H","T",J26+273.15,"P",101325,"Water")</f>
        <v>236091.75691644574</v>
      </c>
      <c r="U26" cm="1">
        <f t="array" ref="U26">[1]!PropsSI("H","T",K26+273.15,"P",101325,"Water")</f>
        <v>217917.46410931041</v>
      </c>
      <c r="V26">
        <f t="shared" si="2"/>
        <v>646.58935919738792</v>
      </c>
    </row>
    <row r="27" spans="1:22" x14ac:dyDescent="0.2">
      <c r="A27">
        <v>46122.888678819443</v>
      </c>
      <c r="B27">
        <v>20.262257999999999</v>
      </c>
      <c r="C27">
        <v>20.445088999999999</v>
      </c>
      <c r="D27">
        <v>20.198813999999999</v>
      </c>
      <c r="E27">
        <v>20.298348000000001</v>
      </c>
      <c r="F27">
        <v>29.227471000000001</v>
      </c>
      <c r="G27">
        <v>26.213554999999999</v>
      </c>
      <c r="H27">
        <v>25.755165000000002</v>
      </c>
      <c r="I27">
        <v>22.607074999999998</v>
      </c>
      <c r="J27">
        <v>56.378847</v>
      </c>
      <c r="K27">
        <v>52.029268999999999</v>
      </c>
      <c r="L27">
        <v>199.45966000000001</v>
      </c>
      <c r="M27">
        <v>-622.48938799999996</v>
      </c>
      <c r="N27">
        <v>2.160758</v>
      </c>
      <c r="O27">
        <v>14.791309</v>
      </c>
      <c r="P27">
        <f t="shared" si="0"/>
        <v>3.6012633333333335E-5</v>
      </c>
      <c r="Q27" cm="1">
        <f t="array" ref="Q27">[1]!PropsSI("D","T",J27+273.15,"P",101325,"Water")</f>
        <v>985.01958453968007</v>
      </c>
      <c r="R27" cm="1">
        <f t="array" ref="R27">[1]!PropsSI("D","T",K27+273.15,"P",101325,"Water")</f>
        <v>987.10381139483422</v>
      </c>
      <c r="S27">
        <f t="shared" si="1"/>
        <v>986.06169796725715</v>
      </c>
      <c r="T27" cm="1">
        <f t="array" ref="T27">[1]!PropsSI("H","T",J27+273.15,"P",101325,"Water")</f>
        <v>236097.08247308858</v>
      </c>
      <c r="U27" cm="1">
        <f t="array" ref="U27">[1]!PropsSI("H","T",K27+273.15,"P",101325,"Water")</f>
        <v>217904.16550720032</v>
      </c>
      <c r="V27">
        <f t="shared" si="2"/>
        <v>646.04282304124172</v>
      </c>
    </row>
    <row r="28" spans="1:22" x14ac:dyDescent="0.2">
      <c r="A28">
        <v>46122.88873726852</v>
      </c>
      <c r="B28">
        <v>20.245511</v>
      </c>
      <c r="C28">
        <v>20.389714999999999</v>
      </c>
      <c r="D28">
        <v>20.186622</v>
      </c>
      <c r="E28">
        <v>20.345320000000001</v>
      </c>
      <c r="F28">
        <v>29.129389</v>
      </c>
      <c r="G28">
        <v>26.137571999999999</v>
      </c>
      <c r="H28">
        <v>25.406366999999999</v>
      </c>
      <c r="I28">
        <v>22.425533000000001</v>
      </c>
      <c r="J28">
        <v>56.379325000000001</v>
      </c>
      <c r="K28">
        <v>52.027203</v>
      </c>
      <c r="L28">
        <v>209.03918100000001</v>
      </c>
      <c r="M28">
        <v>-622.46694000000002</v>
      </c>
      <c r="N28">
        <v>2.1597460000000002</v>
      </c>
      <c r="O28">
        <v>14.900876</v>
      </c>
      <c r="P28">
        <f t="shared" si="0"/>
        <v>3.5995766666666672E-5</v>
      </c>
      <c r="Q28" cm="1">
        <f t="array" ref="Q28">[1]!PropsSI("D","T",J28+273.15,"P",101325,"Water")</f>
        <v>985.01934903194399</v>
      </c>
      <c r="R28" cm="1">
        <f t="array" ref="R28">[1]!PropsSI("D","T",K28+273.15,"P",101325,"Water")</f>
        <v>987.10477301192145</v>
      </c>
      <c r="S28">
        <f t="shared" si="1"/>
        <v>986.06206102193278</v>
      </c>
      <c r="T28" cm="1">
        <f t="array" ref="T28">[1]!PropsSI("H","T",J28+273.15,"P",101325,"Water")</f>
        <v>236099.08217165279</v>
      </c>
      <c r="U28" cm="1">
        <f t="array" ref="U28">[1]!PropsSI("H","T",K28+273.15,"P",101325,"Water")</f>
        <v>217895.52559948823</v>
      </c>
      <c r="V28">
        <f t="shared" si="2"/>
        <v>646.11812677197361</v>
      </c>
    </row>
    <row r="29" spans="1:22" x14ac:dyDescent="0.2">
      <c r="A29">
        <v>46122.88879571759</v>
      </c>
      <c r="B29">
        <v>20.179615999999999</v>
      </c>
      <c r="C29">
        <v>20.370348</v>
      </c>
      <c r="D29">
        <v>20.186525</v>
      </c>
      <c r="E29">
        <v>20.37256</v>
      </c>
      <c r="F29">
        <v>29.173010999999999</v>
      </c>
      <c r="G29">
        <v>26.103656000000001</v>
      </c>
      <c r="H29">
        <v>25.548093000000001</v>
      </c>
      <c r="I29">
        <v>22.848856000000001</v>
      </c>
      <c r="J29">
        <v>56.380757000000003</v>
      </c>
      <c r="K29">
        <v>52.023546000000003</v>
      </c>
      <c r="L29">
        <v>183.57963899999999</v>
      </c>
      <c r="M29">
        <v>-622.45061499999997</v>
      </c>
      <c r="N29">
        <v>2.1629299999999998</v>
      </c>
      <c r="O29">
        <v>14.844847</v>
      </c>
      <c r="P29">
        <f t="shared" si="0"/>
        <v>3.6048833333333333E-5</v>
      </c>
      <c r="Q29" cm="1">
        <f t="array" ref="Q29">[1]!PropsSI("D","T",J29+273.15,"P",101325,"Water")</f>
        <v>985.01864348569597</v>
      </c>
      <c r="R29" cm="1">
        <f t="array" ref="R29">[1]!PropsSI("D","T",K29+273.15,"P",101325,"Water")</f>
        <v>987.10647509090825</v>
      </c>
      <c r="S29">
        <f t="shared" si="1"/>
        <v>986.06255928830205</v>
      </c>
      <c r="T29" cm="1">
        <f t="array" ref="T29">[1]!PropsSI("H","T",J29+273.15,"P",101325,"Water")</f>
        <v>236105.07290098854</v>
      </c>
      <c r="U29" cm="1">
        <f t="array" ref="U29">[1]!PropsSI("H","T",K29+273.15,"P",101325,"Water")</f>
        <v>217880.23221342129</v>
      </c>
      <c r="V29">
        <f t="shared" si="2"/>
        <v>647.82756551680643</v>
      </c>
    </row>
    <row r="30" spans="1:22" x14ac:dyDescent="0.2">
      <c r="A30">
        <v>46122.88885358796</v>
      </c>
      <c r="B30">
        <v>20.267042</v>
      </c>
      <c r="C30">
        <v>20.450064000000001</v>
      </c>
      <c r="D30">
        <v>20.327269999999999</v>
      </c>
      <c r="E30">
        <v>20.389873999999999</v>
      </c>
      <c r="F30">
        <v>29.160965000000001</v>
      </c>
      <c r="G30">
        <v>26.073805</v>
      </c>
      <c r="H30">
        <v>25.530308000000002</v>
      </c>
      <c r="I30">
        <v>22.827314000000001</v>
      </c>
      <c r="J30">
        <v>56.383462999999999</v>
      </c>
      <c r="K30">
        <v>52.025772000000003</v>
      </c>
      <c r="L30">
        <v>193.76647600000001</v>
      </c>
      <c r="M30">
        <v>-622.48408199999994</v>
      </c>
      <c r="N30">
        <v>2.1610079999999998</v>
      </c>
      <c r="O30">
        <v>14.41442</v>
      </c>
      <c r="P30">
        <f t="shared" si="0"/>
        <v>3.6016799999999997E-5</v>
      </c>
      <c r="Q30" cm="1">
        <f t="array" ref="Q30">[1]!PropsSI("D","T",J30+273.15,"P",101325,"Water")</f>
        <v>985.0173102055445</v>
      </c>
      <c r="R30" cm="1">
        <f t="array" ref="R30">[1]!PropsSI("D","T",K30+273.15,"P",101325,"Water")</f>
        <v>987.10543905303746</v>
      </c>
      <c r="S30">
        <f t="shared" si="1"/>
        <v>986.06137462929098</v>
      </c>
      <c r="T30" cm="1">
        <f t="array" ref="T30">[1]!PropsSI("H","T",J30+273.15,"P",101325,"Water")</f>
        <v>236116.39337342253</v>
      </c>
      <c r="U30" cm="1">
        <f t="array" ref="U30">[1]!PropsSI("H","T",K30+273.15,"P",101325,"Water")</f>
        <v>217889.54123051837</v>
      </c>
      <c r="V30">
        <f t="shared" si="2"/>
        <v>647.32255860505927</v>
      </c>
    </row>
    <row r="31" spans="1:22" x14ac:dyDescent="0.2">
      <c r="A31">
        <v>46122.888911458336</v>
      </c>
      <c r="B31">
        <v>20.278908000000001</v>
      </c>
      <c r="C31">
        <v>20.316497999999999</v>
      </c>
      <c r="D31">
        <v>20.129898000000001</v>
      </c>
      <c r="E31">
        <v>20.188330000000001</v>
      </c>
      <c r="F31">
        <v>29.214679</v>
      </c>
      <c r="G31">
        <v>25.988258999999999</v>
      </c>
      <c r="H31">
        <v>25.383599</v>
      </c>
      <c r="I31">
        <v>22.4925</v>
      </c>
      <c r="J31">
        <v>56.381872000000001</v>
      </c>
      <c r="K31">
        <v>52.026567</v>
      </c>
      <c r="L31">
        <v>203.78393399999999</v>
      </c>
      <c r="M31">
        <v>-622.47551099999998</v>
      </c>
      <c r="N31">
        <v>2.1624469999999998</v>
      </c>
      <c r="O31">
        <v>14.781027999999999</v>
      </c>
      <c r="P31">
        <f t="shared" si="0"/>
        <v>3.6040783333333325E-5</v>
      </c>
      <c r="Q31" cm="1">
        <f t="array" ref="Q31">[1]!PropsSI("D","T",J31+273.15,"P",101325,"Water")</f>
        <v>985.01809411664715</v>
      </c>
      <c r="R31" cm="1">
        <f t="array" ref="R31">[1]!PropsSI("D","T",K31+273.15,"P",101325,"Water")</f>
        <v>987.10506903182102</v>
      </c>
      <c r="S31">
        <f t="shared" si="1"/>
        <v>986.06158157423408</v>
      </c>
      <c r="T31" cm="1">
        <f t="array" ref="T31">[1]!PropsSI("H","T",J31+273.15,"P",101325,"Water")</f>
        <v>236109.73747078524</v>
      </c>
      <c r="U31" cm="1">
        <f t="array" ref="U31">[1]!PropsSI("H","T",K31+273.15,"P",101325,"Water")</f>
        <v>217892.86587988242</v>
      </c>
      <c r="V31">
        <f t="shared" si="2"/>
        <v>647.3990489130133</v>
      </c>
    </row>
    <row r="32" spans="1:22" x14ac:dyDescent="0.2">
      <c r="A32">
        <v>46122.888969328706</v>
      </c>
      <c r="B32">
        <v>20.184856</v>
      </c>
      <c r="C32">
        <v>20.371597999999999</v>
      </c>
      <c r="D32">
        <v>20.100027999999998</v>
      </c>
      <c r="E32">
        <v>20.213448</v>
      </c>
      <c r="F32">
        <v>29.193010999999998</v>
      </c>
      <c r="G32">
        <v>26.206800000000001</v>
      </c>
      <c r="H32">
        <v>25.691814999999998</v>
      </c>
      <c r="I32">
        <v>22.399842</v>
      </c>
      <c r="J32">
        <v>56.382826999999999</v>
      </c>
      <c r="K32">
        <v>52.024341</v>
      </c>
      <c r="L32">
        <v>175.298013</v>
      </c>
      <c r="M32">
        <v>-622.49265300000002</v>
      </c>
      <c r="N32">
        <v>2.1655359999999999</v>
      </c>
      <c r="O32">
        <v>14.934716999999999</v>
      </c>
      <c r="P32">
        <f t="shared" si="0"/>
        <v>3.6092266666666667E-5</v>
      </c>
      <c r="Q32" cm="1">
        <f t="array" ref="Q32">[1]!PropsSI("D","T",J32+273.15,"P",101325,"Water")</f>
        <v>985.01762357475025</v>
      </c>
      <c r="R32" cm="1">
        <f t="array" ref="R32">[1]!PropsSI("D","T",K32+273.15,"P",101325,"Water")</f>
        <v>987.10610508103014</v>
      </c>
      <c r="S32">
        <f t="shared" si="1"/>
        <v>986.06186432789013</v>
      </c>
      <c r="T32" cm="1">
        <f t="array" ref="T32">[1]!PropsSI("H","T",J32+273.15,"P",101325,"Water")</f>
        <v>236113.73268564537</v>
      </c>
      <c r="U32" cm="1">
        <f t="array" ref="U32">[1]!PropsSI("H","T",K32+273.15,"P",101325,"Water")</f>
        <v>217883.55686220428</v>
      </c>
      <c r="V32">
        <f t="shared" si="2"/>
        <v>648.7975148298674</v>
      </c>
    </row>
    <row r="33" spans="1:22" x14ac:dyDescent="0.2">
      <c r="A33">
        <v>46122.889027199075</v>
      </c>
      <c r="B33">
        <v>20.284099000000001</v>
      </c>
      <c r="C33">
        <v>20.329539</v>
      </c>
      <c r="D33">
        <v>20.090706000000001</v>
      </c>
      <c r="E33">
        <v>20.265332000000001</v>
      </c>
      <c r="F33">
        <v>29.234859</v>
      </c>
      <c r="G33">
        <v>26.013210000000001</v>
      </c>
      <c r="H33">
        <v>25.429234999999998</v>
      </c>
      <c r="I33">
        <v>22.372458999999999</v>
      </c>
      <c r="J33">
        <v>56.380757000000003</v>
      </c>
      <c r="K33">
        <v>52.019571999999997</v>
      </c>
      <c r="L33">
        <v>179.28556900000001</v>
      </c>
      <c r="M33">
        <v>-622.49306200000001</v>
      </c>
      <c r="N33">
        <v>2.1650610000000001</v>
      </c>
      <c r="O33">
        <v>14.986883000000001</v>
      </c>
      <c r="P33">
        <f t="shared" si="0"/>
        <v>3.6084350000000006E-5</v>
      </c>
      <c r="Q33" cm="1">
        <f t="array" ref="Q33">[1]!PropsSI("D","T",J33+273.15,"P",101325,"Water")</f>
        <v>985.01864348569597</v>
      </c>
      <c r="R33" cm="1">
        <f t="array" ref="R33">[1]!PropsSI("D","T",K33+273.15,"P",101325,"Water")</f>
        <v>987.10832461409461</v>
      </c>
      <c r="S33">
        <f t="shared" si="1"/>
        <v>986.06348404989535</v>
      </c>
      <c r="T33" cm="1">
        <f t="array" ref="T33">[1]!PropsSI("H","T",J33+273.15,"P",101325,"Water")</f>
        <v>236105.07290098854</v>
      </c>
      <c r="U33" cm="1">
        <f t="array" ref="U33">[1]!PropsSI("H","T",K33+273.15,"P",101325,"Water")</f>
        <v>217863.61315433597</v>
      </c>
      <c r="V33">
        <f t="shared" si="2"/>
        <v>649.05776814048193</v>
      </c>
    </row>
    <row r="34" spans="1:22" x14ac:dyDescent="0.2">
      <c r="A34">
        <v>46122.889085648145</v>
      </c>
      <c r="B34">
        <v>20.378712</v>
      </c>
      <c r="C34">
        <v>20.708404999999999</v>
      </c>
      <c r="D34">
        <v>20.070765999999999</v>
      </c>
      <c r="E34">
        <v>20.161512999999999</v>
      </c>
      <c r="F34">
        <v>29.303314</v>
      </c>
      <c r="G34">
        <v>26.254314999999998</v>
      </c>
      <c r="H34">
        <v>25.478518999999999</v>
      </c>
      <c r="I34">
        <v>22.768350999999999</v>
      </c>
      <c r="J34">
        <v>56.382508000000001</v>
      </c>
      <c r="K34">
        <v>52.024659</v>
      </c>
      <c r="L34">
        <v>191.829838</v>
      </c>
      <c r="M34">
        <v>-622.48285799999996</v>
      </c>
      <c r="N34">
        <v>2.1627010000000002</v>
      </c>
      <c r="O34">
        <v>14.867391</v>
      </c>
      <c r="P34">
        <f t="shared" si="0"/>
        <v>3.6045016666666675E-5</v>
      </c>
      <c r="Q34" cm="1">
        <f t="array" ref="Q34">[1]!PropsSI("D","T",J34+273.15,"P",101325,"Water")</f>
        <v>985.01778075114737</v>
      </c>
      <c r="R34" cm="1">
        <f t="array" ref="R34">[1]!PropsSI("D","T",K34+273.15,"P",101325,"Water")</f>
        <v>987.10595707592381</v>
      </c>
      <c r="S34">
        <f t="shared" si="1"/>
        <v>986.06186891353559</v>
      </c>
      <c r="T34" cm="1">
        <f t="array" ref="T34">[1]!PropsSI("H","T",J34+273.15,"P",101325,"Water")</f>
        <v>236112.3981583064</v>
      </c>
      <c r="U34" cm="1">
        <f t="array" ref="U34">[1]!PropsSI("H","T",K34+273.15,"P",101325,"Water")</f>
        <v>217884.88672177336</v>
      </c>
      <c r="V34">
        <f t="shared" si="2"/>
        <v>647.8534487262624</v>
      </c>
    </row>
    <row r="35" spans="1:22" x14ac:dyDescent="0.2">
      <c r="A35">
        <v>46122.889143518521</v>
      </c>
      <c r="B35">
        <v>20.484764999999999</v>
      </c>
      <c r="C35">
        <v>20.633900000000001</v>
      </c>
      <c r="D35">
        <v>20.177548000000002</v>
      </c>
      <c r="E35">
        <v>20.148187</v>
      </c>
      <c r="F35">
        <v>29.383638999999999</v>
      </c>
      <c r="G35">
        <v>26.140293</v>
      </c>
      <c r="H35">
        <v>25.484476000000001</v>
      </c>
      <c r="I35">
        <v>22.555574</v>
      </c>
      <c r="J35">
        <v>56.383622000000003</v>
      </c>
      <c r="K35">
        <v>52.027361999999997</v>
      </c>
      <c r="L35">
        <v>188.67856800000001</v>
      </c>
      <c r="M35">
        <v>-622.50857099999996</v>
      </c>
      <c r="N35">
        <v>2.1540050000000002</v>
      </c>
      <c r="O35">
        <v>14.90202</v>
      </c>
      <c r="P35">
        <f t="shared" si="0"/>
        <v>3.5900083333333335E-5</v>
      </c>
      <c r="Q35" cm="1">
        <f t="array" ref="Q35">[1]!PropsSI("D","T",J35+273.15,"P",101325,"Water")</f>
        <v>985.01723186285972</v>
      </c>
      <c r="R35" cm="1">
        <f t="array" ref="R35">[1]!PropsSI("D","T",K35+273.15,"P",101325,"Water")</f>
        <v>987.10469900654391</v>
      </c>
      <c r="S35">
        <f t="shared" si="1"/>
        <v>986.06096543470176</v>
      </c>
      <c r="T35" cm="1">
        <f t="array" ref="T35">[1]!PropsSI("H","T",J35+273.15,"P",101325,"Water")</f>
        <v>236117.05854543156</v>
      </c>
      <c r="U35" cm="1">
        <f t="array" ref="U35">[1]!PropsSI("H","T",K35+273.15,"P",101325,"Water")</f>
        <v>217896.19052943672</v>
      </c>
      <c r="V35">
        <f t="shared" si="2"/>
        <v>645.01273001863342</v>
      </c>
    </row>
    <row r="36" spans="1:22" x14ac:dyDescent="0.2">
      <c r="A36">
        <v>46122.889201967591</v>
      </c>
      <c r="B36">
        <v>20.550041</v>
      </c>
      <c r="C36">
        <v>20.502481</v>
      </c>
      <c r="D36">
        <v>20.109033</v>
      </c>
      <c r="E36">
        <v>20.135745</v>
      </c>
      <c r="F36">
        <v>29.458888999999999</v>
      </c>
      <c r="G36">
        <v>26.164023</v>
      </c>
      <c r="H36">
        <v>25.286926999999999</v>
      </c>
      <c r="I36">
        <v>22.736221</v>
      </c>
      <c r="J36">
        <v>56.385851000000002</v>
      </c>
      <c r="K36">
        <v>52.030222999999999</v>
      </c>
      <c r="L36">
        <v>179.01007200000001</v>
      </c>
      <c r="M36">
        <v>-622.50775499999997</v>
      </c>
      <c r="N36">
        <v>2.1612170000000002</v>
      </c>
      <c r="O36">
        <v>14.915514999999999</v>
      </c>
      <c r="P36">
        <f t="shared" si="0"/>
        <v>3.6020283333333335E-5</v>
      </c>
      <c r="Q36" cm="1">
        <f t="array" ref="Q36">[1]!PropsSI("D","T",J36+273.15,"P",101325,"Water")</f>
        <v>985.01613357076849</v>
      </c>
      <c r="R36" cm="1">
        <f t="array" ref="R36">[1]!PropsSI("D","T",K36+273.15,"P",101325,"Water")</f>
        <v>987.10336734748739</v>
      </c>
      <c r="S36">
        <f t="shared" si="1"/>
        <v>986.05975045912794</v>
      </c>
      <c r="T36" cm="1">
        <f t="array" ref="T36">[1]!PropsSI("H","T",J36+273.15,"P",101325,"Water")</f>
        <v>236126.38350443216</v>
      </c>
      <c r="U36" cm="1">
        <f t="array" ref="U36">[1]!PropsSI("H","T",K36+273.15,"P",101325,"Water")</f>
        <v>217908.15508749051</v>
      </c>
      <c r="V36">
        <f t="shared" si="2"/>
        <v>647.07779870770719</v>
      </c>
    </row>
    <row r="37" spans="1:22" x14ac:dyDescent="0.2">
      <c r="A37">
        <v>46122.889259837961</v>
      </c>
      <c r="B37">
        <v>20.649844999999999</v>
      </c>
      <c r="C37">
        <v>20.806858999999999</v>
      </c>
      <c r="D37">
        <v>20.093333999999999</v>
      </c>
      <c r="E37">
        <v>20.218309999999999</v>
      </c>
      <c r="F37">
        <v>29.503822</v>
      </c>
      <c r="G37">
        <v>26.259848000000002</v>
      </c>
      <c r="H37">
        <v>25.63298</v>
      </c>
      <c r="I37">
        <v>22.712537000000001</v>
      </c>
      <c r="J37">
        <v>56.387442999999998</v>
      </c>
      <c r="K37">
        <v>52.033403</v>
      </c>
      <c r="L37">
        <v>198.27686299999999</v>
      </c>
      <c r="M37">
        <v>-622.49306200000001</v>
      </c>
      <c r="N37">
        <v>2.1650360000000002</v>
      </c>
      <c r="O37">
        <v>14.800840000000001</v>
      </c>
      <c r="P37">
        <f t="shared" si="0"/>
        <v>3.6083933333333342E-5</v>
      </c>
      <c r="Q37" cm="1">
        <f t="array" ref="Q37">[1]!PropsSI("D","T",J37+273.15,"P",101325,"Water")</f>
        <v>985.01534912818693</v>
      </c>
      <c r="R37" cm="1">
        <f t="array" ref="R37">[1]!PropsSI("D","T",K37+273.15,"P",101325,"Water")</f>
        <v>987.10188714757032</v>
      </c>
      <c r="S37">
        <f t="shared" si="1"/>
        <v>986.05861813787863</v>
      </c>
      <c r="T37" cm="1">
        <f t="array" ref="T37">[1]!PropsSI("H","T",J37+273.15,"P",101325,"Water")</f>
        <v>236133.04359295015</v>
      </c>
      <c r="U37" cm="1">
        <f t="array" ref="U37">[1]!PropsSI("H","T",K37+273.15,"P",101325,"Water")</f>
        <v>217921.4536905569</v>
      </c>
      <c r="V37">
        <f t="shared" si="2"/>
        <v>647.98427545178981</v>
      </c>
    </row>
    <row r="38" spans="1:22" x14ac:dyDescent="0.2">
      <c r="A38">
        <v>44660.889318287198</v>
      </c>
      <c r="B38">
        <v>20.280526999999999</v>
      </c>
      <c r="C38">
        <v>20.472256000000002</v>
      </c>
      <c r="D38">
        <v>20.030289</v>
      </c>
      <c r="E38">
        <v>20.173378</v>
      </c>
      <c r="F38">
        <v>29.158125999999999</v>
      </c>
      <c r="G38">
        <v>26.262001000000001</v>
      </c>
      <c r="H38">
        <v>25.307963000000001</v>
      </c>
      <c r="I38">
        <v>22.706457</v>
      </c>
      <c r="J38">
        <v>56.389034000000002</v>
      </c>
      <c r="K38">
        <v>52.038490000000003</v>
      </c>
      <c r="L38">
        <v>181.68952999999999</v>
      </c>
      <c r="M38">
        <v>-622.48449100000005</v>
      </c>
      <c r="N38">
        <v>2.167983</v>
      </c>
      <c r="O38">
        <v>15.221825000000001</v>
      </c>
      <c r="P38">
        <f t="shared" si="0"/>
        <v>3.6133049999999998E-5</v>
      </c>
      <c r="Q38" cm="1">
        <f t="array" ref="Q38">[1]!PropsSI("D","T",J38+273.15,"P",101325,"Water")</f>
        <v>985.01456516287021</v>
      </c>
      <c r="R38" cm="1">
        <f t="array" ref="R38">[1]!PropsSI("D","T",K38+273.15,"P",101325,"Water")</f>
        <v>987.09951915839827</v>
      </c>
      <c r="S38">
        <f t="shared" si="1"/>
        <v>986.05704216063418</v>
      </c>
      <c r="T38" cm="1">
        <f t="array" ref="T38">[1]!PropsSI("H","T",J38+273.15,"P",101325,"Water")</f>
        <v>236139.69949900461</v>
      </c>
      <c r="U38" cm="1">
        <f t="array" ref="U38">[1]!PropsSI("H","T",K38+273.15,"P",101325,"Water")</f>
        <v>217942.72728013014</v>
      </c>
      <c r="V38">
        <f t="shared" si="2"/>
        <v>648.34444344596534</v>
      </c>
    </row>
    <row r="39" spans="1:22" x14ac:dyDescent="0.2">
      <c r="A39">
        <v>44660.889376157596</v>
      </c>
      <c r="B39">
        <v>20.295380999999999</v>
      </c>
      <c r="C39">
        <v>20.506482999999999</v>
      </c>
      <c r="D39">
        <v>20.103052999999999</v>
      </c>
      <c r="E39">
        <v>20.180371000000001</v>
      </c>
      <c r="F39">
        <v>29.209496999999999</v>
      </c>
      <c r="G39">
        <v>25.997710999999999</v>
      </c>
      <c r="H39">
        <v>25.440961999999999</v>
      </c>
      <c r="I39">
        <v>22.406983</v>
      </c>
      <c r="J39">
        <v>56.385533000000002</v>
      </c>
      <c r="K39">
        <v>52.037694999999999</v>
      </c>
      <c r="L39">
        <v>186.591733</v>
      </c>
      <c r="M39">
        <v>-622.47796000000005</v>
      </c>
      <c r="N39">
        <v>2.1631559999999999</v>
      </c>
      <c r="O39">
        <v>14.999438</v>
      </c>
      <c r="P39">
        <f t="shared" si="0"/>
        <v>3.6052599999999994E-5</v>
      </c>
      <c r="Q39" cm="1">
        <f t="array" ref="Q39">[1]!PropsSI("D","T",J39+273.15,"P",101325,"Water")</f>
        <v>985.01629026032504</v>
      </c>
      <c r="R39" cm="1">
        <f t="array" ref="R39">[1]!PropsSI("D","T",K39+273.15,"P",101325,"Water")</f>
        <v>987.09988924036884</v>
      </c>
      <c r="S39">
        <f t="shared" si="1"/>
        <v>986.05808975034688</v>
      </c>
      <c r="T39" cm="1">
        <f t="array" ref="T39">[1]!PropsSI("H","T",J39+273.15,"P",101325,"Water")</f>
        <v>236125.05316024137</v>
      </c>
      <c r="U39" cm="1">
        <f t="array" ref="U39">[1]!PropsSI("H","T",K39+273.15,"P",101325,"Water")</f>
        <v>217939.40262780731</v>
      </c>
      <c r="V39">
        <f t="shared" si="2"/>
        <v>646.49911056724352</v>
      </c>
    </row>
    <row r="40" spans="1:22" x14ac:dyDescent="0.2">
      <c r="A40">
        <v>44660.889434606703</v>
      </c>
      <c r="B40">
        <v>20.276627000000001</v>
      </c>
      <c r="C40">
        <v>20.444478</v>
      </c>
      <c r="D40">
        <v>20.140404</v>
      </c>
      <c r="E40">
        <v>20.215959000000002</v>
      </c>
      <c r="F40">
        <v>29.181093000000001</v>
      </c>
      <c r="G40">
        <v>26.137090000000001</v>
      </c>
      <c r="H40">
        <v>25.017209999999999</v>
      </c>
      <c r="I40">
        <v>22.516100999999999</v>
      </c>
      <c r="J40">
        <v>56.384577999999998</v>
      </c>
      <c r="K40">
        <v>52.034514999999999</v>
      </c>
      <c r="L40">
        <v>182.58336299999999</v>
      </c>
      <c r="M40">
        <v>-622.49224500000003</v>
      </c>
      <c r="N40">
        <v>2.1645490000000001</v>
      </c>
      <c r="O40">
        <v>14.975496</v>
      </c>
      <c r="P40">
        <f t="shared" si="0"/>
        <v>3.6075816666666668E-5</v>
      </c>
      <c r="Q40" cm="1">
        <f t="array" ref="Q40">[1]!PropsSI("D","T",J40+273.15,"P",101325,"Water")</f>
        <v>985.01676081802532</v>
      </c>
      <c r="R40" cm="1">
        <f t="array" ref="R40">[1]!PropsSI("D","T",K40+273.15,"P",101325,"Water")</f>
        <v>987.10136952777123</v>
      </c>
      <c r="S40">
        <f t="shared" si="1"/>
        <v>986.05906517289827</v>
      </c>
      <c r="T40" cm="1">
        <f t="array" ref="T40">[1]!PropsSI("H","T",J40+273.15,"P",101325,"Water")</f>
        <v>236121.05794434485</v>
      </c>
      <c r="U40" cm="1">
        <f t="array" ref="U40">[1]!PropsSI("H","T",K40+273.15,"P",101325,"Water")</f>
        <v>217926.10402045192</v>
      </c>
      <c r="V40">
        <f t="shared" si="2"/>
        <v>647.2470227594207</v>
      </c>
    </row>
    <row r="41" spans="1:22" x14ac:dyDescent="0.2">
      <c r="A41">
        <v>44660.889492476999</v>
      </c>
      <c r="B41">
        <v>20.279598</v>
      </c>
      <c r="C41">
        <v>20.368258000000001</v>
      </c>
      <c r="D41">
        <v>20.079046999999999</v>
      </c>
      <c r="E41">
        <v>20.129501000000001</v>
      </c>
      <c r="F41">
        <v>29.171637</v>
      </c>
      <c r="G41">
        <v>26.131762999999999</v>
      </c>
      <c r="H41">
        <v>25.613612</v>
      </c>
      <c r="I41">
        <v>22.478458</v>
      </c>
      <c r="J41">
        <v>56.384737000000001</v>
      </c>
      <c r="K41">
        <v>52.034039</v>
      </c>
      <c r="L41">
        <v>198.31849299999999</v>
      </c>
      <c r="M41">
        <v>-622.49632699999995</v>
      </c>
      <c r="N41">
        <v>2.1622170000000001</v>
      </c>
      <c r="O41">
        <v>14.756273999999999</v>
      </c>
      <c r="P41">
        <f t="shared" si="0"/>
        <v>3.6036950000000004E-5</v>
      </c>
      <c r="Q41" cm="1">
        <f t="array" ref="Q41">[1]!PropsSI("D","T",J41+273.15,"P",101325,"Water")</f>
        <v>985.01668247425539</v>
      </c>
      <c r="R41" cm="1">
        <f t="array" ref="R41">[1]!PropsSI("D","T",K41+273.15,"P",101325,"Water")</f>
        <v>987.1015910998193</v>
      </c>
      <c r="S41">
        <f t="shared" si="1"/>
        <v>986.05913678703735</v>
      </c>
      <c r="T41" cm="1">
        <f t="array" ref="T41">[1]!PropsSI("H","T",J41+273.15,"P",101325,"Water")</f>
        <v>236121.72311638322</v>
      </c>
      <c r="U41" cm="1">
        <f t="array" ref="U41">[1]!PropsSI("H","T",K41+273.15,"P",101325,"Water")</f>
        <v>217924.11341154907</v>
      </c>
      <c r="V41">
        <f t="shared" si="2"/>
        <v>646.64412323567046</v>
      </c>
    </row>
    <row r="42" spans="1:22" x14ac:dyDescent="0.2">
      <c r="A42">
        <v>46122.889550925924</v>
      </c>
      <c r="B42">
        <v>20.366696999999998</v>
      </c>
      <c r="C42">
        <v>20.561868</v>
      </c>
      <c r="D42">
        <v>20.112940999999999</v>
      </c>
      <c r="E42">
        <v>20.250578999999998</v>
      </c>
      <c r="F42">
        <v>29.313538000000001</v>
      </c>
      <c r="G42">
        <v>26.100228999999999</v>
      </c>
      <c r="H42">
        <v>25.268326999999999</v>
      </c>
      <c r="I42">
        <v>22.504853000000001</v>
      </c>
      <c r="J42">
        <v>56.386647000000004</v>
      </c>
      <c r="K42">
        <v>52.031177</v>
      </c>
      <c r="L42">
        <v>178.841509</v>
      </c>
      <c r="M42">
        <v>-622.49306200000001</v>
      </c>
      <c r="N42">
        <v>2.159529</v>
      </c>
      <c r="O42">
        <v>15.060563</v>
      </c>
      <c r="P42">
        <f t="shared" si="0"/>
        <v>3.5992150000000001E-5</v>
      </c>
      <c r="Q42" cm="1">
        <f t="array" ref="Q42">[1]!PropsSI("D","T",J42+273.15,"P",101325,"Water")</f>
        <v>985.01574135140845</v>
      </c>
      <c r="R42" cm="1">
        <f t="array" ref="R42">[1]!PropsSI("D","T",K42+273.15,"P",101325,"Water")</f>
        <v>987.10292329431832</v>
      </c>
      <c r="S42">
        <f t="shared" si="1"/>
        <v>986.05933232286338</v>
      </c>
      <c r="T42" cm="1">
        <f t="array" ref="T42">[1]!PropsSI("H","T",J42+273.15,"P",101325,"Water")</f>
        <v>236129.71354859218</v>
      </c>
      <c r="U42" cm="1">
        <f t="array" ref="U42">[1]!PropsSI("H","T",K42+273.15,"P",101325,"Water")</f>
        <v>217912.14466810081</v>
      </c>
      <c r="V42">
        <f t="shared" si="2"/>
        <v>646.54872275646755</v>
      </c>
    </row>
    <row r="43" spans="1:22" x14ac:dyDescent="0.2">
      <c r="A43">
        <v>46122.889608796293</v>
      </c>
      <c r="B43">
        <v>20.194617000000001</v>
      </c>
      <c r="C43">
        <v>20.414705000000001</v>
      </c>
      <c r="D43">
        <v>20.080687000000001</v>
      </c>
      <c r="E43">
        <v>20.254268</v>
      </c>
      <c r="F43">
        <v>29.181951999999999</v>
      </c>
      <c r="G43">
        <v>26.293552999999999</v>
      </c>
      <c r="H43">
        <v>25.969567000000001</v>
      </c>
      <c r="I43">
        <v>22.594503</v>
      </c>
      <c r="J43">
        <v>56.386488</v>
      </c>
      <c r="K43">
        <v>52.032131</v>
      </c>
      <c r="L43">
        <v>193.271807</v>
      </c>
      <c r="M43">
        <v>-622.46938899999998</v>
      </c>
      <c r="N43">
        <v>2.1640980000000001</v>
      </c>
      <c r="O43">
        <v>15.084529</v>
      </c>
      <c r="P43">
        <f t="shared" si="0"/>
        <v>3.6068300000000002E-5</v>
      </c>
      <c r="Q43" cm="1">
        <f t="array" ref="Q43">[1]!PropsSI("D","T",J43+273.15,"P",101325,"Water")</f>
        <v>985.01581969705637</v>
      </c>
      <c r="R43" cm="1">
        <f t="array" ref="R43">[1]!PropsSI("D","T",K43+273.15,"P",101325,"Water")</f>
        <v>987.10247923531438</v>
      </c>
      <c r="S43">
        <f t="shared" si="1"/>
        <v>986.05914946618532</v>
      </c>
      <c r="T43" cm="1">
        <f t="array" ref="T43">[1]!PropsSI("H","T",J43+273.15,"P",101325,"Water")</f>
        <v>236129.04837641231</v>
      </c>
      <c r="U43" cm="1">
        <f t="array" ref="U43">[1]!PropsSI("H","T",K43+273.15,"P",101325,"Water")</f>
        <v>217916.13424894545</v>
      </c>
      <c r="V43">
        <f t="shared" si="2"/>
        <v>647.75098252282748</v>
      </c>
    </row>
    <row r="44" spans="1:22" x14ac:dyDescent="0.2">
      <c r="A44">
        <v>46122.88966724537</v>
      </c>
      <c r="B44">
        <v>20.281046</v>
      </c>
      <c r="C44">
        <v>20.526858000000001</v>
      </c>
      <c r="D44">
        <v>20.112054000000001</v>
      </c>
      <c r="E44">
        <v>20.276119999999999</v>
      </c>
      <c r="F44">
        <v>29.222262000000001</v>
      </c>
      <c r="G44">
        <v>25.994917000000001</v>
      </c>
      <c r="H44">
        <v>25.445951000000001</v>
      </c>
      <c r="I44">
        <v>22.377205</v>
      </c>
      <c r="J44">
        <v>56.389194000000003</v>
      </c>
      <c r="K44">
        <v>52.036104999999999</v>
      </c>
      <c r="L44">
        <v>194.24277900000001</v>
      </c>
      <c r="M44">
        <v>-622.48326599999996</v>
      </c>
      <c r="N44">
        <v>2.1632539999999998</v>
      </c>
      <c r="O44">
        <v>15.17445</v>
      </c>
      <c r="P44">
        <f t="shared" si="0"/>
        <v>3.6054233333333331E-5</v>
      </c>
      <c r="Q44" cm="1">
        <f t="array" ref="Q44">[1]!PropsSI("D","T",J44+273.15,"P",101325,"Water")</f>
        <v>985.01448632198958</v>
      </c>
      <c r="R44" cm="1">
        <f t="array" ref="R44">[1]!PropsSI("D","T",K44+273.15,"P",101325,"Water")</f>
        <v>987.10062939217642</v>
      </c>
      <c r="S44">
        <f t="shared" si="1"/>
        <v>986.057557857083</v>
      </c>
      <c r="T44" cm="1">
        <f t="array" ref="T44">[1]!PropsSI("H","T",J44+273.15,"P",101325,"Water")</f>
        <v>236140.36885478938</v>
      </c>
      <c r="U44" cm="1">
        <f t="array" ref="U44">[1]!PropsSI("H","T",K44+273.15,"P",101325,"Water")</f>
        <v>217932.75332371183</v>
      </c>
      <c r="V44">
        <f t="shared" si="2"/>
        <v>647.30894066191399</v>
      </c>
    </row>
    <row r="45" spans="1:22" x14ac:dyDescent="0.2">
      <c r="A45">
        <v>46122.889725694447</v>
      </c>
      <c r="B45">
        <v>20.222783</v>
      </c>
      <c r="C45">
        <v>20.356964999999999</v>
      </c>
      <c r="D45">
        <v>20.131824999999999</v>
      </c>
      <c r="E45">
        <v>20.321414999999998</v>
      </c>
      <c r="F45">
        <v>29.160045</v>
      </c>
      <c r="G45">
        <v>26.017582000000001</v>
      </c>
      <c r="H45">
        <v>25.326841000000002</v>
      </c>
      <c r="I45">
        <v>22.355129999999999</v>
      </c>
      <c r="J45">
        <v>56.389512000000003</v>
      </c>
      <c r="K45">
        <v>52.037536000000003</v>
      </c>
      <c r="L45">
        <v>189.08181300000001</v>
      </c>
      <c r="M45">
        <v>-622.49469399999998</v>
      </c>
      <c r="N45">
        <v>2.1627540000000001</v>
      </c>
      <c r="O45">
        <v>14.867759</v>
      </c>
      <c r="P45">
        <f t="shared" si="0"/>
        <v>3.6045900000000007E-5</v>
      </c>
      <c r="Q45" cm="1">
        <f t="array" ref="Q45">[1]!PropsSI("D","T",J45+273.15,"P",101325,"Water")</f>
        <v>985.01432962530373</v>
      </c>
      <c r="R45" cm="1">
        <f t="array" ref="R45">[1]!PropsSI("D","T",K45+273.15,"P",101325,"Water")</f>
        <v>987.09996325627662</v>
      </c>
      <c r="S45">
        <f t="shared" si="1"/>
        <v>986.05714644079012</v>
      </c>
      <c r="T45" cm="1">
        <f t="array" ref="T45">[1]!PropsSI("H","T",J45+273.15,"P",101325,"Water")</f>
        <v>236141.69919947552</v>
      </c>
      <c r="U45" cm="1">
        <f t="array" ref="U45">[1]!PropsSI("H","T",K45+273.15,"P",101325,"Water")</f>
        <v>217938.73769740746</v>
      </c>
      <c r="V45">
        <f t="shared" si="2"/>
        <v>646.99363637467422</v>
      </c>
    </row>
    <row r="46" spans="1:22" x14ac:dyDescent="0.2">
      <c r="A46">
        <v>46122.889784143517</v>
      </c>
      <c r="B46">
        <v>20.167732000000001</v>
      </c>
      <c r="C46">
        <v>20.391300999999999</v>
      </c>
      <c r="D46">
        <v>20.197956999999999</v>
      </c>
      <c r="E46">
        <v>20.339998000000001</v>
      </c>
      <c r="F46">
        <v>29.141024000000002</v>
      </c>
      <c r="G46">
        <v>26.179579</v>
      </c>
      <c r="H46">
        <v>25.752486999999999</v>
      </c>
      <c r="I46">
        <v>22.546520000000001</v>
      </c>
      <c r="J46">
        <v>56.389353</v>
      </c>
      <c r="K46">
        <v>52.036582000000003</v>
      </c>
      <c r="L46">
        <v>193.53669199999999</v>
      </c>
      <c r="M46">
        <v>-622.51632600000005</v>
      </c>
      <c r="N46">
        <v>2.1605530000000002</v>
      </c>
      <c r="O46">
        <v>14.826294000000001</v>
      </c>
      <c r="P46">
        <f t="shared" si="0"/>
        <v>3.6009216666666671E-5</v>
      </c>
      <c r="Q46" cm="1">
        <f t="array" ref="Q46">[1]!PropsSI("D","T",J46+273.15,"P",101325,"Water")</f>
        <v>985.01440797373027</v>
      </c>
      <c r="R46" cm="1">
        <f t="array" ref="R46">[1]!PropsSI("D","T",K46+273.15,"P",101325,"Water")</f>
        <v>987.10040734833797</v>
      </c>
      <c r="S46">
        <f t="shared" si="1"/>
        <v>986.05740766103418</v>
      </c>
      <c r="T46" cm="1">
        <f t="array" ref="T46">[1]!PropsSI("H","T",J46+273.15,"P",101325,"Water")</f>
        <v>236141.03402710595</v>
      </c>
      <c r="U46" cm="1">
        <f t="array" ref="U46">[1]!PropsSI("H","T",K46+273.15,"P",101325,"Water")</f>
        <v>217934.74811487805</v>
      </c>
      <c r="V46">
        <f t="shared" si="2"/>
        <v>646.45341291470459</v>
      </c>
    </row>
    <row r="47" spans="1:22" x14ac:dyDescent="0.2">
      <c r="A47">
        <v>46122.889842013887</v>
      </c>
      <c r="B47">
        <v>20.222574999999999</v>
      </c>
      <c r="C47">
        <v>20.490711000000001</v>
      </c>
      <c r="D47">
        <v>20.248840999999999</v>
      </c>
      <c r="E47">
        <v>20.335683</v>
      </c>
      <c r="F47">
        <v>29.196691999999999</v>
      </c>
      <c r="G47">
        <v>26.165232</v>
      </c>
      <c r="H47">
        <v>25.552781</v>
      </c>
      <c r="I47">
        <v>22.557984000000001</v>
      </c>
      <c r="J47">
        <v>56.388238999999999</v>
      </c>
      <c r="K47">
        <v>52.033244000000003</v>
      </c>
      <c r="L47">
        <v>189.016918</v>
      </c>
      <c r="M47">
        <v>-622.48326599999996</v>
      </c>
      <c r="N47">
        <v>2.1634869999999999</v>
      </c>
      <c r="O47">
        <v>14.524381</v>
      </c>
      <c r="P47">
        <f t="shared" si="0"/>
        <v>3.6058116666666663E-5</v>
      </c>
      <c r="Q47" cm="1">
        <f t="array" ref="Q47">[1]!PropsSI("D","T",J47+273.15,"P",101325,"Water")</f>
        <v>985.01495690108743</v>
      </c>
      <c r="R47" cm="1">
        <f t="array" ref="R47">[1]!PropsSI("D","T",K47+273.15,"P",101325,"Water")</f>
        <v>987.10196115911617</v>
      </c>
      <c r="S47">
        <f t="shared" si="1"/>
        <v>986.05845903010186</v>
      </c>
      <c r="T47" cm="1">
        <f t="array" ref="T47">[1]!PropsSI("H","T",J47+273.15,"P",101325,"Water")</f>
        <v>236136.37363760269</v>
      </c>
      <c r="U47" cm="1">
        <f t="array" ref="U47">[1]!PropsSI("H","T",K47+273.15,"P",101325,"Water")</f>
        <v>217920.78876031958</v>
      </c>
      <c r="V47">
        <f t="shared" si="2"/>
        <v>647.66260611316716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050D-CCD2-784C-88F4-3B77BCAC1395}">
  <dimension ref="A1:W51"/>
  <sheetViews>
    <sheetView topLeftCell="I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</row>
    <row r="2" spans="1:23" x14ac:dyDescent="0.2">
      <c r="A2">
        <v>44660.891511574198</v>
      </c>
      <c r="B2">
        <v>20.328461000000001</v>
      </c>
      <c r="C2">
        <v>20.338239000000002</v>
      </c>
      <c r="D2">
        <v>20.166027</v>
      </c>
      <c r="E2">
        <v>20.275317999999999</v>
      </c>
      <c r="F2">
        <v>28.273268000000002</v>
      </c>
      <c r="G2">
        <v>25.755951</v>
      </c>
      <c r="H2">
        <v>25.412158000000002</v>
      </c>
      <c r="I2">
        <v>22.526892</v>
      </c>
      <c r="J2">
        <v>56.361815</v>
      </c>
      <c r="K2">
        <v>51.838504</v>
      </c>
      <c r="L2">
        <v>239.83967899999999</v>
      </c>
      <c r="M2">
        <v>-622.50734699999998</v>
      </c>
      <c r="N2">
        <v>2.158201</v>
      </c>
      <c r="O2">
        <v>14.965076</v>
      </c>
      <c r="P2">
        <f t="shared" ref="P2:P65" si="0" xml:space="preserve"> N2*0.001/60</f>
        <v>3.5970016666666673E-5</v>
      </c>
      <c r="Q2" cm="1">
        <f t="array" ref="Q2">[1]!PropsSI("D","T",J2+273.15,"P",101325,"Water")</f>
        <v>985.02797519191085</v>
      </c>
      <c r="R2" cm="1">
        <f t="array" ref="R2">[1]!PropsSI("D","T",K2+273.15,"P",101325,"Water")</f>
        <v>987.19248726576893</v>
      </c>
      <c r="S2">
        <f t="shared" ref="S2:S65" si="1">(Q2+R2)/2</f>
        <v>986.11023122883989</v>
      </c>
      <c r="T2" cm="1">
        <f t="array" ref="T2">[1]!PropsSI("H","T",J2+273.15,"P",101325,"Water")</f>
        <v>236025.82967222063</v>
      </c>
      <c r="U2" cm="1">
        <f t="array" ref="U2">[1]!PropsSI("H","T",K2+273.15,"P",101325,"Water")</f>
        <v>217106.40157001145</v>
      </c>
      <c r="V2">
        <f t="shared" ref="V2:V65" si="2">S2*P2*(T2-U2)</f>
        <v>671.07971003653802</v>
      </c>
      <c r="W2" s="2">
        <f>AVERAGE(V5:V51)</f>
        <v>673.78193556774409</v>
      </c>
    </row>
    <row r="3" spans="1:23" x14ac:dyDescent="0.2">
      <c r="A3">
        <v>44660.891569444597</v>
      </c>
      <c r="B3">
        <v>20.287402</v>
      </c>
      <c r="C3">
        <v>20.354869999999998</v>
      </c>
      <c r="D3">
        <v>20.125087000000001</v>
      </c>
      <c r="E3">
        <v>20.331057000000001</v>
      </c>
      <c r="F3">
        <v>28.315334</v>
      </c>
      <c r="G3">
        <v>25.504842</v>
      </c>
      <c r="H3">
        <v>25.122416999999999</v>
      </c>
      <c r="I3">
        <v>22.230034</v>
      </c>
      <c r="J3">
        <v>56.359904999999998</v>
      </c>
      <c r="K3">
        <v>51.834370999999997</v>
      </c>
      <c r="L3">
        <v>254.10916900000001</v>
      </c>
      <c r="M3">
        <v>-622.46612400000004</v>
      </c>
      <c r="N3">
        <v>2.161959</v>
      </c>
      <c r="O3">
        <v>14.748457999999999</v>
      </c>
      <c r="P3">
        <f t="shared" si="0"/>
        <v>3.6032650000000001E-5</v>
      </c>
      <c r="Q3" cm="1">
        <f t="array" ref="Q3">[1]!PropsSI("D","T",J3+273.15,"P",101325,"Water")</f>
        <v>985.02891602447824</v>
      </c>
      <c r="R3" cm="1">
        <f t="array" ref="R3">[1]!PropsSI("D","T",K3+273.15,"P",101325,"Water")</f>
        <v>987.19440587850511</v>
      </c>
      <c r="S3">
        <f t="shared" si="1"/>
        <v>986.11166095149167</v>
      </c>
      <c r="T3" cm="1">
        <f t="array" ref="T3">[1]!PropsSI("H","T",J3+273.15,"P",101325,"Water")</f>
        <v>236017.83925817729</v>
      </c>
      <c r="U3" cm="1">
        <f t="array" ref="U3">[1]!PropsSI("H","T",K3+273.15,"P",101325,"Water")</f>
        <v>217089.1178216511</v>
      </c>
      <c r="V3">
        <f t="shared" si="2"/>
        <v>672.57942512193688</v>
      </c>
      <c r="W3" s="2"/>
    </row>
    <row r="4" spans="1:23" x14ac:dyDescent="0.2">
      <c r="A4">
        <v>44660.891627315003</v>
      </c>
      <c r="B4">
        <v>20.204293</v>
      </c>
      <c r="C4">
        <v>20.337239</v>
      </c>
      <c r="D4">
        <v>20.096547999999999</v>
      </c>
      <c r="E4">
        <v>20.251815000000001</v>
      </c>
      <c r="F4">
        <v>28.140322999999999</v>
      </c>
      <c r="G4">
        <v>25.635404999999999</v>
      </c>
      <c r="H4">
        <v>25.033731</v>
      </c>
      <c r="I4">
        <v>22.366790999999999</v>
      </c>
      <c r="J4">
        <v>56.360224000000002</v>
      </c>
      <c r="K4">
        <v>51.830714999999998</v>
      </c>
      <c r="L4">
        <v>255.14136199999999</v>
      </c>
      <c r="M4">
        <v>-622.52040699999998</v>
      </c>
      <c r="N4">
        <v>2.163926</v>
      </c>
      <c r="O4">
        <v>14.996363000000001</v>
      </c>
      <c r="P4">
        <f t="shared" si="0"/>
        <v>3.6065433333333335E-5</v>
      </c>
      <c r="Q4" cm="1">
        <f t="array" ref="Q4">[1]!PropsSI("D","T",J4+273.15,"P",101325,"Water")</f>
        <v>985.02875889221696</v>
      </c>
      <c r="R4" cm="1">
        <f t="array" ref="R4">[1]!PropsSI("D","T",K4+273.15,"P",101325,"Water")</f>
        <v>987.19610296779661</v>
      </c>
      <c r="S4">
        <f t="shared" si="1"/>
        <v>986.11243093000678</v>
      </c>
      <c r="T4" cm="1">
        <f t="array" ref="T4">[1]!PropsSI("H","T",J4+273.15,"P",101325,"Water")</f>
        <v>236019.17378276499</v>
      </c>
      <c r="U4" cm="1">
        <f t="array" ref="U4">[1]!PropsSI("H","T",K4+273.15,"P",101325,"Water")</f>
        <v>217073.82883893771</v>
      </c>
      <c r="V4">
        <f t="shared" si="2"/>
        <v>673.78308691277152</v>
      </c>
      <c r="W4" s="2"/>
    </row>
    <row r="5" spans="1:23" x14ac:dyDescent="0.2">
      <c r="A5">
        <v>44660.891685764102</v>
      </c>
      <c r="B5">
        <v>20.308133000000002</v>
      </c>
      <c r="C5">
        <v>20.281396999999998</v>
      </c>
      <c r="D5">
        <v>20.067409999999999</v>
      </c>
      <c r="E5">
        <v>20.320156000000001</v>
      </c>
      <c r="F5">
        <v>28.252690999999999</v>
      </c>
      <c r="G5">
        <v>25.574245000000001</v>
      </c>
      <c r="H5">
        <v>24.797273000000001</v>
      </c>
      <c r="I5">
        <v>22.216369</v>
      </c>
      <c r="J5">
        <v>56.357835999999999</v>
      </c>
      <c r="K5">
        <v>51.827218000000002</v>
      </c>
      <c r="L5">
        <v>253.49042499999999</v>
      </c>
      <c r="M5">
        <v>-622.50367300000005</v>
      </c>
      <c r="N5">
        <v>2.1646139999999998</v>
      </c>
      <c r="O5">
        <v>14.933865000000001</v>
      </c>
      <c r="P5">
        <f t="shared" si="0"/>
        <v>3.60769E-5</v>
      </c>
      <c r="Q5" cm="1">
        <f t="array" ref="Q5">[1]!PropsSI("D","T",J5+273.15,"P",101325,"Water")</f>
        <v>985.02993515243702</v>
      </c>
      <c r="R5" cm="1">
        <f t="array" ref="R5">[1]!PropsSI("D","T",K5+273.15,"P",101325,"Water")</f>
        <v>987.19772617006083</v>
      </c>
      <c r="S5">
        <f t="shared" si="1"/>
        <v>986.11383066124893</v>
      </c>
      <c r="T5" cm="1">
        <f t="array" ref="T5">[1]!PropsSI("H","T",J5+273.15,"P",101325,"Water")</f>
        <v>236009.18367511485</v>
      </c>
      <c r="U5" cm="1">
        <f t="array" ref="U5">[1]!PropsSI("H","T",K5+273.15,"P",101325,"Water")</f>
        <v>217059.20478028792</v>
      </c>
      <c r="V5">
        <f t="shared" si="2"/>
        <v>674.16312375124323</v>
      </c>
      <c r="W5" s="2"/>
    </row>
    <row r="6" spans="1:23" x14ac:dyDescent="0.2">
      <c r="A6">
        <v>46122.89174421296</v>
      </c>
      <c r="B6">
        <v>20.743731</v>
      </c>
      <c r="C6">
        <v>20.622836</v>
      </c>
      <c r="D6">
        <v>20.087094</v>
      </c>
      <c r="E6">
        <v>20.376847000000001</v>
      </c>
      <c r="F6">
        <v>28.595986</v>
      </c>
      <c r="G6">
        <v>25.751601000000001</v>
      </c>
      <c r="H6">
        <v>24.981992000000002</v>
      </c>
      <c r="I6">
        <v>22.578954</v>
      </c>
      <c r="J6">
        <v>56.357039999999998</v>
      </c>
      <c r="K6">
        <v>51.824038000000002</v>
      </c>
      <c r="L6">
        <v>238.983396</v>
      </c>
      <c r="M6">
        <v>-622.48693900000001</v>
      </c>
      <c r="N6">
        <v>2.16059</v>
      </c>
      <c r="O6">
        <v>14.877697</v>
      </c>
      <c r="P6">
        <f t="shared" si="0"/>
        <v>3.6009833333333335E-5</v>
      </c>
      <c r="Q6" cm="1">
        <f t="array" ref="Q6">[1]!PropsSI("D","T",J6+273.15,"P",101325,"Water")</f>
        <v>985.03032723141007</v>
      </c>
      <c r="R6" cm="1">
        <f t="array" ref="R6">[1]!PropsSI("D","T",K6+273.15,"P",101325,"Water")</f>
        <v>987.1992021622591</v>
      </c>
      <c r="S6">
        <f t="shared" si="1"/>
        <v>986.11476469683453</v>
      </c>
      <c r="T6" cm="1">
        <f t="array" ref="T6">[1]!PropsSI("H","T",J6+273.15,"P",101325,"Water")</f>
        <v>236005.8536397471</v>
      </c>
      <c r="U6" cm="1">
        <f t="array" ref="U6">[1]!PropsSI("H","T",K6+273.15,"P",101325,"Water")</f>
        <v>217045.906383141</v>
      </c>
      <c r="V6">
        <f t="shared" si="2"/>
        <v>673.26447211933885</v>
      </c>
      <c r="W6" s="2"/>
    </row>
    <row r="7" spans="1:23" x14ac:dyDescent="0.2">
      <c r="A7">
        <v>46122.891802662038</v>
      </c>
      <c r="B7">
        <v>20.890239999999999</v>
      </c>
      <c r="C7">
        <v>20.661138000000001</v>
      </c>
      <c r="D7">
        <v>20.243319</v>
      </c>
      <c r="E7">
        <v>20.405792999999999</v>
      </c>
      <c r="F7">
        <v>28.632859</v>
      </c>
      <c r="G7">
        <v>25.773091999999998</v>
      </c>
      <c r="H7">
        <v>25.183689999999999</v>
      </c>
      <c r="I7">
        <v>22.636493000000002</v>
      </c>
      <c r="J7">
        <v>56.352423999999999</v>
      </c>
      <c r="K7">
        <v>51.828966000000001</v>
      </c>
      <c r="L7">
        <v>244.77739099999999</v>
      </c>
      <c r="M7">
        <v>-622.46530800000005</v>
      </c>
      <c r="N7">
        <v>2.1628319999999999</v>
      </c>
      <c r="O7">
        <v>14.919798</v>
      </c>
      <c r="P7">
        <f t="shared" si="0"/>
        <v>3.6047199999999996E-5</v>
      </c>
      <c r="Q7" cm="1">
        <f t="array" ref="Q7">[1]!PropsSI("D","T",J7+273.15,"P",101325,"Water")</f>
        <v>985.03260081899634</v>
      </c>
      <c r="R7" cm="1">
        <f t="array" ref="R7">[1]!PropsSI("D","T",K7+273.15,"P",101325,"Water")</f>
        <v>987.19691481083214</v>
      </c>
      <c r="S7">
        <f t="shared" si="1"/>
        <v>986.11475781491424</v>
      </c>
      <c r="T7" cm="1">
        <f t="array" ref="T7">[1]!PropsSI("H","T",J7+273.15,"P",101325,"Water")</f>
        <v>235986.5427860838</v>
      </c>
      <c r="U7" cm="1">
        <f t="array" ref="U7">[1]!PropsSI("H","T",K7+273.15,"P",101325,"Water")</f>
        <v>217066.51471816993</v>
      </c>
      <c r="V7">
        <f t="shared" si="2"/>
        <v>672.54410570941457</v>
      </c>
      <c r="W7" s="2"/>
    </row>
    <row r="8" spans="1:23" x14ac:dyDescent="0.2">
      <c r="A8">
        <v>46122.891860532407</v>
      </c>
      <c r="B8">
        <v>20.688611999999999</v>
      </c>
      <c r="C8">
        <v>20.867574999999999</v>
      </c>
      <c r="D8">
        <v>20.159638000000001</v>
      </c>
      <c r="E8">
        <v>20.390056999999999</v>
      </c>
      <c r="F8">
        <v>28.517320000000002</v>
      </c>
      <c r="G8">
        <v>25.814578999999998</v>
      </c>
      <c r="H8">
        <v>25.009613999999999</v>
      </c>
      <c r="I8">
        <v>22.355561999999999</v>
      </c>
      <c r="J8">
        <v>56.351945999999998</v>
      </c>
      <c r="K8">
        <v>51.833576000000001</v>
      </c>
      <c r="L8">
        <v>253.14187100000001</v>
      </c>
      <c r="M8">
        <v>-622.48367399999995</v>
      </c>
      <c r="N8">
        <v>2.1627580000000002</v>
      </c>
      <c r="O8">
        <v>14.981494</v>
      </c>
      <c r="P8">
        <f t="shared" si="0"/>
        <v>3.6045966666666674E-5</v>
      </c>
      <c r="Q8" cm="1">
        <f t="array" ref="Q8">[1]!PropsSI("D","T",J8+273.15,"P",101325,"Water")</f>
        <v>985.03283624804749</v>
      </c>
      <c r="R8" cm="1">
        <f t="array" ref="R8">[1]!PropsSI("D","T",K8+273.15,"P",101325,"Water")</f>
        <v>987.19477491916871</v>
      </c>
      <c r="S8">
        <f t="shared" si="1"/>
        <v>986.11380558360815</v>
      </c>
      <c r="T8" cm="1">
        <f t="array" ref="T8">[1]!PropsSI("H","T",J8+273.15,"P",101325,"Water")</f>
        <v>235984.54309240836</v>
      </c>
      <c r="U8" cm="1">
        <f t="array" ref="U8">[1]!PropsSI("H","T",K8+273.15,"P",101325,"Water")</f>
        <v>217085.79322029167</v>
      </c>
      <c r="V8">
        <f t="shared" si="2"/>
        <v>671.7641030825904</v>
      </c>
      <c r="W8" s="2"/>
    </row>
    <row r="9" spans="1:23" x14ac:dyDescent="0.2">
      <c r="A9">
        <v>46122.891918981484</v>
      </c>
      <c r="B9">
        <v>20.657361000000002</v>
      </c>
      <c r="C9">
        <v>20.779731999999999</v>
      </c>
      <c r="D9">
        <v>20.129805999999999</v>
      </c>
      <c r="E9">
        <v>20.376844999999999</v>
      </c>
      <c r="F9">
        <v>28.406576000000001</v>
      </c>
      <c r="G9">
        <v>25.994796999999998</v>
      </c>
      <c r="H9">
        <v>24.948753</v>
      </c>
      <c r="I9">
        <v>22.067902</v>
      </c>
      <c r="J9">
        <v>56.353060999999997</v>
      </c>
      <c r="K9">
        <v>51.835484000000001</v>
      </c>
      <c r="L9">
        <v>233.63958199999999</v>
      </c>
      <c r="M9">
        <v>-622.49061300000005</v>
      </c>
      <c r="N9">
        <v>2.161918</v>
      </c>
      <c r="O9">
        <v>14.881470999999999</v>
      </c>
      <c r="P9">
        <f t="shared" si="0"/>
        <v>3.603196666666667E-5</v>
      </c>
      <c r="Q9" cm="1">
        <f t="array" ref="Q9">[1]!PropsSI("D","T",J9+273.15,"P",101325,"Water")</f>
        <v>985.03228707561323</v>
      </c>
      <c r="R9" cm="1">
        <f t="array" ref="R9">[1]!PropsSI("D","T",K9+273.15,"P",101325,"Water")</f>
        <v>987.19388921473876</v>
      </c>
      <c r="S9">
        <f t="shared" si="1"/>
        <v>986.11308814517599</v>
      </c>
      <c r="T9" cm="1">
        <f t="array" ref="T9">[1]!PropsSI("H","T",J9+273.15,"P",101325,"Water")</f>
        <v>235989.20764991557</v>
      </c>
      <c r="U9" cm="1">
        <f t="array" ref="U9">[1]!PropsSI("H","T",K9+273.15,"P",101325,"Water")</f>
        <v>217093.77226389144</v>
      </c>
      <c r="V9">
        <f t="shared" si="2"/>
        <v>671.38493710824275</v>
      </c>
      <c r="W9" s="2"/>
    </row>
    <row r="10" spans="1:23" x14ac:dyDescent="0.2">
      <c r="A10">
        <v>44660.891976851999</v>
      </c>
      <c r="B10">
        <v>20.662906</v>
      </c>
      <c r="C10">
        <v>20.754594000000001</v>
      </c>
      <c r="D10">
        <v>20.217244999999998</v>
      </c>
      <c r="E10">
        <v>20.414214999999999</v>
      </c>
      <c r="F10">
        <v>28.490791000000002</v>
      </c>
      <c r="G10">
        <v>25.768443000000001</v>
      </c>
      <c r="H10">
        <v>25.143505999999999</v>
      </c>
      <c r="I10">
        <v>22.409583000000001</v>
      </c>
      <c r="J10">
        <v>56.354492999999998</v>
      </c>
      <c r="K10">
        <v>51.836756000000001</v>
      </c>
      <c r="L10">
        <v>235.15542400000001</v>
      </c>
      <c r="M10">
        <v>-622.50040799999999</v>
      </c>
      <c r="N10">
        <v>2.166401</v>
      </c>
      <c r="O10">
        <v>14.861494</v>
      </c>
      <c r="P10">
        <f t="shared" si="0"/>
        <v>3.6106683333333334E-5</v>
      </c>
      <c r="Q10" cm="1">
        <f t="array" ref="Q10">[1]!PropsSI("D","T",J10+273.15,"P",101325,"Water")</f>
        <v>985.03158175960129</v>
      </c>
      <c r="R10" cm="1">
        <f t="array" ref="R10">[1]!PropsSI("D","T",K10+273.15,"P",101325,"Water")</f>
        <v>987.1932987321062</v>
      </c>
      <c r="S10">
        <f t="shared" si="1"/>
        <v>986.1124402458538</v>
      </c>
      <c r="T10" cm="1">
        <f t="array" ref="T10">[1]!PropsSI("H","T",J10+273.15,"P",101325,"Water")</f>
        <v>235995.19836481975</v>
      </c>
      <c r="U10" cm="1">
        <f t="array" ref="U10">[1]!PropsSI("H","T",K10+273.15,"P",101325,"Water")</f>
        <v>217099.09162690747</v>
      </c>
      <c r="V10">
        <f t="shared" si="2"/>
        <v>672.80059707979899</v>
      </c>
    </row>
    <row r="11" spans="1:23" x14ac:dyDescent="0.2">
      <c r="A11">
        <v>44660.892034722398</v>
      </c>
      <c r="B11">
        <v>20.491166</v>
      </c>
      <c r="C11">
        <v>20.732157999999998</v>
      </c>
      <c r="D11">
        <v>20.195269</v>
      </c>
      <c r="E11">
        <v>20.483429000000001</v>
      </c>
      <c r="F11">
        <v>28.415970000000002</v>
      </c>
      <c r="G11">
        <v>25.863379999999999</v>
      </c>
      <c r="H11">
        <v>24.835283</v>
      </c>
      <c r="I11">
        <v>22.249141000000002</v>
      </c>
      <c r="J11">
        <v>56.354174999999998</v>
      </c>
      <c r="K11">
        <v>51.836756000000001</v>
      </c>
      <c r="L11">
        <v>228.94553099999999</v>
      </c>
      <c r="M11">
        <v>-622.493878</v>
      </c>
      <c r="N11">
        <v>2.1550340000000001</v>
      </c>
      <c r="O11">
        <v>14.590068</v>
      </c>
      <c r="P11">
        <f t="shared" si="0"/>
        <v>3.5917233333333336E-5</v>
      </c>
      <c r="Q11" cm="1">
        <f t="array" ref="Q11">[1]!PropsSI("D","T",J11+273.15,"P",101325,"Water")</f>
        <v>985.03173838811347</v>
      </c>
      <c r="R11" cm="1">
        <f t="array" ref="R11">[1]!PropsSI("D","T",K11+273.15,"P",101325,"Water")</f>
        <v>987.1932987321062</v>
      </c>
      <c r="S11">
        <f t="shared" si="1"/>
        <v>986.11251856010983</v>
      </c>
      <c r="T11" cm="1">
        <f t="array" ref="T11">[1]!PropsSI("H","T",J11+273.15,"P",101325,"Water")</f>
        <v>235993.86802447331</v>
      </c>
      <c r="U11" cm="1">
        <f t="array" ref="U11">[1]!PropsSI("H","T",K11+273.15,"P",101325,"Water")</f>
        <v>217099.09162690747</v>
      </c>
      <c r="V11">
        <f t="shared" si="2"/>
        <v>669.22337986160312</v>
      </c>
    </row>
    <row r="12" spans="1:23" x14ac:dyDescent="0.2">
      <c r="A12">
        <v>44660.892093171497</v>
      </c>
      <c r="B12">
        <v>20.431598000000001</v>
      </c>
      <c r="C12">
        <v>20.673565</v>
      </c>
      <c r="D12">
        <v>20.122277</v>
      </c>
      <c r="E12">
        <v>20.315871000000001</v>
      </c>
      <c r="F12">
        <v>28.313476999999999</v>
      </c>
      <c r="G12">
        <v>25.719268</v>
      </c>
      <c r="H12">
        <v>25.159063</v>
      </c>
      <c r="I12">
        <v>22.593115000000001</v>
      </c>
      <c r="J12">
        <v>56.352265000000003</v>
      </c>
      <c r="K12">
        <v>51.833734999999997</v>
      </c>
      <c r="L12">
        <v>237.302255</v>
      </c>
      <c r="M12">
        <v>-622.50122399999998</v>
      </c>
      <c r="N12">
        <v>2.1646719999999999</v>
      </c>
      <c r="O12">
        <v>14.787115</v>
      </c>
      <c r="P12">
        <f t="shared" si="0"/>
        <v>3.6077866666666662E-5</v>
      </c>
      <c r="Q12" cm="1">
        <f t="array" ref="Q12">[1]!PropsSI("D","T",J12+273.15,"P",101325,"Water")</f>
        <v>985.03267913132925</v>
      </c>
      <c r="R12" cm="1">
        <f t="array" ref="R12">[1]!PropsSI("D","T",K12+273.15,"P",101325,"Water")</f>
        <v>987.19470111135115</v>
      </c>
      <c r="S12">
        <f t="shared" si="1"/>
        <v>986.11369012134014</v>
      </c>
      <c r="T12" cm="1">
        <f t="array" ref="T12">[1]!PropsSI("H","T",J12+273.15,"P",101325,"Water")</f>
        <v>235985.87761600016</v>
      </c>
      <c r="U12" cm="1">
        <f t="array" ref="U12">[1]!PropsSI("H","T",K12+273.15,"P",101325,"Water")</f>
        <v>217086.45814057294</v>
      </c>
      <c r="V12">
        <f t="shared" si="2"/>
        <v>672.3823453020018</v>
      </c>
    </row>
    <row r="13" spans="1:23" x14ac:dyDescent="0.2">
      <c r="A13">
        <v>44660.892151620501</v>
      </c>
      <c r="B13">
        <v>20.322607000000001</v>
      </c>
      <c r="C13">
        <v>20.482174000000001</v>
      </c>
      <c r="D13">
        <v>20.136313999999999</v>
      </c>
      <c r="E13">
        <v>20.319195000000001</v>
      </c>
      <c r="F13">
        <v>28.378639</v>
      </c>
      <c r="G13">
        <v>25.642105000000001</v>
      </c>
      <c r="H13">
        <v>24.913460000000001</v>
      </c>
      <c r="I13">
        <v>22.471727999999999</v>
      </c>
      <c r="J13">
        <v>56.350991</v>
      </c>
      <c r="K13">
        <v>51.829284000000001</v>
      </c>
      <c r="L13">
        <v>234.16894300000001</v>
      </c>
      <c r="M13">
        <v>-622.48693900000001</v>
      </c>
      <c r="N13">
        <v>2.1654990000000001</v>
      </c>
      <c r="O13">
        <v>15.015844</v>
      </c>
      <c r="P13">
        <f t="shared" si="0"/>
        <v>3.6091650000000002E-5</v>
      </c>
      <c r="Q13" cm="1">
        <f t="array" ref="Q13">[1]!PropsSI("D","T",J13+273.15,"P",101325,"Water")</f>
        <v>985.0333066094197</v>
      </c>
      <c r="R13" cm="1">
        <f t="array" ref="R13">[1]!PropsSI("D","T",K13+273.15,"P",101325,"Water")</f>
        <v>987.19676720447012</v>
      </c>
      <c r="S13">
        <f t="shared" si="1"/>
        <v>986.11503690694485</v>
      </c>
      <c r="T13" cm="1">
        <f t="array" ref="T13">[1]!PropsSI("H","T",J13+273.15,"P",101325,"Water")</f>
        <v>235980.54788884547</v>
      </c>
      <c r="U13" cm="1">
        <f t="array" ref="U13">[1]!PropsSI("H","T",K13+273.15,"P",101325,"Water")</f>
        <v>217067.84455827257</v>
      </c>
      <c r="V13">
        <f t="shared" si="2"/>
        <v>673.11292291190887</v>
      </c>
    </row>
    <row r="14" spans="1:23" x14ac:dyDescent="0.2">
      <c r="A14">
        <v>44660.8922100696</v>
      </c>
      <c r="B14">
        <v>20.52337</v>
      </c>
      <c r="C14">
        <v>20.612292</v>
      </c>
      <c r="D14">
        <v>20.163831999999999</v>
      </c>
      <c r="E14">
        <v>20.273834999999998</v>
      </c>
      <c r="F14">
        <v>28.48779</v>
      </c>
      <c r="G14">
        <v>25.706012000000001</v>
      </c>
      <c r="H14">
        <v>24.761821000000001</v>
      </c>
      <c r="I14">
        <v>22.245946</v>
      </c>
      <c r="J14">
        <v>56.353696999999997</v>
      </c>
      <c r="K14">
        <v>51.825946000000002</v>
      </c>
      <c r="L14">
        <v>225.58324999999999</v>
      </c>
      <c r="M14">
        <v>-622.47918500000003</v>
      </c>
      <c r="N14">
        <v>2.1662859999999999</v>
      </c>
      <c r="O14">
        <v>14.935225000000001</v>
      </c>
      <c r="P14">
        <f t="shared" si="0"/>
        <v>3.6104766666666667E-5</v>
      </c>
      <c r="Q14" cm="1">
        <f t="array" ref="Q14">[1]!PropsSI("D","T",J14+273.15,"P",101325,"Water")</f>
        <v>985.03197382225483</v>
      </c>
      <c r="R14" cm="1">
        <f t="array" ref="R14">[1]!PropsSI("D","T",K14+273.15,"P",101325,"Water")</f>
        <v>987.19831657473242</v>
      </c>
      <c r="S14">
        <f t="shared" si="1"/>
        <v>986.11514519849356</v>
      </c>
      <c r="T14" cm="1">
        <f t="array" ref="T14">[1]!PropsSI("H","T",J14+273.15,"P",101325,"Water")</f>
        <v>235991.86833050131</v>
      </c>
      <c r="U14" cm="1">
        <f t="array" ref="U14">[1]!PropsSI("H","T",K14+273.15,"P",101325,"Water")</f>
        <v>217053.88542111719</v>
      </c>
      <c r="V14">
        <f t="shared" si="2"/>
        <v>674.2576644204064</v>
      </c>
    </row>
    <row r="15" spans="1:23" x14ac:dyDescent="0.2">
      <c r="A15">
        <v>46122.892268518517</v>
      </c>
      <c r="B15">
        <v>20.620480000000001</v>
      </c>
      <c r="C15">
        <v>20.699994</v>
      </c>
      <c r="D15">
        <v>20.100657000000002</v>
      </c>
      <c r="E15">
        <v>20.289881999999999</v>
      </c>
      <c r="F15">
        <v>28.569976</v>
      </c>
      <c r="G15">
        <v>25.875589000000002</v>
      </c>
      <c r="H15">
        <v>25.173012</v>
      </c>
      <c r="I15">
        <v>22.368145999999999</v>
      </c>
      <c r="J15">
        <v>56.355925999999997</v>
      </c>
      <c r="K15">
        <v>51.824196999999998</v>
      </c>
      <c r="L15">
        <v>235.96926099999999</v>
      </c>
      <c r="M15">
        <v>-622.47183800000005</v>
      </c>
      <c r="N15">
        <v>2.1657700000000002</v>
      </c>
      <c r="O15">
        <v>14.816229</v>
      </c>
      <c r="P15">
        <f t="shared" si="0"/>
        <v>3.6096166666666675E-5</v>
      </c>
      <c r="Q15" cm="1">
        <f t="array" ref="Q15">[1]!PropsSI("D","T",J15+273.15,"P",101325,"Water")</f>
        <v>985.03087593845044</v>
      </c>
      <c r="R15" cm="1">
        <f t="array" ref="R15">[1]!PropsSI("D","T",K15+273.15,"P",101325,"Water")</f>
        <v>987.19912836418564</v>
      </c>
      <c r="S15">
        <f t="shared" si="1"/>
        <v>986.11500215131809</v>
      </c>
      <c r="T15" cm="1">
        <f t="array" ref="T15">[1]!PropsSI("H","T",J15+273.15,"P",101325,"Water")</f>
        <v>236001.19326400687</v>
      </c>
      <c r="U15" cm="1">
        <f t="array" ref="U15">[1]!PropsSI("H","T",K15+273.15,"P",101325,"Water")</f>
        <v>217046.57130295696</v>
      </c>
      <c r="V15">
        <f t="shared" si="2"/>
        <v>674.68922793113245</v>
      </c>
    </row>
    <row r="16" spans="1:23" x14ac:dyDescent="0.2">
      <c r="A16">
        <v>46122.892326967594</v>
      </c>
      <c r="B16">
        <v>20.541461000000002</v>
      </c>
      <c r="C16">
        <v>20.586129</v>
      </c>
      <c r="D16">
        <v>20.182468</v>
      </c>
      <c r="E16">
        <v>20.35614</v>
      </c>
      <c r="F16">
        <v>28.340118</v>
      </c>
      <c r="G16">
        <v>25.971910999999999</v>
      </c>
      <c r="H16">
        <v>25.291360999999998</v>
      </c>
      <c r="I16">
        <v>22.402016</v>
      </c>
      <c r="J16">
        <v>56.357357999999998</v>
      </c>
      <c r="K16">
        <v>51.826422999999998</v>
      </c>
      <c r="L16">
        <v>231.82620299999999</v>
      </c>
      <c r="M16">
        <v>-622.51714200000004</v>
      </c>
      <c r="N16">
        <v>2.164323</v>
      </c>
      <c r="O16">
        <v>14.949801000000001</v>
      </c>
      <c r="P16">
        <f t="shared" si="0"/>
        <v>3.607205E-5</v>
      </c>
      <c r="Q16" cm="1">
        <f t="array" ref="Q16">[1]!PropsSI("D","T",J16+273.15,"P",101325,"Water")</f>
        <v>985.03017059730371</v>
      </c>
      <c r="R16" cm="1">
        <f t="array" ref="R16">[1]!PropsSI("D","T",K16+273.15,"P",101325,"Water")</f>
        <v>987.19809517422163</v>
      </c>
      <c r="S16">
        <f t="shared" si="1"/>
        <v>986.11413288576273</v>
      </c>
      <c r="T16" cm="1">
        <f t="array" ref="T16">[1]!PropsSI("H","T",J16+273.15,"P",101325,"Water")</f>
        <v>236007.18398049101</v>
      </c>
      <c r="U16" cm="1">
        <f t="array" ref="U16">[1]!PropsSI("H","T",K16+273.15,"P",101325,"Water")</f>
        <v>217055.88018071422</v>
      </c>
      <c r="V16">
        <f t="shared" si="2"/>
        <v>674.11982758897886</v>
      </c>
    </row>
    <row r="17" spans="1:22" x14ac:dyDescent="0.2">
      <c r="A17">
        <v>46122.892384837964</v>
      </c>
      <c r="B17">
        <v>20.555941000000001</v>
      </c>
      <c r="C17">
        <v>20.508565000000001</v>
      </c>
      <c r="D17">
        <v>20.173614000000001</v>
      </c>
      <c r="E17">
        <v>20.222867000000001</v>
      </c>
      <c r="F17">
        <v>28.429646000000002</v>
      </c>
      <c r="G17">
        <v>25.615513</v>
      </c>
      <c r="H17">
        <v>24.561948000000001</v>
      </c>
      <c r="I17">
        <v>22.277135000000001</v>
      </c>
      <c r="J17">
        <v>56.357199000000001</v>
      </c>
      <c r="K17">
        <v>51.828966000000001</v>
      </c>
      <c r="L17">
        <v>250.64485300000001</v>
      </c>
      <c r="M17">
        <v>-622.47306300000002</v>
      </c>
      <c r="N17">
        <v>2.1623730000000001</v>
      </c>
      <c r="O17">
        <v>14.986196</v>
      </c>
      <c r="P17">
        <f t="shared" si="0"/>
        <v>3.6039550000000003E-5</v>
      </c>
      <c r="Q17" cm="1">
        <f t="array" ref="Q17">[1]!PropsSI("D","T",J17+273.15,"P",101325,"Water")</f>
        <v>985.03024891445148</v>
      </c>
      <c r="R17" cm="1">
        <f t="array" ref="R17">[1]!PropsSI("D","T",K17+273.15,"P",101325,"Water")</f>
        <v>987.19691481083214</v>
      </c>
      <c r="S17">
        <f t="shared" si="1"/>
        <v>986.11358186264181</v>
      </c>
      <c r="T17" cm="1">
        <f t="array" ref="T17">[1]!PropsSI("H","T",J17+273.15,"P",101325,"Water")</f>
        <v>236006.5188101019</v>
      </c>
      <c r="U17" cm="1">
        <f t="array" ref="U17">[1]!PropsSI("H","T",K17+273.15,"P",101325,"Water")</f>
        <v>217066.51471816993</v>
      </c>
      <c r="V17">
        <f t="shared" si="2"/>
        <v>673.1105050843222</v>
      </c>
    </row>
    <row r="18" spans="1:22" x14ac:dyDescent="0.2">
      <c r="A18">
        <v>46122.892442708333</v>
      </c>
      <c r="B18">
        <v>20.390395999999999</v>
      </c>
      <c r="C18">
        <v>20.502262999999999</v>
      </c>
      <c r="D18">
        <v>20.144563999999999</v>
      </c>
      <c r="E18">
        <v>20.287846999999999</v>
      </c>
      <c r="F18">
        <v>28.282325</v>
      </c>
      <c r="G18">
        <v>25.684978999999998</v>
      </c>
      <c r="H18">
        <v>25.020401</v>
      </c>
      <c r="I18">
        <v>22.554600000000001</v>
      </c>
      <c r="J18">
        <v>56.356403</v>
      </c>
      <c r="K18">
        <v>51.824832999999998</v>
      </c>
      <c r="L18">
        <v>246.44098199999999</v>
      </c>
      <c r="M18">
        <v>-622.49347</v>
      </c>
      <c r="N18">
        <v>2.1621969999999999</v>
      </c>
      <c r="O18">
        <v>14.854988000000001</v>
      </c>
      <c r="P18">
        <f t="shared" si="0"/>
        <v>3.6036616666666663E-5</v>
      </c>
      <c r="Q18" cm="1">
        <f t="array" ref="Q18">[1]!PropsSI("D","T",J18+273.15,"P",101325,"Water")</f>
        <v>985.03064099031758</v>
      </c>
      <c r="R18" cm="1">
        <f t="array" ref="R18">[1]!PropsSI("D","T",K18+273.15,"P",101325,"Water")</f>
        <v>987.19883317029792</v>
      </c>
      <c r="S18">
        <f t="shared" si="1"/>
        <v>986.1147370803078</v>
      </c>
      <c r="T18" cm="1">
        <f t="array" ref="T18">[1]!PropsSI("H","T",J18+273.15,"P",101325,"Water")</f>
        <v>236003.18877492758</v>
      </c>
      <c r="U18" cm="1">
        <f t="array" ref="U18">[1]!PropsSI("H","T",K18+273.15,"P",101325,"Water")</f>
        <v>217049.23098213837</v>
      </c>
      <c r="V18">
        <f t="shared" si="2"/>
        <v>673.55236975184471</v>
      </c>
    </row>
    <row r="19" spans="1:22" x14ac:dyDescent="0.2">
      <c r="A19">
        <v>46122.89250115741</v>
      </c>
      <c r="B19">
        <v>20.308759999999999</v>
      </c>
      <c r="C19">
        <v>20.446622999999999</v>
      </c>
      <c r="D19">
        <v>20.198491000000001</v>
      </c>
      <c r="E19">
        <v>20.313649000000002</v>
      </c>
      <c r="F19">
        <v>28.378606999999999</v>
      </c>
      <c r="G19">
        <v>25.764375999999999</v>
      </c>
      <c r="H19">
        <v>24.914344</v>
      </c>
      <c r="I19">
        <v>22.269803</v>
      </c>
      <c r="J19">
        <v>56.357199000000001</v>
      </c>
      <c r="K19">
        <v>51.820540999999999</v>
      </c>
      <c r="L19">
        <v>254.01039800000001</v>
      </c>
      <c r="M19">
        <v>-622.49795900000004</v>
      </c>
      <c r="N19">
        <v>2.1540050000000002</v>
      </c>
      <c r="O19">
        <v>14.595952</v>
      </c>
      <c r="P19">
        <f t="shared" si="0"/>
        <v>3.5900083333333335E-5</v>
      </c>
      <c r="Q19" cm="1">
        <f t="array" ref="Q19">[1]!PropsSI("D","T",J19+273.15,"P",101325,"Water")</f>
        <v>985.03024891445148</v>
      </c>
      <c r="R19" cm="1">
        <f t="array" ref="R19">[1]!PropsSI("D","T",K19+273.15,"P",101325,"Water")</f>
        <v>987.20082521450638</v>
      </c>
      <c r="S19">
        <f t="shared" si="1"/>
        <v>986.11553706447899</v>
      </c>
      <c r="T19" cm="1">
        <f t="array" ref="T19">[1]!PropsSI("H","T",J19+273.15,"P",101325,"Water")</f>
        <v>236006.5188101019</v>
      </c>
      <c r="U19" cm="1">
        <f t="array" ref="U19">[1]!PropsSI("H","T",K19+273.15,"P",101325,"Water")</f>
        <v>217031.2823318647</v>
      </c>
      <c r="V19">
        <f t="shared" si="2"/>
        <v>671.75430014740516</v>
      </c>
    </row>
    <row r="20" spans="1:22" x14ac:dyDescent="0.2">
      <c r="A20">
        <v>46122.89255960648</v>
      </c>
      <c r="B20">
        <v>20.289906999999999</v>
      </c>
      <c r="C20">
        <v>20.446501999999999</v>
      </c>
      <c r="D20">
        <v>20.130357</v>
      </c>
      <c r="E20">
        <v>20.287110999999999</v>
      </c>
      <c r="F20">
        <v>28.293044999999999</v>
      </c>
      <c r="G20">
        <v>25.636009000000001</v>
      </c>
      <c r="H20">
        <v>25.429648</v>
      </c>
      <c r="I20">
        <v>22.591642</v>
      </c>
      <c r="J20">
        <v>56.357357999999998</v>
      </c>
      <c r="K20">
        <v>51.816884999999999</v>
      </c>
      <c r="L20">
        <v>260.89699200000001</v>
      </c>
      <c r="M20">
        <v>-622.47510299999999</v>
      </c>
      <c r="N20">
        <v>2.1612749999999998</v>
      </c>
      <c r="O20">
        <v>14.951923000000001</v>
      </c>
      <c r="P20">
        <f t="shared" si="0"/>
        <v>3.6021249999999997E-5</v>
      </c>
      <c r="Q20" cm="1">
        <f t="array" ref="Q20">[1]!PropsSI("D","T",J20+273.15,"P",101325,"Water")</f>
        <v>985.03017059730371</v>
      </c>
      <c r="R20" cm="1">
        <f t="array" ref="R20">[1]!PropsSI("D","T",K20+273.15,"P",101325,"Water")</f>
        <v>987.20252197895707</v>
      </c>
      <c r="S20">
        <f t="shared" si="1"/>
        <v>986.11634628813044</v>
      </c>
      <c r="T20" cm="1">
        <f t="array" ref="T20">[1]!PropsSI("H","T",J20+273.15,"P",101325,"Water")</f>
        <v>236007.18398049101</v>
      </c>
      <c r="U20" cm="1">
        <f t="array" ref="U20">[1]!PropsSI("H","T",K20+273.15,"P",101325,"Water")</f>
        <v>217015.99336491339</v>
      </c>
      <c r="V20">
        <f t="shared" si="2"/>
        <v>674.58880592822084</v>
      </c>
    </row>
    <row r="21" spans="1:22" x14ac:dyDescent="0.2">
      <c r="A21">
        <v>46122.892618055557</v>
      </c>
      <c r="B21">
        <v>20.312080000000002</v>
      </c>
      <c r="C21">
        <v>20.761182999999999</v>
      </c>
      <c r="D21">
        <v>20.241242</v>
      </c>
      <c r="E21">
        <v>20.390184999999999</v>
      </c>
      <c r="F21">
        <v>28.197219</v>
      </c>
      <c r="G21">
        <v>25.640512999999999</v>
      </c>
      <c r="H21">
        <v>24.935704000000001</v>
      </c>
      <c r="I21">
        <v>22.475778999999999</v>
      </c>
      <c r="J21">
        <v>56.357995000000003</v>
      </c>
      <c r="K21">
        <v>51.818952000000003</v>
      </c>
      <c r="L21">
        <v>238.21976100000001</v>
      </c>
      <c r="M21">
        <v>-622.49755100000004</v>
      </c>
      <c r="N21">
        <v>2.1645819999999998</v>
      </c>
      <c r="O21">
        <v>14.775907</v>
      </c>
      <c r="P21">
        <f t="shared" si="0"/>
        <v>3.6076366666666666E-5</v>
      </c>
      <c r="Q21" cm="1">
        <f t="array" ref="Q21">[1]!PropsSI("D","T",J21+273.15,"P",101325,"Water")</f>
        <v>985.02985683467523</v>
      </c>
      <c r="R21" cm="1">
        <f t="array" ref="R21">[1]!PropsSI("D","T",K21+273.15,"P",101325,"Water")</f>
        <v>987.2015626863955</v>
      </c>
      <c r="S21">
        <f t="shared" si="1"/>
        <v>986.11570976053531</v>
      </c>
      <c r="T21" cm="1">
        <f t="array" ref="T21">[1]!PropsSI("H","T",J21+273.15,"P",101325,"Water")</f>
        <v>236009.84884555437</v>
      </c>
      <c r="U21" cm="1">
        <f t="array" ref="U21">[1]!PropsSI("H","T",K21+273.15,"P",101325,"Water")</f>
        <v>217024.6373181415</v>
      </c>
      <c r="V21">
        <f t="shared" si="2"/>
        <v>675.4078596092661</v>
      </c>
    </row>
    <row r="22" spans="1:22" x14ac:dyDescent="0.2">
      <c r="A22">
        <v>46122.892675925927</v>
      </c>
      <c r="B22">
        <v>20.5579</v>
      </c>
      <c r="C22">
        <v>20.831274000000001</v>
      </c>
      <c r="D22">
        <v>20.310645000000001</v>
      </c>
      <c r="E22">
        <v>20.357800000000001</v>
      </c>
      <c r="F22">
        <v>28.550201000000001</v>
      </c>
      <c r="G22">
        <v>25.912766999999999</v>
      </c>
      <c r="H22">
        <v>25.344804</v>
      </c>
      <c r="I22">
        <v>22.676449000000002</v>
      </c>
      <c r="J22">
        <v>56.356881000000001</v>
      </c>
      <c r="K22">
        <v>51.816884999999999</v>
      </c>
      <c r="L22">
        <v>242.288128</v>
      </c>
      <c r="M22">
        <v>-622.47796000000005</v>
      </c>
      <c r="N22">
        <v>2.1626509999999999</v>
      </c>
      <c r="O22">
        <v>14.803509</v>
      </c>
      <c r="P22">
        <f t="shared" si="0"/>
        <v>3.6044183333333333E-5</v>
      </c>
      <c r="Q22" cm="1">
        <f t="array" ref="Q22">[1]!PropsSI("D","T",J22+273.15,"P",101325,"Water")</f>
        <v>985.0304055482269</v>
      </c>
      <c r="R22" cm="1">
        <f t="array" ref="R22">[1]!PropsSI("D","T",K22+273.15,"P",101325,"Water")</f>
        <v>987.20252197895707</v>
      </c>
      <c r="S22">
        <f t="shared" si="1"/>
        <v>986.11646376359204</v>
      </c>
      <c r="T22" cm="1">
        <f t="array" ref="T22">[1]!PropsSI("H","T",J22+273.15,"P",101325,"Water")</f>
        <v>236005.18846939571</v>
      </c>
      <c r="U22" cm="1">
        <f t="array" ref="U22">[1]!PropsSI("H","T",K22+273.15,"P",101325,"Water")</f>
        <v>217015.99336491339</v>
      </c>
      <c r="V22">
        <f t="shared" si="2"/>
        <v>674.9474429090684</v>
      </c>
    </row>
    <row r="23" spans="1:22" x14ac:dyDescent="0.2">
      <c r="A23">
        <v>46122.892733796296</v>
      </c>
      <c r="B23">
        <v>20.525721000000001</v>
      </c>
      <c r="C23">
        <v>20.662438000000002</v>
      </c>
      <c r="D23">
        <v>20.300094000000001</v>
      </c>
      <c r="E23">
        <v>20.429361</v>
      </c>
      <c r="F23">
        <v>28.477494</v>
      </c>
      <c r="G23">
        <v>25.686820000000001</v>
      </c>
      <c r="H23">
        <v>24.970213999999999</v>
      </c>
      <c r="I23">
        <v>22.228120000000001</v>
      </c>
      <c r="J23">
        <v>56.355925999999997</v>
      </c>
      <c r="K23">
        <v>51.824674000000002</v>
      </c>
      <c r="L23">
        <v>237.31735699999999</v>
      </c>
      <c r="M23">
        <v>-622.48489900000004</v>
      </c>
      <c r="N23">
        <v>2.1560090000000001</v>
      </c>
      <c r="O23">
        <v>14.909694999999999</v>
      </c>
      <c r="P23">
        <f t="shared" si="0"/>
        <v>3.5933483333333334E-5</v>
      </c>
      <c r="Q23" cm="1">
        <f t="array" ref="Q23">[1]!PropsSI("D","T",J23+273.15,"P",101325,"Water")</f>
        <v>985.03087593845044</v>
      </c>
      <c r="R23" cm="1">
        <f t="array" ref="R23">[1]!PropsSI("D","T",K23+273.15,"P",101325,"Water")</f>
        <v>987.19890696901825</v>
      </c>
      <c r="S23">
        <f t="shared" si="1"/>
        <v>986.11489145373434</v>
      </c>
      <c r="T23" cm="1">
        <f t="array" ref="T23">[1]!PropsSI("H","T",J23+273.15,"P",101325,"Water")</f>
        <v>236001.19326400687</v>
      </c>
      <c r="U23" cm="1">
        <f t="array" ref="U23">[1]!PropsSI("H","T",K23+273.15,"P",101325,"Water")</f>
        <v>217048.56606234933</v>
      </c>
      <c r="V23">
        <f t="shared" si="2"/>
        <v>671.57768385859447</v>
      </c>
    </row>
    <row r="24" spans="1:22" x14ac:dyDescent="0.2">
      <c r="A24">
        <v>46122.892792245373</v>
      </c>
      <c r="B24">
        <v>20.280148000000001</v>
      </c>
      <c r="C24">
        <v>20.524574999999999</v>
      </c>
      <c r="D24">
        <v>20.148305000000001</v>
      </c>
      <c r="E24">
        <v>20.286725000000001</v>
      </c>
      <c r="F24">
        <v>28.321753000000001</v>
      </c>
      <c r="G24">
        <v>25.571839000000001</v>
      </c>
      <c r="H24">
        <v>25.223490000000002</v>
      </c>
      <c r="I24">
        <v>22.419096</v>
      </c>
      <c r="J24">
        <v>56.357199000000001</v>
      </c>
      <c r="K24">
        <v>51.823084999999999</v>
      </c>
      <c r="L24">
        <v>229.505503</v>
      </c>
      <c r="M24">
        <v>-622.48612300000002</v>
      </c>
      <c r="N24">
        <v>2.16018</v>
      </c>
      <c r="O24">
        <v>14.769579</v>
      </c>
      <c r="P24">
        <f t="shared" si="0"/>
        <v>3.6002999999999994E-5</v>
      </c>
      <c r="Q24" cm="1">
        <f t="array" ref="Q24">[1]!PropsSI("D","T",J24+273.15,"P",101325,"Water")</f>
        <v>985.03024891445148</v>
      </c>
      <c r="R24" cm="1">
        <f t="array" ref="R24">[1]!PropsSI("D","T",K24+273.15,"P",101325,"Water")</f>
        <v>987.19964448312896</v>
      </c>
      <c r="S24">
        <f t="shared" si="1"/>
        <v>986.11494669879016</v>
      </c>
      <c r="T24" cm="1">
        <f t="array" ref="T24">[1]!PropsSI("H","T",J24+273.15,"P",101325,"Water")</f>
        <v>236006.5188101019</v>
      </c>
      <c r="U24" cm="1">
        <f t="array" ref="U24">[1]!PropsSI("H","T",K24+273.15,"P",101325,"Water")</f>
        <v>217041.92104646898</v>
      </c>
      <c r="V24">
        <f t="shared" si="2"/>
        <v>673.3019430824977</v>
      </c>
    </row>
    <row r="25" spans="1:22" x14ac:dyDescent="0.2">
      <c r="A25">
        <v>46122.892850115742</v>
      </c>
      <c r="B25">
        <v>20.696873</v>
      </c>
      <c r="C25">
        <v>20.941437000000001</v>
      </c>
      <c r="D25">
        <v>20.203576999999999</v>
      </c>
      <c r="E25">
        <v>20.333614000000001</v>
      </c>
      <c r="F25">
        <v>28.635558</v>
      </c>
      <c r="G25">
        <v>25.841616999999999</v>
      </c>
      <c r="H25">
        <v>25.351842000000001</v>
      </c>
      <c r="I25">
        <v>22.590081000000001</v>
      </c>
      <c r="J25">
        <v>56.359428000000001</v>
      </c>
      <c r="K25">
        <v>51.827376999999998</v>
      </c>
      <c r="L25">
        <v>247.807852</v>
      </c>
      <c r="M25">
        <v>-622.47796000000005</v>
      </c>
      <c r="N25">
        <v>2.15964</v>
      </c>
      <c r="O25">
        <v>14.981316</v>
      </c>
      <c r="P25">
        <f t="shared" si="0"/>
        <v>3.5994000000000001E-5</v>
      </c>
      <c r="Q25" cm="1">
        <f t="array" ref="Q25">[1]!PropsSI("D","T",J25+273.15,"P",101325,"Water")</f>
        <v>985.02915098281335</v>
      </c>
      <c r="R25" cm="1">
        <f t="array" ref="R25">[1]!PropsSI("D","T",K25+273.15,"P",101325,"Water")</f>
        <v>987.19765236875264</v>
      </c>
      <c r="S25">
        <f t="shared" si="1"/>
        <v>986.11340167578305</v>
      </c>
      <c r="T25" cm="1">
        <f t="array" ref="T25">[1]!PropsSI("H","T",J25+273.15,"P",101325,"Water")</f>
        <v>236015.84374663295</v>
      </c>
      <c r="U25" cm="1">
        <f t="array" ref="U25">[1]!PropsSI("H","T",K25+273.15,"P",101325,"Water")</f>
        <v>217059.86970024824</v>
      </c>
      <c r="V25">
        <f t="shared" si="2"/>
        <v>672.82648532220458</v>
      </c>
    </row>
    <row r="26" spans="1:22" x14ac:dyDescent="0.2">
      <c r="A26">
        <v>46122.892907986112</v>
      </c>
      <c r="B26">
        <v>20.539256999999999</v>
      </c>
      <c r="C26">
        <v>20.859901000000001</v>
      </c>
      <c r="D26">
        <v>20.261987000000001</v>
      </c>
      <c r="E26">
        <v>20.359490000000001</v>
      </c>
      <c r="F26">
        <v>28.598147999999998</v>
      </c>
      <c r="G26">
        <v>25.727699000000001</v>
      </c>
      <c r="H26">
        <v>25.018767</v>
      </c>
      <c r="I26">
        <v>22.463266000000001</v>
      </c>
      <c r="J26">
        <v>56.359428000000001</v>
      </c>
      <c r="K26">
        <v>51.828648000000001</v>
      </c>
      <c r="L26">
        <v>231.47152700000001</v>
      </c>
      <c r="M26">
        <v>-622.47673599999996</v>
      </c>
      <c r="N26">
        <v>2.1603240000000001</v>
      </c>
      <c r="O26">
        <v>14.854353</v>
      </c>
      <c r="P26">
        <f t="shared" si="0"/>
        <v>3.6005400000000006E-5</v>
      </c>
      <c r="Q26" cm="1">
        <f t="array" ref="Q26">[1]!PropsSI("D","T",J26+273.15,"P",101325,"Water")</f>
        <v>985.02915098281335</v>
      </c>
      <c r="R26" cm="1">
        <f t="array" ref="R26">[1]!PropsSI("D","T",K26+273.15,"P",101325,"Water")</f>
        <v>987.19706241652364</v>
      </c>
      <c r="S26">
        <f t="shared" si="1"/>
        <v>986.11310669966849</v>
      </c>
      <c r="T26" cm="1">
        <f t="array" ref="T26">[1]!PropsSI("H","T",J26+273.15,"P",101325,"Water")</f>
        <v>236015.84374663295</v>
      </c>
      <c r="U26" cm="1">
        <f t="array" ref="U26">[1]!PropsSI("H","T",K26+273.15,"P",101325,"Water")</f>
        <v>217065.18487819916</v>
      </c>
      <c r="V26">
        <f t="shared" si="2"/>
        <v>672.85066372993754</v>
      </c>
    </row>
    <row r="27" spans="1:22" x14ac:dyDescent="0.2">
      <c r="A27">
        <v>46122.892965856481</v>
      </c>
      <c r="B27">
        <v>20.468955999999999</v>
      </c>
      <c r="C27">
        <v>20.666270999999998</v>
      </c>
      <c r="D27">
        <v>20.343615</v>
      </c>
      <c r="E27">
        <v>20.460718</v>
      </c>
      <c r="F27">
        <v>28.367898</v>
      </c>
      <c r="G27">
        <v>25.731058000000001</v>
      </c>
      <c r="H27">
        <v>25.487791000000001</v>
      </c>
      <c r="I27">
        <v>22.60181</v>
      </c>
      <c r="J27">
        <v>56.359904999999998</v>
      </c>
      <c r="K27">
        <v>51.831510000000002</v>
      </c>
      <c r="L27">
        <v>251.148909</v>
      </c>
      <c r="M27">
        <v>-622.46285899999998</v>
      </c>
      <c r="N27">
        <v>2.157886</v>
      </c>
      <c r="O27">
        <v>14.92084</v>
      </c>
      <c r="P27">
        <f t="shared" si="0"/>
        <v>3.5964766666666665E-5</v>
      </c>
      <c r="Q27" cm="1">
        <f t="array" ref="Q27">[1]!PropsSI("D","T",J27+273.15,"P",101325,"Water")</f>
        <v>985.02891602447824</v>
      </c>
      <c r="R27" cm="1">
        <f t="array" ref="R27">[1]!PropsSI("D","T",K27+273.15,"P",101325,"Water")</f>
        <v>987.19573394172369</v>
      </c>
      <c r="S27">
        <f t="shared" si="1"/>
        <v>986.11232498310096</v>
      </c>
      <c r="T27" cm="1">
        <f t="array" ref="T27">[1]!PropsSI("H","T",J27+273.15,"P",101325,"Water")</f>
        <v>236017.83925817729</v>
      </c>
      <c r="U27" cm="1">
        <f t="array" ref="U27">[1]!PropsSI("H","T",K27+273.15,"P",101325,"Water")</f>
        <v>217077.15343958317</v>
      </c>
      <c r="V27">
        <f t="shared" si="2"/>
        <v>671.73709860914141</v>
      </c>
    </row>
    <row r="28" spans="1:22" x14ac:dyDescent="0.2">
      <c r="A28">
        <v>46122.893024305558</v>
      </c>
      <c r="B28">
        <v>20.372651000000001</v>
      </c>
      <c r="C28">
        <v>20.502078999999998</v>
      </c>
      <c r="D28">
        <v>20.230266</v>
      </c>
      <c r="E28">
        <v>20.266071</v>
      </c>
      <c r="F28">
        <v>28.335289</v>
      </c>
      <c r="G28">
        <v>25.697371</v>
      </c>
      <c r="H28">
        <v>24.934950000000001</v>
      </c>
      <c r="I28">
        <v>22.595544</v>
      </c>
      <c r="J28">
        <v>56.357517999999999</v>
      </c>
      <c r="K28">
        <v>51.832146000000002</v>
      </c>
      <c r="L28">
        <v>239.11808300000001</v>
      </c>
      <c r="M28">
        <v>-622.48449100000005</v>
      </c>
      <c r="N28">
        <v>2.1637089999999999</v>
      </c>
      <c r="O28">
        <v>14.865154</v>
      </c>
      <c r="P28">
        <f t="shared" si="0"/>
        <v>3.6061816666666664E-5</v>
      </c>
      <c r="Q28" cm="1">
        <f t="array" ref="Q28">[1]!PropsSI("D","T",J28+273.15,"P",101325,"Water")</f>
        <v>985.03009178745435</v>
      </c>
      <c r="R28" cm="1">
        <f t="array" ref="R28">[1]!PropsSI("D","T",K28+273.15,"P",101325,"Water")</f>
        <v>987.19543871794963</v>
      </c>
      <c r="S28">
        <f t="shared" si="1"/>
        <v>986.11276525270205</v>
      </c>
      <c r="T28" cm="1">
        <f t="array" ref="T28">[1]!PropsSI("H","T",J28+273.15,"P",101325,"Water")</f>
        <v>236007.85333436556</v>
      </c>
      <c r="U28" cm="1">
        <f t="array" ref="U28">[1]!PropsSI("H","T",K28+273.15,"P",101325,"Water")</f>
        <v>217079.81312023048</v>
      </c>
      <c r="V28">
        <f t="shared" si="2"/>
        <v>673.10037408819107</v>
      </c>
    </row>
    <row r="29" spans="1:22" x14ac:dyDescent="0.2">
      <c r="A29">
        <v>46122.893082754628</v>
      </c>
      <c r="B29">
        <v>20.437515999999999</v>
      </c>
      <c r="C29">
        <v>20.779232</v>
      </c>
      <c r="D29">
        <v>20.236778999999999</v>
      </c>
      <c r="E29">
        <v>20.288827000000001</v>
      </c>
      <c r="F29">
        <v>28.453493999999999</v>
      </c>
      <c r="G29">
        <v>25.541692999999999</v>
      </c>
      <c r="H29">
        <v>25.344518000000001</v>
      </c>
      <c r="I29">
        <v>22.401060000000001</v>
      </c>
      <c r="J29">
        <v>56.355925999999997</v>
      </c>
      <c r="K29">
        <v>51.828330999999999</v>
      </c>
      <c r="L29">
        <v>246.881776</v>
      </c>
      <c r="M29">
        <v>-622.49591899999996</v>
      </c>
      <c r="N29">
        <v>2.1606890000000001</v>
      </c>
      <c r="O29">
        <v>14.93046</v>
      </c>
      <c r="P29">
        <f t="shared" si="0"/>
        <v>3.6011483333333329E-5</v>
      </c>
      <c r="Q29" cm="1">
        <f t="array" ref="Q29">[1]!PropsSI("D","T",J29+273.15,"P",101325,"Water")</f>
        <v>985.03087593845044</v>
      </c>
      <c r="R29" cm="1">
        <f t="array" ref="R29">[1]!PropsSI("D","T",K29+273.15,"P",101325,"Water")</f>
        <v>987.19720955744697</v>
      </c>
      <c r="S29">
        <f t="shared" si="1"/>
        <v>986.1140427479487</v>
      </c>
      <c r="T29" cm="1">
        <f t="array" ref="T29">[1]!PropsSI("H","T",J29+273.15,"P",101325,"Water")</f>
        <v>236001.19326400687</v>
      </c>
      <c r="U29" cm="1">
        <f t="array" ref="U29">[1]!PropsSI("H","T",K29+273.15,"P",101325,"Water")</f>
        <v>217063.85922009146</v>
      </c>
      <c r="V29">
        <f t="shared" si="2"/>
        <v>672.49180121225754</v>
      </c>
    </row>
    <row r="30" spans="1:22" x14ac:dyDescent="0.2">
      <c r="A30">
        <v>46122.893141203705</v>
      </c>
      <c r="B30">
        <v>20.257828</v>
      </c>
      <c r="C30">
        <v>20.410284999999998</v>
      </c>
      <c r="D30">
        <v>20.159371</v>
      </c>
      <c r="E30">
        <v>20.265515000000001</v>
      </c>
      <c r="F30">
        <v>28.262805</v>
      </c>
      <c r="G30">
        <v>25.657268999999999</v>
      </c>
      <c r="H30">
        <v>24.820461999999999</v>
      </c>
      <c r="I30">
        <v>22.187626000000002</v>
      </c>
      <c r="J30">
        <v>56.355288999999999</v>
      </c>
      <c r="K30">
        <v>51.825946000000002</v>
      </c>
      <c r="L30">
        <v>230.420151</v>
      </c>
      <c r="M30">
        <v>-622.480817</v>
      </c>
      <c r="N30">
        <v>2.1638600000000001</v>
      </c>
      <c r="O30">
        <v>14.701287000000001</v>
      </c>
      <c r="P30">
        <f t="shared" si="0"/>
        <v>3.6064333333333333E-5</v>
      </c>
      <c r="Q30" cm="1">
        <f t="array" ref="Q30">[1]!PropsSI("D","T",J30+273.15,"P",101325,"Water")</f>
        <v>985.03118969301329</v>
      </c>
      <c r="R30" cm="1">
        <f t="array" ref="R30">[1]!PropsSI("D","T",K30+273.15,"P",101325,"Water")</f>
        <v>987.19831657473242</v>
      </c>
      <c r="S30">
        <f t="shared" si="1"/>
        <v>986.11475313387291</v>
      </c>
      <c r="T30" cm="1">
        <f t="array" ref="T30">[1]!PropsSI("H","T",J30+273.15,"P",101325,"Water")</f>
        <v>235998.52839942795</v>
      </c>
      <c r="U30" cm="1">
        <f t="array" ref="U30">[1]!PropsSI("H","T",K30+273.15,"P",101325,"Water")</f>
        <v>217053.88542111719</v>
      </c>
      <c r="V30">
        <f t="shared" si="2"/>
        <v>673.73915869665814</v>
      </c>
    </row>
    <row r="31" spans="1:22" x14ac:dyDescent="0.2">
      <c r="A31">
        <v>46122.893199074075</v>
      </c>
      <c r="B31">
        <v>20.331263</v>
      </c>
      <c r="C31">
        <v>20.692931999999999</v>
      </c>
      <c r="D31">
        <v>20.111933000000001</v>
      </c>
      <c r="E31">
        <v>20.253717000000002</v>
      </c>
      <c r="F31">
        <v>28.283339999999999</v>
      </c>
      <c r="G31">
        <v>25.548589</v>
      </c>
      <c r="H31">
        <v>24.900845</v>
      </c>
      <c r="I31">
        <v>22.351399000000001</v>
      </c>
      <c r="J31">
        <v>56.357039999999998</v>
      </c>
      <c r="K31">
        <v>51.821654000000002</v>
      </c>
      <c r="L31">
        <v>230.354848</v>
      </c>
      <c r="M31">
        <v>-622.48489900000004</v>
      </c>
      <c r="N31">
        <v>2.1597580000000001</v>
      </c>
      <c r="O31">
        <v>14.878420999999999</v>
      </c>
      <c r="P31">
        <f t="shared" si="0"/>
        <v>3.5995966666666666E-5</v>
      </c>
      <c r="Q31" cm="1">
        <f t="array" ref="Q31">[1]!PropsSI("D","T",J31+273.15,"P",101325,"Water")</f>
        <v>985.03032723141007</v>
      </c>
      <c r="R31" cm="1">
        <f t="array" ref="R31">[1]!PropsSI("D","T",K31+273.15,"P",101325,"Water")</f>
        <v>987.20030864965224</v>
      </c>
      <c r="S31">
        <f t="shared" si="1"/>
        <v>986.11531794053121</v>
      </c>
      <c r="T31" cm="1">
        <f t="array" ref="T31">[1]!PropsSI("H","T",J31+273.15,"P",101325,"Water")</f>
        <v>236005.8536397471</v>
      </c>
      <c r="U31" cm="1">
        <f t="array" ref="U31">[1]!PropsSI("H","T",K31+273.15,"P",101325,"Water")</f>
        <v>217035.93676926591</v>
      </c>
      <c r="V31">
        <f t="shared" si="2"/>
        <v>673.35947216416241</v>
      </c>
    </row>
    <row r="32" spans="1:22" x14ac:dyDescent="0.2">
      <c r="A32">
        <v>46122.893256944444</v>
      </c>
      <c r="B32">
        <v>20.302727000000001</v>
      </c>
      <c r="C32">
        <v>20.501926999999998</v>
      </c>
      <c r="D32">
        <v>20.138192</v>
      </c>
      <c r="E32">
        <v>20.233526999999999</v>
      </c>
      <c r="F32">
        <v>28.291384999999998</v>
      </c>
      <c r="G32">
        <v>25.465617999999999</v>
      </c>
      <c r="H32">
        <v>24.696833000000002</v>
      </c>
      <c r="I32">
        <v>22.213494000000001</v>
      </c>
      <c r="J32">
        <v>56.355767</v>
      </c>
      <c r="K32">
        <v>51.814976999999999</v>
      </c>
      <c r="L32">
        <v>235.245216</v>
      </c>
      <c r="M32">
        <v>-622.47591999999997</v>
      </c>
      <c r="N32">
        <v>2.1663600000000001</v>
      </c>
      <c r="O32">
        <v>14.805008000000001</v>
      </c>
      <c r="P32">
        <f t="shared" si="0"/>
        <v>3.6106000000000003E-5</v>
      </c>
      <c r="Q32" cm="1">
        <f t="array" ref="Q32">[1]!PropsSI("D","T",J32+273.15,"P",101325,"Water")</f>
        <v>985.03095425419588</v>
      </c>
      <c r="R32" cm="1">
        <f t="array" ref="R32">[1]!PropsSI("D","T",K32+273.15,"P",101325,"Water")</f>
        <v>987.20340745539443</v>
      </c>
      <c r="S32">
        <f t="shared" si="1"/>
        <v>986.11718085479515</v>
      </c>
      <c r="T32" cm="1">
        <f t="array" ref="T32">[1]!PropsSI("H","T",J32+273.15,"P",101325,"Water")</f>
        <v>236000.52809371645</v>
      </c>
      <c r="U32" cm="1">
        <f t="array" ref="U32">[1]!PropsSI("H","T",K32+273.15,"P",101325,"Water")</f>
        <v>217008.01433239903</v>
      </c>
      <c r="V32">
        <f t="shared" si="2"/>
        <v>676.22364607315592</v>
      </c>
    </row>
    <row r="33" spans="1:22" x14ac:dyDescent="0.2">
      <c r="A33">
        <v>46122.893314814813</v>
      </c>
      <c r="B33">
        <v>20.298083999999999</v>
      </c>
      <c r="C33">
        <v>20.562321000000001</v>
      </c>
      <c r="D33">
        <v>20.163302000000002</v>
      </c>
      <c r="E33">
        <v>20.257459000000001</v>
      </c>
      <c r="F33">
        <v>28.213536000000001</v>
      </c>
      <c r="G33">
        <v>25.580435999999999</v>
      </c>
      <c r="H33">
        <v>25.082222999999999</v>
      </c>
      <c r="I33">
        <v>22.536701999999998</v>
      </c>
      <c r="J33">
        <v>56.357199000000001</v>
      </c>
      <c r="K33">
        <v>51.817998000000003</v>
      </c>
      <c r="L33">
        <v>235.47418400000001</v>
      </c>
      <c r="M33">
        <v>-622.487348</v>
      </c>
      <c r="N33">
        <v>2.1642950000000001</v>
      </c>
      <c r="O33">
        <v>14.843081</v>
      </c>
      <c r="P33">
        <f t="shared" si="0"/>
        <v>3.6071583333333332E-5</v>
      </c>
      <c r="Q33" cm="1">
        <f t="array" ref="Q33">[1]!PropsSI("D","T",J33+273.15,"P",101325,"Water")</f>
        <v>985.03024891445148</v>
      </c>
      <c r="R33" cm="1">
        <f t="array" ref="R33">[1]!PropsSI("D","T",K33+273.15,"P",101325,"Water")</f>
        <v>987.20200544022168</v>
      </c>
      <c r="S33">
        <f t="shared" si="1"/>
        <v>986.11612717733658</v>
      </c>
      <c r="T33" cm="1">
        <f t="array" ref="T33">[1]!PropsSI("H","T",J33+273.15,"P",101325,"Water")</f>
        <v>236006.5188101019</v>
      </c>
      <c r="U33" cm="1">
        <f t="array" ref="U33">[1]!PropsSI("H","T",K33+273.15,"P",101325,"Water")</f>
        <v>217020.64780106847</v>
      </c>
      <c r="V33">
        <f t="shared" si="2"/>
        <v>675.34205200978261</v>
      </c>
    </row>
    <row r="34" spans="1:22" x14ac:dyDescent="0.2">
      <c r="A34">
        <v>46122.893373263891</v>
      </c>
      <c r="B34">
        <v>20.639718999999999</v>
      </c>
      <c r="C34">
        <v>20.718142</v>
      </c>
      <c r="D34">
        <v>20.107665999999998</v>
      </c>
      <c r="E34">
        <v>20.159434999999998</v>
      </c>
      <c r="F34">
        <v>28.483449</v>
      </c>
      <c r="G34">
        <v>25.667615999999999</v>
      </c>
      <c r="H34">
        <v>24.792324000000001</v>
      </c>
      <c r="I34">
        <v>22.378655999999999</v>
      </c>
      <c r="J34">
        <v>56.357199000000001</v>
      </c>
      <c r="K34">
        <v>51.817838999999999</v>
      </c>
      <c r="L34">
        <v>249.993865</v>
      </c>
      <c r="M34">
        <v>-622.49510199999997</v>
      </c>
      <c r="N34">
        <v>2.165168</v>
      </c>
      <c r="O34">
        <v>14.898194999999999</v>
      </c>
      <c r="P34">
        <f t="shared" si="0"/>
        <v>3.6086133333333333E-5</v>
      </c>
      <c r="Q34" cm="1">
        <f t="array" ref="Q34">[1]!PropsSI("D","T",J34+273.15,"P",101325,"Water")</f>
        <v>985.03024891445148</v>
      </c>
      <c r="R34" cm="1">
        <f t="array" ref="R34">[1]!PropsSI("D","T",K34+273.15,"P",101325,"Water")</f>
        <v>987.20207923197586</v>
      </c>
      <c r="S34">
        <f t="shared" si="1"/>
        <v>986.11616407321367</v>
      </c>
      <c r="T34" cm="1">
        <f t="array" ref="T34">[1]!PropsSI("H","T",J34+273.15,"P",101325,"Water")</f>
        <v>236006.5188101019</v>
      </c>
      <c r="U34" cm="1">
        <f t="array" ref="U34">[1]!PropsSI("H","T",K34+273.15,"P",101325,"Water")</f>
        <v>217019.98288157408</v>
      </c>
      <c r="V34">
        <f t="shared" si="2"/>
        <v>675.63814760845935</v>
      </c>
    </row>
    <row r="35" spans="1:22" x14ac:dyDescent="0.2">
      <c r="A35">
        <v>46122.89343113426</v>
      </c>
      <c r="B35">
        <v>20.456133999999999</v>
      </c>
      <c r="C35">
        <v>20.705549999999999</v>
      </c>
      <c r="D35">
        <v>20.166801</v>
      </c>
      <c r="E35">
        <v>20.245760000000001</v>
      </c>
      <c r="F35">
        <v>28.424755999999999</v>
      </c>
      <c r="G35">
        <v>25.635781000000001</v>
      </c>
      <c r="H35">
        <v>25.101033999999999</v>
      </c>
      <c r="I35">
        <v>22.739039999999999</v>
      </c>
      <c r="J35">
        <v>56.357835999999999</v>
      </c>
      <c r="K35">
        <v>51.822290000000002</v>
      </c>
      <c r="L35">
        <v>228.359846</v>
      </c>
      <c r="M35">
        <v>-622.50449000000003</v>
      </c>
      <c r="N35">
        <v>2.160488</v>
      </c>
      <c r="O35">
        <v>14.935924</v>
      </c>
      <c r="P35">
        <f t="shared" si="0"/>
        <v>3.6008133333333332E-5</v>
      </c>
      <c r="Q35" cm="1">
        <f t="array" ref="Q35">[1]!PropsSI("D","T",J35+273.15,"P",101325,"Water")</f>
        <v>985.02993515243702</v>
      </c>
      <c r="R35" cm="1">
        <f t="array" ref="R35">[1]!PropsSI("D","T",K35+273.15,"P",101325,"Water")</f>
        <v>987.20001346613515</v>
      </c>
      <c r="S35">
        <f t="shared" si="1"/>
        <v>986.11497430928603</v>
      </c>
      <c r="T35" cm="1">
        <f t="array" ref="T35">[1]!PropsSI("H","T",J35+273.15,"P",101325,"Water")</f>
        <v>236009.18367511485</v>
      </c>
      <c r="U35" cm="1">
        <f t="array" ref="U35">[1]!PropsSI("H","T",K35+273.15,"P",101325,"Water")</f>
        <v>217038.59644798475</v>
      </c>
      <c r="V35">
        <f t="shared" si="2"/>
        <v>673.61063663185871</v>
      </c>
    </row>
    <row r="36" spans="1:22" x14ac:dyDescent="0.2">
      <c r="A36">
        <v>46122.89348958333</v>
      </c>
      <c r="B36">
        <v>20.478401000000002</v>
      </c>
      <c r="C36">
        <v>20.618769</v>
      </c>
      <c r="D36">
        <v>20.150811000000001</v>
      </c>
      <c r="E36">
        <v>20.241651000000001</v>
      </c>
      <c r="F36">
        <v>28.321705000000001</v>
      </c>
      <c r="G36">
        <v>25.708504999999999</v>
      </c>
      <c r="H36">
        <v>25.102205999999999</v>
      </c>
      <c r="I36">
        <v>22.427132</v>
      </c>
      <c r="J36">
        <v>56.359268</v>
      </c>
      <c r="K36">
        <v>51.822926000000002</v>
      </c>
      <c r="L36">
        <v>255.601339</v>
      </c>
      <c r="M36">
        <v>-622.47224600000004</v>
      </c>
      <c r="N36">
        <v>2.166639</v>
      </c>
      <c r="O36">
        <v>14.848621</v>
      </c>
      <c r="P36">
        <f t="shared" si="0"/>
        <v>3.6110650000000003E-5</v>
      </c>
      <c r="Q36" cm="1">
        <f t="array" ref="Q36">[1]!PropsSI("D","T",J36+273.15,"P",101325,"Water")</f>
        <v>985.02922979454002</v>
      </c>
      <c r="R36" cm="1">
        <f t="array" ref="R36">[1]!PropsSI("D","T",K36+273.15,"P",101325,"Water")</f>
        <v>987.19971828004077</v>
      </c>
      <c r="S36">
        <f t="shared" si="1"/>
        <v>986.11447403729039</v>
      </c>
      <c r="T36" cm="1">
        <f t="array" ref="T36">[1]!PropsSI("H","T",J36+273.15,"P",101325,"Water")</f>
        <v>236015.17439266676</v>
      </c>
      <c r="U36" cm="1">
        <f t="array" ref="U36">[1]!PropsSI("H","T",K36+273.15,"P",101325,"Water")</f>
        <v>217041.2561268447</v>
      </c>
      <c r="V36">
        <f t="shared" si="2"/>
        <v>675.64670741404984</v>
      </c>
    </row>
    <row r="37" spans="1:22" x14ac:dyDescent="0.2">
      <c r="A37">
        <v>46122.893547453707</v>
      </c>
      <c r="B37">
        <v>20.381775000000001</v>
      </c>
      <c r="C37">
        <v>20.686838999999999</v>
      </c>
      <c r="D37">
        <v>20.159925999999999</v>
      </c>
      <c r="E37">
        <v>20.215751999999998</v>
      </c>
      <c r="F37">
        <v>28.197603999999998</v>
      </c>
      <c r="G37">
        <v>25.682962</v>
      </c>
      <c r="H37">
        <v>25.009211000000001</v>
      </c>
      <c r="I37">
        <v>22.475940999999999</v>
      </c>
      <c r="J37">
        <v>56.362293000000001</v>
      </c>
      <c r="K37">
        <v>51.826740999999998</v>
      </c>
      <c r="L37">
        <v>242.463222</v>
      </c>
      <c r="M37">
        <v>-622.50816299999997</v>
      </c>
      <c r="N37">
        <v>2.1632829999999998</v>
      </c>
      <c r="O37">
        <v>14.736602</v>
      </c>
      <c r="P37">
        <f t="shared" si="0"/>
        <v>3.6054716666666662E-5</v>
      </c>
      <c r="Q37" cm="1">
        <f t="array" ref="Q37">[1]!PropsSI("D","T",J37+273.15,"P",101325,"Water")</f>
        <v>985.02773973400747</v>
      </c>
      <c r="R37" cm="1">
        <f t="array" ref="R37">[1]!PropsSI("D","T",K37+273.15,"P",101325,"Water")</f>
        <v>987.19794757303544</v>
      </c>
      <c r="S37">
        <f t="shared" si="1"/>
        <v>986.1128436535214</v>
      </c>
      <c r="T37" cm="1">
        <f t="array" ref="T37">[1]!PropsSI("H","T",J37+273.15,"P",101325,"Water")</f>
        <v>236027.82936767116</v>
      </c>
      <c r="U37" cm="1">
        <f t="array" ref="U37">[1]!PropsSI("H","T",K37+273.15,"P",101325,"Water")</f>
        <v>217057.21002052855</v>
      </c>
      <c r="V37">
        <f t="shared" si="2"/>
        <v>674.48176411129305</v>
      </c>
    </row>
    <row r="38" spans="1:22" x14ac:dyDescent="0.2">
      <c r="A38">
        <v>44660.893605903002</v>
      </c>
      <c r="B38">
        <v>20.469265</v>
      </c>
      <c r="C38">
        <v>20.504791000000001</v>
      </c>
      <c r="D38">
        <v>20.239708</v>
      </c>
      <c r="E38">
        <v>20.171804000000002</v>
      </c>
      <c r="F38">
        <v>28.461652999999998</v>
      </c>
      <c r="G38">
        <v>25.687467999999999</v>
      </c>
      <c r="H38">
        <v>24.660740000000001</v>
      </c>
      <c r="I38">
        <v>22.244729</v>
      </c>
      <c r="J38">
        <v>56.361656000000004</v>
      </c>
      <c r="K38">
        <v>51.825150999999998</v>
      </c>
      <c r="L38">
        <v>251.486851</v>
      </c>
      <c r="M38">
        <v>-622.46408299999996</v>
      </c>
      <c r="N38">
        <v>2.155157</v>
      </c>
      <c r="O38">
        <v>14.86903</v>
      </c>
      <c r="P38">
        <f t="shared" si="0"/>
        <v>3.591928333333333E-5</v>
      </c>
      <c r="Q38" cm="1">
        <f t="array" ref="Q38">[1]!PropsSI("D","T",J38+273.15,"P",101325,"Water")</f>
        <v>985.02805351338338</v>
      </c>
      <c r="R38" cm="1">
        <f t="array" ref="R38">[1]!PropsSI("D","T",K38+273.15,"P",101325,"Water")</f>
        <v>987.19868557237976</v>
      </c>
      <c r="S38">
        <f t="shared" si="1"/>
        <v>986.11336954288163</v>
      </c>
      <c r="T38" cm="1">
        <f t="array" ref="T38">[1]!PropsSI("H","T",J38+273.15,"P",101325,"Water")</f>
        <v>236025.16450158088</v>
      </c>
      <c r="U38" cm="1">
        <f t="array" ref="U38">[1]!PropsSI("H","T",K38+273.15,"P",101325,"Water")</f>
        <v>217050.56082182235</v>
      </c>
      <c r="V38">
        <f t="shared" si="2"/>
        <v>672.08967487521795</v>
      </c>
    </row>
    <row r="39" spans="1:22" x14ac:dyDescent="0.2">
      <c r="A39">
        <v>44660.893664351999</v>
      </c>
      <c r="B39">
        <v>20.387515</v>
      </c>
      <c r="C39">
        <v>20.372653</v>
      </c>
      <c r="D39">
        <v>20.198114</v>
      </c>
      <c r="E39">
        <v>20.153608999999999</v>
      </c>
      <c r="F39">
        <v>28.295542000000001</v>
      </c>
      <c r="G39">
        <v>25.484400000000001</v>
      </c>
      <c r="H39">
        <v>24.935749000000001</v>
      </c>
      <c r="I39">
        <v>22.336003999999999</v>
      </c>
      <c r="J39">
        <v>56.361497</v>
      </c>
      <c r="K39">
        <v>51.819110999999999</v>
      </c>
      <c r="L39">
        <v>259.54236600000002</v>
      </c>
      <c r="M39">
        <v>-622.48163399999999</v>
      </c>
      <c r="N39">
        <v>2.1628280000000002</v>
      </c>
      <c r="O39">
        <v>14.92666</v>
      </c>
      <c r="P39">
        <f t="shared" si="0"/>
        <v>3.6047133333333336E-5</v>
      </c>
      <c r="Q39" cm="1">
        <f t="array" ref="Q39">[1]!PropsSI("D","T",J39+273.15,"P",101325,"Water")</f>
        <v>985.02813183467924</v>
      </c>
      <c r="R39" cm="1">
        <f t="array" ref="R39">[1]!PropsSI("D","T",K39+273.15,"P",101325,"Water")</f>
        <v>987.20148889354346</v>
      </c>
      <c r="S39">
        <f t="shared" si="1"/>
        <v>986.11481036411135</v>
      </c>
      <c r="T39" cm="1">
        <f t="array" ref="T39">[1]!PropsSI("H","T",J39+273.15,"P",101325,"Water")</f>
        <v>236024.49933091085</v>
      </c>
      <c r="U39" cm="1">
        <f t="array" ref="U39">[1]!PropsSI("H","T",K39+273.15,"P",101325,"Water")</f>
        <v>217025.30223758452</v>
      </c>
      <c r="V39">
        <f t="shared" si="2"/>
        <v>675.35708836018489</v>
      </c>
    </row>
    <row r="40" spans="1:22" x14ac:dyDescent="0.2">
      <c r="A40">
        <v>44660.893722801098</v>
      </c>
      <c r="B40">
        <v>20.700531999999999</v>
      </c>
      <c r="C40">
        <v>20.371068000000001</v>
      </c>
      <c r="D40">
        <v>20.072801999999999</v>
      </c>
      <c r="E40">
        <v>20.169961000000001</v>
      </c>
      <c r="F40">
        <v>28.564710000000002</v>
      </c>
      <c r="G40">
        <v>25.721297</v>
      </c>
      <c r="H40">
        <v>24.938538999999999</v>
      </c>
      <c r="I40">
        <v>22.433541000000002</v>
      </c>
      <c r="J40">
        <v>56.361973999999996</v>
      </c>
      <c r="K40">
        <v>51.822290000000002</v>
      </c>
      <c r="L40">
        <v>230.88665800000001</v>
      </c>
      <c r="M40">
        <v>-622.50979500000005</v>
      </c>
      <c r="N40">
        <v>2.1643189999999999</v>
      </c>
      <c r="O40">
        <v>14.843398000000001</v>
      </c>
      <c r="P40">
        <f t="shared" si="0"/>
        <v>3.6071983333333333E-5</v>
      </c>
      <c r="Q40" cm="1">
        <f t="array" ref="Q40">[1]!PropsSI("D","T",J40+273.15,"P",101325,"Water")</f>
        <v>985.02789687029883</v>
      </c>
      <c r="R40" cm="1">
        <f t="array" ref="R40">[1]!PropsSI("D","T",K40+273.15,"P",101325,"Water")</f>
        <v>987.20001346613515</v>
      </c>
      <c r="S40">
        <f t="shared" si="1"/>
        <v>986.11395516821699</v>
      </c>
      <c r="T40" cm="1">
        <f t="array" ref="T40">[1]!PropsSI("H","T",J40+273.15,"P",101325,"Water")</f>
        <v>236026.49484288716</v>
      </c>
      <c r="U40" cm="1">
        <f t="array" ref="U40">[1]!PropsSI("H","T",K40+273.15,"P",101325,"Water")</f>
        <v>217038.59644798475</v>
      </c>
      <c r="V40">
        <f t="shared" si="2"/>
        <v>675.4201697187641</v>
      </c>
    </row>
    <row r="41" spans="1:22" x14ac:dyDescent="0.2">
      <c r="A41">
        <v>44660.893781250197</v>
      </c>
      <c r="B41">
        <v>20.396108999999999</v>
      </c>
      <c r="C41">
        <v>20.539266000000001</v>
      </c>
      <c r="D41">
        <v>20.172744999999999</v>
      </c>
      <c r="E41">
        <v>20.191451000000001</v>
      </c>
      <c r="F41">
        <v>28.383436</v>
      </c>
      <c r="G41">
        <v>25.505597999999999</v>
      </c>
      <c r="H41">
        <v>25.092234000000001</v>
      </c>
      <c r="I41">
        <v>22.480036999999999</v>
      </c>
      <c r="J41">
        <v>56.364362</v>
      </c>
      <c r="K41">
        <v>51.818634000000003</v>
      </c>
      <c r="L41">
        <v>234.19261499999999</v>
      </c>
      <c r="M41">
        <v>-622.48612300000002</v>
      </c>
      <c r="N41">
        <v>2.161848</v>
      </c>
      <c r="O41">
        <v>14.952165000000001</v>
      </c>
      <c r="P41">
        <f t="shared" si="0"/>
        <v>3.6030800000000001E-5</v>
      </c>
      <c r="Q41" cm="1">
        <f t="array" ref="Q41">[1]!PropsSI("D","T",J41+273.15,"P",101325,"Water")</f>
        <v>985.02672054956747</v>
      </c>
      <c r="R41" cm="1">
        <f t="array" ref="R41">[1]!PropsSI("D","T",K41+273.15,"P",101325,"Water")</f>
        <v>987.2017102716668</v>
      </c>
      <c r="S41">
        <f t="shared" si="1"/>
        <v>986.11421541061713</v>
      </c>
      <c r="T41" cm="1">
        <f t="array" ref="T41">[1]!PropsSI("H","T",J41+273.15,"P",101325,"Water")</f>
        <v>236036.48495428159</v>
      </c>
      <c r="U41" cm="1">
        <f t="array" ref="U41">[1]!PropsSI("H","T",K41+273.15,"P",101325,"Water")</f>
        <v>217023.3074790501</v>
      </c>
      <c r="V41">
        <f t="shared" si="2"/>
        <v>675.54739945355038</v>
      </c>
    </row>
    <row r="42" spans="1:22" x14ac:dyDescent="0.2">
      <c r="A42">
        <v>46122.893839699071</v>
      </c>
      <c r="B42">
        <v>20.401289999999999</v>
      </c>
      <c r="C42">
        <v>20.356363000000002</v>
      </c>
      <c r="D42">
        <v>20.186702</v>
      </c>
      <c r="E42">
        <v>20.320360000000001</v>
      </c>
      <c r="F42">
        <v>28.483788000000001</v>
      </c>
      <c r="G42">
        <v>25.721906000000001</v>
      </c>
      <c r="H42">
        <v>25.120225000000001</v>
      </c>
      <c r="I42">
        <v>22.166159</v>
      </c>
      <c r="J42">
        <v>56.364362</v>
      </c>
      <c r="K42">
        <v>51.824196999999998</v>
      </c>
      <c r="L42">
        <v>235.48846900000001</v>
      </c>
      <c r="M42">
        <v>-622.51306099999999</v>
      </c>
      <c r="N42">
        <v>2.165028</v>
      </c>
      <c r="O42">
        <v>14.611646</v>
      </c>
      <c r="P42">
        <f t="shared" si="0"/>
        <v>3.6083799999999995E-5</v>
      </c>
      <c r="Q42" cm="1">
        <f t="array" ref="Q42">[1]!PropsSI("D","T",J42+273.15,"P",101325,"Water")</f>
        <v>985.02672054956747</v>
      </c>
      <c r="R42" cm="1">
        <f t="array" ref="R42">[1]!PropsSI("D","T",K42+273.15,"P",101325,"Water")</f>
        <v>987.19912836418564</v>
      </c>
      <c r="S42">
        <f t="shared" si="1"/>
        <v>986.1129244568765</v>
      </c>
      <c r="T42" cm="1">
        <f t="array" ref="T42">[1]!PropsSI("H","T",J42+273.15,"P",101325,"Water")</f>
        <v>236036.48495428159</v>
      </c>
      <c r="U42" cm="1">
        <f t="array" ref="U42">[1]!PropsSI("H","T",K42+273.15,"P",101325,"Water")</f>
        <v>217046.57130295696</v>
      </c>
      <c r="V42">
        <f t="shared" si="2"/>
        <v>675.71242979224428</v>
      </c>
    </row>
    <row r="43" spans="1:22" x14ac:dyDescent="0.2">
      <c r="A43">
        <v>46122.893898148148</v>
      </c>
      <c r="B43">
        <v>20.379322999999999</v>
      </c>
      <c r="C43">
        <v>20.363368000000001</v>
      </c>
      <c r="D43">
        <v>20.213667999999998</v>
      </c>
      <c r="E43">
        <v>20.298116</v>
      </c>
      <c r="F43">
        <v>28.181000000000001</v>
      </c>
      <c r="G43">
        <v>25.679881999999999</v>
      </c>
      <c r="H43">
        <v>24.924289000000002</v>
      </c>
      <c r="I43">
        <v>22.340049</v>
      </c>
      <c r="J43">
        <v>56.363885000000003</v>
      </c>
      <c r="K43">
        <v>51.828172000000002</v>
      </c>
      <c r="L43">
        <v>241.951819</v>
      </c>
      <c r="M43">
        <v>-622.47306300000002</v>
      </c>
      <c r="N43">
        <v>2.167557</v>
      </c>
      <c r="O43">
        <v>14.935047000000001</v>
      </c>
      <c r="P43">
        <f t="shared" si="0"/>
        <v>3.6125950000000003E-5</v>
      </c>
      <c r="Q43" cm="1">
        <f t="array" ref="Q43">[1]!PropsSI("D","T",J43+273.15,"P",101325,"Water")</f>
        <v>985.02695552096077</v>
      </c>
      <c r="R43" cm="1">
        <f t="array" ref="R43">[1]!PropsSI("D","T",K43+273.15,"P",101325,"Water")</f>
        <v>987.19728335974082</v>
      </c>
      <c r="S43">
        <f t="shared" si="1"/>
        <v>986.11211944035085</v>
      </c>
      <c r="T43" cm="1">
        <f t="array" ref="T43">[1]!PropsSI("H","T",J43+273.15,"P",101325,"Water")</f>
        <v>236034.48944187196</v>
      </c>
      <c r="U43" cm="1">
        <f t="array" ref="U43">[1]!PropsSI("H","T",K43+273.15,"P",101325,"Water")</f>
        <v>217063.19430004671</v>
      </c>
      <c r="V43">
        <f t="shared" si="2"/>
        <v>675.83791663047623</v>
      </c>
    </row>
    <row r="44" spans="1:22" x14ac:dyDescent="0.2">
      <c r="A44">
        <v>46122.893956018517</v>
      </c>
      <c r="B44">
        <v>20.29494</v>
      </c>
      <c r="C44">
        <v>20.371167</v>
      </c>
      <c r="D44">
        <v>20.217518999999999</v>
      </c>
      <c r="E44">
        <v>20.295494999999999</v>
      </c>
      <c r="F44">
        <v>28.289952</v>
      </c>
      <c r="G44">
        <v>25.732367</v>
      </c>
      <c r="H44">
        <v>25.095188</v>
      </c>
      <c r="I44">
        <v>22.444105</v>
      </c>
      <c r="J44">
        <v>56.363725000000002</v>
      </c>
      <c r="K44">
        <v>51.828330999999999</v>
      </c>
      <c r="L44">
        <v>228.48555400000001</v>
      </c>
      <c r="M44">
        <v>-622.47347100000002</v>
      </c>
      <c r="N44">
        <v>2.167376</v>
      </c>
      <c r="O44">
        <v>14.880364999999999</v>
      </c>
      <c r="P44">
        <f t="shared" si="0"/>
        <v>3.6122933333333333E-5</v>
      </c>
      <c r="Q44" cm="1">
        <f t="array" ref="Q44">[1]!PropsSI("D","T",J44+273.15,"P",101325,"Water")</f>
        <v>985.02703433705233</v>
      </c>
      <c r="R44" cm="1">
        <f t="array" ref="R44">[1]!PropsSI("D","T",K44+273.15,"P",101325,"Water")</f>
        <v>987.19720955744697</v>
      </c>
      <c r="S44">
        <f t="shared" si="1"/>
        <v>986.11212194724965</v>
      </c>
      <c r="T44" cm="1">
        <f t="array" ref="T44">[1]!PropsSI("H","T",J44+273.15,"P",101325,"Water")</f>
        <v>236033.82008761825</v>
      </c>
      <c r="U44" cm="1">
        <f t="array" ref="U44">[1]!PropsSI("H","T",K44+273.15,"P",101325,"Water")</f>
        <v>217063.85922009146</v>
      </c>
      <c r="V44">
        <f t="shared" si="2"/>
        <v>675.73395454424826</v>
      </c>
    </row>
    <row r="45" spans="1:22" x14ac:dyDescent="0.2">
      <c r="A45">
        <v>46122.894014467594</v>
      </c>
      <c r="B45">
        <v>20.301991999999998</v>
      </c>
      <c r="C45">
        <v>20.633509</v>
      </c>
      <c r="D45">
        <v>20.205244</v>
      </c>
      <c r="E45">
        <v>20.282658000000001</v>
      </c>
      <c r="F45">
        <v>28.343810999999999</v>
      </c>
      <c r="G45">
        <v>25.880058999999999</v>
      </c>
      <c r="H45">
        <v>25.364487</v>
      </c>
      <c r="I45">
        <v>22.461729999999999</v>
      </c>
      <c r="J45">
        <v>56.360064000000001</v>
      </c>
      <c r="K45">
        <v>51.814660000000003</v>
      </c>
      <c r="L45">
        <v>225.58324999999999</v>
      </c>
      <c r="M45">
        <v>-622.49755100000004</v>
      </c>
      <c r="N45">
        <v>2.1534309999999999</v>
      </c>
      <c r="O45">
        <v>14.787623999999999</v>
      </c>
      <c r="P45">
        <f t="shared" si="0"/>
        <v>3.5890516666666668E-5</v>
      </c>
      <c r="Q45" cm="1">
        <f t="array" ref="Q45">[1]!PropsSI("D","T",J45+273.15,"P",101325,"Water")</f>
        <v>985.02883770469123</v>
      </c>
      <c r="R45" cm="1">
        <f t="array" ref="R45">[1]!PropsSI("D","T",K45+273.15,"P",101325,"Water")</f>
        <v>987.20355456845209</v>
      </c>
      <c r="S45">
        <f t="shared" si="1"/>
        <v>986.11619613657172</v>
      </c>
      <c r="T45" cm="1">
        <f t="array" ref="T45">[1]!PropsSI("H","T",J45+273.15,"P",101325,"Water")</f>
        <v>236018.50442873745</v>
      </c>
      <c r="U45" cm="1">
        <f t="array" ref="U45">[1]!PropsSI("H","T",K45+273.15,"P",101325,"Water")</f>
        <v>217006.68867564111</v>
      </c>
      <c r="V45">
        <f t="shared" si="2"/>
        <v>672.8703614118474</v>
      </c>
    </row>
    <row r="46" spans="1:22" x14ac:dyDescent="0.2">
      <c r="A46">
        <v>46122.894072916664</v>
      </c>
      <c r="B46">
        <v>20.194877000000002</v>
      </c>
      <c r="C46">
        <v>20.333939000000001</v>
      </c>
      <c r="D46">
        <v>20.180994999999999</v>
      </c>
      <c r="E46">
        <v>20.371451</v>
      </c>
      <c r="F46">
        <v>28.25299</v>
      </c>
      <c r="G46">
        <v>25.610665000000001</v>
      </c>
      <c r="H46">
        <v>25.155843000000001</v>
      </c>
      <c r="I46">
        <v>22.564333999999999</v>
      </c>
      <c r="J46">
        <v>56.359268</v>
      </c>
      <c r="K46">
        <v>51.814501</v>
      </c>
      <c r="L46">
        <v>237.42592300000001</v>
      </c>
      <c r="M46">
        <v>-622.44408399999998</v>
      </c>
      <c r="N46">
        <v>2.1603400000000001</v>
      </c>
      <c r="O46">
        <v>14.89132</v>
      </c>
      <c r="P46">
        <f t="shared" si="0"/>
        <v>3.6005666666666666E-5</v>
      </c>
      <c r="Q46" cm="1">
        <f t="array" ref="Q46">[1]!PropsSI("D","T",J46+273.15,"P",101325,"Water")</f>
        <v>985.02922979454002</v>
      </c>
      <c r="R46" cm="1">
        <f t="array" ref="R46">[1]!PropsSI("D","T",K46+273.15,"P",101325,"Water")</f>
        <v>987.20362835677804</v>
      </c>
      <c r="S46">
        <f t="shared" si="1"/>
        <v>986.11642907565897</v>
      </c>
      <c r="T46" cm="1">
        <f t="array" ref="T46">[1]!PropsSI("H","T",J46+273.15,"P",101325,"Water")</f>
        <v>236015.17439266676</v>
      </c>
      <c r="U46" cm="1">
        <f t="array" ref="U46">[1]!PropsSI("H","T",K46+273.15,"P",101325,"Water")</f>
        <v>217006.0237563627</v>
      </c>
      <c r="V46">
        <f t="shared" si="2"/>
        <v>674.93470983096029</v>
      </c>
    </row>
    <row r="47" spans="1:22" x14ac:dyDescent="0.2">
      <c r="A47">
        <v>46122.894130787034</v>
      </c>
      <c r="B47">
        <v>20.324572</v>
      </c>
      <c r="C47">
        <v>20.421675</v>
      </c>
      <c r="D47">
        <v>20.356679</v>
      </c>
      <c r="E47">
        <v>20.406804999999999</v>
      </c>
      <c r="F47">
        <v>28.276793999999999</v>
      </c>
      <c r="G47">
        <v>25.587325</v>
      </c>
      <c r="H47">
        <v>25.297218999999998</v>
      </c>
      <c r="I47">
        <v>22.336518000000002</v>
      </c>
      <c r="J47">
        <v>56.355767</v>
      </c>
      <c r="K47">
        <v>51.819746000000002</v>
      </c>
      <c r="L47">
        <v>255.98295300000001</v>
      </c>
      <c r="M47">
        <v>-622.49061300000005</v>
      </c>
      <c r="N47">
        <v>2.1634419999999999</v>
      </c>
      <c r="O47">
        <v>14.866476</v>
      </c>
      <c r="P47">
        <f t="shared" si="0"/>
        <v>3.6057366666666665E-5</v>
      </c>
      <c r="Q47" cm="1">
        <f t="array" ref="Q47">[1]!PropsSI("D","T",J47+273.15,"P",101325,"Water")</f>
        <v>985.03095425419588</v>
      </c>
      <c r="R47" cm="1">
        <f t="array" ref="R47">[1]!PropsSI("D","T",K47+273.15,"P",101325,"Water")</f>
        <v>987.20119418455636</v>
      </c>
      <c r="S47">
        <f t="shared" si="1"/>
        <v>986.11607421937606</v>
      </c>
      <c r="T47" cm="1">
        <f t="array" ref="T47">[1]!PropsSI("H","T",J47+273.15,"P",101325,"Water")</f>
        <v>236000.52809371645</v>
      </c>
      <c r="U47" cm="1">
        <f t="array" ref="U47">[1]!PropsSI("H","T",K47+273.15,"P",101325,"Water")</f>
        <v>217027.95773393675</v>
      </c>
      <c r="V47">
        <f t="shared" si="2"/>
        <v>674.60291958767277</v>
      </c>
    </row>
    <row r="48" spans="1:22" x14ac:dyDescent="0.2">
      <c r="A48">
        <v>46122.894189236111</v>
      </c>
      <c r="B48">
        <v>20.346668000000001</v>
      </c>
      <c r="C48">
        <v>20.704953</v>
      </c>
      <c r="D48">
        <v>20.20729</v>
      </c>
      <c r="E48">
        <v>20.375420999999999</v>
      </c>
      <c r="F48">
        <v>28.236331</v>
      </c>
      <c r="G48">
        <v>25.661255000000001</v>
      </c>
      <c r="H48">
        <v>24.867788000000001</v>
      </c>
      <c r="I48">
        <v>22.165136</v>
      </c>
      <c r="J48">
        <v>56.357835999999999</v>
      </c>
      <c r="K48">
        <v>51.824356000000002</v>
      </c>
      <c r="L48">
        <v>250.73994999999999</v>
      </c>
      <c r="M48">
        <v>-622.48612300000002</v>
      </c>
      <c r="N48">
        <v>2.1637819999999999</v>
      </c>
      <c r="O48">
        <v>14.631762</v>
      </c>
      <c r="P48">
        <f t="shared" ref="P48:P51" si="3" xml:space="preserve"> N48*0.001/60</f>
        <v>3.606303333333333E-5</v>
      </c>
      <c r="Q48" cm="1">
        <f t="array" ref="Q48">[1]!PropsSI("D","T",J48+273.15,"P",101325,"Water")</f>
        <v>985.02993515243702</v>
      </c>
      <c r="R48" cm="1">
        <f t="array" ref="R48">[1]!PropsSI("D","T",K48+273.15,"P",101325,"Water")</f>
        <v>987.19905456598087</v>
      </c>
      <c r="S48">
        <f t="shared" ref="S48:S51" si="4">(Q48+R48)/2</f>
        <v>986.11449485920889</v>
      </c>
      <c r="T48" cm="1">
        <f t="array" ref="T48">[1]!PropsSI("H","T",J48+273.15,"P",101325,"Water")</f>
        <v>236009.18367511485</v>
      </c>
      <c r="U48" cm="1">
        <f t="array" ref="U48">[1]!PropsSI("H","T",K48+273.15,"P",101325,"Water")</f>
        <v>217047.23622268866</v>
      </c>
      <c r="V48">
        <f t="shared" ref="V48:V51" si="5">S48*P48*(T48-U48)</f>
        <v>674.33008272555105</v>
      </c>
    </row>
    <row r="49" spans="1:22" x14ac:dyDescent="0.2">
      <c r="A49">
        <v>44660.894247685399</v>
      </c>
      <c r="B49">
        <v>20.601634000000001</v>
      </c>
      <c r="C49">
        <v>20.727262</v>
      </c>
      <c r="D49">
        <v>20.182480999999999</v>
      </c>
      <c r="E49">
        <v>20.223141999999999</v>
      </c>
      <c r="F49">
        <v>28.436105000000001</v>
      </c>
      <c r="G49">
        <v>25.753867</v>
      </c>
      <c r="H49">
        <v>24.838013</v>
      </c>
      <c r="I49">
        <v>22.353043</v>
      </c>
      <c r="J49">
        <v>56.359268</v>
      </c>
      <c r="K49">
        <v>51.824038000000002</v>
      </c>
      <c r="L49">
        <v>226.098735</v>
      </c>
      <c r="M49">
        <v>-622.49795900000004</v>
      </c>
      <c r="N49">
        <v>2.1627619999999999</v>
      </c>
      <c r="O49">
        <v>14.836409</v>
      </c>
      <c r="P49">
        <f t="shared" si="3"/>
        <v>3.6046033333333334E-5</v>
      </c>
      <c r="Q49" cm="1">
        <f t="array" ref="Q49">[1]!PropsSI("D","T",J49+273.15,"P",101325,"Water")</f>
        <v>985.02922979454002</v>
      </c>
      <c r="R49" cm="1">
        <f t="array" ref="R49">[1]!PropsSI("D","T",K49+273.15,"P",101325,"Water")</f>
        <v>987.1992021622591</v>
      </c>
      <c r="S49">
        <f t="shared" si="4"/>
        <v>986.11421597839956</v>
      </c>
      <c r="T49" cm="1">
        <f t="array" ref="T49">[1]!PropsSI("H","T",J49+273.15,"P",101325,"Water")</f>
        <v>236015.17439266676</v>
      </c>
      <c r="U49" cm="1">
        <f t="array" ref="U49">[1]!PropsSI("H","T",K49+273.15,"P",101325,"Water")</f>
        <v>217045.906383141</v>
      </c>
      <c r="V49">
        <f t="shared" si="5"/>
        <v>674.27222794428405</v>
      </c>
    </row>
    <row r="50" spans="1:22" x14ac:dyDescent="0.2">
      <c r="A50" t="s">
        <v>19</v>
      </c>
      <c r="B50">
        <v>20.386906</v>
      </c>
      <c r="C50">
        <v>20.733934000000001</v>
      </c>
      <c r="D50">
        <v>20.171512</v>
      </c>
      <c r="E50">
        <v>20.254097999999999</v>
      </c>
      <c r="F50">
        <v>28.309148</v>
      </c>
      <c r="G50">
        <v>25.635847999999999</v>
      </c>
      <c r="H50">
        <v>24.883344999999998</v>
      </c>
      <c r="I50">
        <v>22.315172</v>
      </c>
      <c r="J50">
        <v>56.361656000000004</v>
      </c>
      <c r="K50">
        <v>51.828490000000002</v>
      </c>
      <c r="L50">
        <v>210.07994500000001</v>
      </c>
      <c r="M50">
        <v>-622.49102100000005</v>
      </c>
      <c r="N50">
        <v>2.160193</v>
      </c>
      <c r="O50">
        <v>14.921704</v>
      </c>
      <c r="P50">
        <f t="shared" si="3"/>
        <v>3.6003216666666664E-5</v>
      </c>
      <c r="Q50" cm="1">
        <f t="array" ref="Q50">[1]!PropsSI("D","T",J50+273.15,"P",101325,"Water")</f>
        <v>985.02805351338338</v>
      </c>
      <c r="R50" cm="1">
        <f t="array" ref="R50">[1]!PropsSI("D","T",K50+273.15,"P",101325,"Water")</f>
        <v>987.19713575498906</v>
      </c>
      <c r="S50">
        <f t="shared" si="4"/>
        <v>986.11259463418628</v>
      </c>
      <c r="T50" cm="1">
        <f t="array" ref="T50">[1]!PropsSI("H","T",J50+273.15,"P",101325,"Water")</f>
        <v>236025.16450158088</v>
      </c>
      <c r="U50" cm="1">
        <f t="array" ref="U50">[1]!PropsSI("H","T",K50+273.15,"P",101325,"Water")</f>
        <v>217064.52414005142</v>
      </c>
      <c r="V50">
        <f t="shared" si="5"/>
        <v>673.16388852815089</v>
      </c>
    </row>
    <row r="51" spans="1:22" x14ac:dyDescent="0.2">
      <c r="A51">
        <v>46122.894364583335</v>
      </c>
      <c r="B51">
        <v>20.323311</v>
      </c>
      <c r="C51">
        <v>20.446656999999998</v>
      </c>
      <c r="D51">
        <v>20.143511</v>
      </c>
      <c r="E51">
        <v>20.243846000000001</v>
      </c>
      <c r="F51">
        <v>28.153682</v>
      </c>
      <c r="G51">
        <v>25.549282999999999</v>
      </c>
      <c r="H51">
        <v>24.944866000000001</v>
      </c>
      <c r="I51">
        <v>22.337613999999999</v>
      </c>
      <c r="J51">
        <v>56.362611000000001</v>
      </c>
      <c r="K51">
        <v>51.829442999999998</v>
      </c>
      <c r="L51">
        <v>246.23446100000001</v>
      </c>
      <c r="M51">
        <v>-622.48204199999998</v>
      </c>
      <c r="N51">
        <v>2.165708</v>
      </c>
      <c r="O51">
        <v>14.935695000000001</v>
      </c>
      <c r="P51">
        <f t="shared" si="3"/>
        <v>3.6095133333333333E-5</v>
      </c>
      <c r="Q51" cm="1">
        <f t="array" ref="Q51">[1]!PropsSI("D","T",J51+273.15,"P",101325,"Water")</f>
        <v>985.02758308967555</v>
      </c>
      <c r="R51" cm="1">
        <f t="array" ref="R51">[1]!PropsSI("D","T",K51+273.15,"P",101325,"Water")</f>
        <v>987.19669340104667</v>
      </c>
      <c r="S51">
        <f t="shared" si="4"/>
        <v>986.11213824536117</v>
      </c>
      <c r="T51" cm="1">
        <f t="array" ref="T51">[1]!PropsSI("H","T",J51+273.15,"P",101325,"Water")</f>
        <v>236029.15970905501</v>
      </c>
      <c r="U51" cm="1">
        <f t="array" ref="U51">[1]!PropsSI("H","T",K51+273.15,"P",101325,"Water")</f>
        <v>217068.50947827857</v>
      </c>
      <c r="V51">
        <f t="shared" si="5"/>
        <v>674.88252337179074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E0CD9-1203-3847-A99F-0F1B7CA8DE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  <vt:lpstr>8mps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2026-04-12T18:39:30Z</dcterms:created>
  <dcterms:modified xsi:type="dcterms:W3CDTF">2026-04-12T18:47:25Z</dcterms:modified>
</cp:coreProperties>
</file>