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8_4_2026_Redo_front/15gps/"/>
    </mc:Choice>
  </mc:AlternateContent>
  <xr:revisionPtr revIDLastSave="0" documentId="13_ncr:1_{AED9DE75-7A97-184C-B550-A4915577BAFE}" xr6:coauthVersionLast="47" xr6:coauthVersionMax="47" xr10:uidLastSave="{00000000-0000-0000-0000-000000000000}"/>
  <bookViews>
    <workbookView xWindow="1500" yWindow="1400" windowWidth="27640" windowHeight="16680" xr2:uid="{32BC63E2-FD32-BB42-B89D-D03830E3A464}"/>
  </bookViews>
  <sheets>
    <sheet name="Results" sheetId="1" r:id="rId1"/>
    <sheet name="1mps" sheetId="3" r:id="rId2"/>
    <sheet name="2mps" sheetId="4" r:id="rId3"/>
    <sheet name="3mps" sheetId="5" r:id="rId4"/>
    <sheet name="4mps" sheetId="7" r:id="rId5"/>
    <sheet name="5mps" sheetId="8" r:id="rId6"/>
    <sheet name="6mps" sheetId="9" r:id="rId7"/>
    <sheet name="7mps" sheetId="10" r:id="rId8"/>
    <sheet name="8mps" sheetId="11" r:id="rId9"/>
  </sheets>
  <externalReferences>
    <externalReference r:id="rId10"/>
  </externalReferences>
  <definedNames>
    <definedName name="ExternalData_1" localSheetId="1" hidden="1">'1mps'!$A$1:$O$55</definedName>
    <definedName name="ExternalData_1" localSheetId="4" hidden="1">'4mps'!$A$1:$O$74</definedName>
    <definedName name="ExternalData_1" localSheetId="5" hidden="1">'5mps'!$A$1:$O$57</definedName>
    <definedName name="ExternalData_1" localSheetId="6" hidden="1">'6mps'!$A$1:$O$83</definedName>
    <definedName name="ExternalData_1" localSheetId="7" hidden="1">'7mps'!$A$1:$O$53</definedName>
    <definedName name="ExternalData_1" localSheetId="8" hidden="1">'8mps'!$A$1:$O$52</definedName>
    <definedName name="ExternalData_2" localSheetId="2" hidden="1">'2mps'!$A$1:$O$76</definedName>
    <definedName name="ExternalData_3" localSheetId="3" hidden="1">'3mps'!$A$1:$O$99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1" l="1"/>
  <c r="W2" i="10"/>
  <c r="W2" i="9"/>
  <c r="W2" i="8"/>
  <c r="W2" i="7"/>
  <c r="W2" i="5"/>
  <c r="W2" i="4"/>
  <c r="W2" i="3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2" i="10"/>
  <c r="P3" i="10"/>
  <c r="P4" i="10"/>
  <c r="P5" i="10"/>
  <c r="P6" i="10"/>
  <c r="P7" i="10"/>
  <c r="P8" i="10"/>
  <c r="P9" i="10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2" i="9"/>
  <c r="P3" i="9"/>
  <c r="P4" i="9"/>
  <c r="P5" i="9"/>
  <c r="P6" i="9"/>
  <c r="P7" i="9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2" i="8"/>
  <c r="P3" i="8"/>
  <c r="P4" i="8"/>
  <c r="P5" i="8"/>
  <c r="P6" i="8"/>
  <c r="P7" i="8"/>
  <c r="P8" i="8"/>
  <c r="P9" i="8"/>
  <c r="P10" i="8"/>
  <c r="P11" i="8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2" i="7"/>
  <c r="P3" i="7"/>
  <c r="P4" i="7"/>
  <c r="P5" i="7"/>
  <c r="P6" i="7"/>
  <c r="P7" i="7"/>
  <c r="P8" i="7"/>
  <c r="P9" i="7"/>
  <c r="P10" i="7"/>
  <c r="P11" i="7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2" i="5"/>
  <c r="P3" i="5"/>
  <c r="P4" i="5"/>
  <c r="P5" i="5"/>
  <c r="P6" i="5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2" i="4"/>
  <c r="P3" i="4"/>
  <c r="P4" i="4"/>
  <c r="P5" i="4"/>
  <c r="P6" i="4"/>
  <c r="P7" i="4"/>
  <c r="P8" i="4"/>
  <c r="P9" i="4"/>
  <c r="P10" i="4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2" i="3"/>
  <c r="P3" i="3"/>
  <c r="P4" i="3"/>
  <c r="P5" i="3"/>
  <c r="P6" i="3"/>
  <c r="P7" i="3"/>
  <c r="P8" i="3"/>
  <c r="P9" i="3"/>
  <c r="P10" i="3"/>
  <c r="P11" i="3"/>
  <c r="P12" i="3"/>
  <c r="P13" i="3"/>
  <c r="Q17" i="11" a="1"/>
  <c r="R19" i="11" a="1"/>
  <c r="T22" i="11" a="1"/>
  <c r="U24" i="11" a="1"/>
  <c r="Q29" i="11" a="1"/>
  <c r="R31" i="11" a="1"/>
  <c r="T34" i="11" a="1"/>
  <c r="U36" i="11" a="1"/>
  <c r="Q41" i="11" a="1"/>
  <c r="R43" i="11" a="1"/>
  <c r="T46" i="11" a="1"/>
  <c r="U48" i="11" a="1"/>
  <c r="T43" i="11" a="1"/>
  <c r="Q16" i="11" a="1"/>
  <c r="R18" i="11" a="1"/>
  <c r="T21" i="11" a="1"/>
  <c r="U23" i="11" a="1"/>
  <c r="Q28" i="11" a="1"/>
  <c r="R30" i="11" a="1"/>
  <c r="T33" i="11" a="1"/>
  <c r="U35" i="11" a="1"/>
  <c r="Q40" i="11" a="1"/>
  <c r="R42" i="11" a="1"/>
  <c r="T45" i="11" a="1"/>
  <c r="U47" i="11" a="1"/>
  <c r="Q52" i="11" a="1"/>
  <c r="U34" i="11" a="1"/>
  <c r="Q39" i="11" a="1"/>
  <c r="R41" i="11" a="1"/>
  <c r="U46" i="11" a="1"/>
  <c r="U33" i="11" a="1"/>
  <c r="Q38" i="11" a="1"/>
  <c r="R40" i="11" a="1"/>
  <c r="R17" i="11" a="1"/>
  <c r="T20" i="11" a="1"/>
  <c r="U22" i="11" a="1"/>
  <c r="Q27" i="11" a="1"/>
  <c r="R29" i="11" a="1"/>
  <c r="T32" i="11" a="1"/>
  <c r="R16" i="11" a="1"/>
  <c r="T19" i="11" a="1"/>
  <c r="U21" i="11" a="1"/>
  <c r="Q26" i="11" a="1"/>
  <c r="R28" i="11" a="1"/>
  <c r="T31" i="11" a="1"/>
  <c r="T18" i="11" a="1"/>
  <c r="U20" i="11" a="1"/>
  <c r="Q25" i="11" a="1"/>
  <c r="R27" i="11" a="1"/>
  <c r="T30" i="11" a="1"/>
  <c r="U32" i="11" a="1"/>
  <c r="Q37" i="11" a="1"/>
  <c r="R39" i="11" a="1"/>
  <c r="T42" i="11" a="1"/>
  <c r="U44" i="11" a="1"/>
  <c r="Q49" i="11" a="1"/>
  <c r="R51" i="11" a="1"/>
  <c r="T17" i="11" a="1"/>
  <c r="U19" i="11" a="1"/>
  <c r="Q24" i="11" a="1"/>
  <c r="R26" i="11" a="1"/>
  <c r="T29" i="11" a="1"/>
  <c r="U31" i="11" a="1"/>
  <c r="Q36" i="11" a="1"/>
  <c r="R38" i="11" a="1"/>
  <c r="T41" i="11" a="1"/>
  <c r="U43" i="11" a="1"/>
  <c r="Q48" i="11" a="1"/>
  <c r="R50" i="11" a="1"/>
  <c r="Q47" i="11" a="1"/>
  <c r="R49" i="11" a="1"/>
  <c r="T52" i="11" a="1"/>
  <c r="Q46" i="11" a="1"/>
  <c r="R48" i="11" a="1"/>
  <c r="T16" i="11" a="1"/>
  <c r="U18" i="11" a="1"/>
  <c r="Q23" i="11" a="1"/>
  <c r="R25" i="11" a="1"/>
  <c r="T28" i="11" a="1"/>
  <c r="U30" i="11" a="1"/>
  <c r="Q35" i="11" a="1"/>
  <c r="R37" i="11" a="1"/>
  <c r="T40" i="11" a="1"/>
  <c r="U42" i="11" a="1"/>
  <c r="U17" i="11" a="1"/>
  <c r="Q22" i="11" a="1"/>
  <c r="R24" i="11" a="1"/>
  <c r="T27" i="11" a="1"/>
  <c r="U29" i="11" a="1"/>
  <c r="Q34" i="11" a="1"/>
  <c r="R36" i="11" a="1"/>
  <c r="T39" i="11" a="1"/>
  <c r="U41" i="11" a="1"/>
  <c r="T51" i="11" a="1"/>
  <c r="U16" i="11" a="1"/>
  <c r="Q21" i="11" a="1"/>
  <c r="R23" i="11" a="1"/>
  <c r="T26" i="11" a="1"/>
  <c r="U28" i="11" a="1"/>
  <c r="Q33" i="11" a="1"/>
  <c r="R35" i="11" a="1"/>
  <c r="T38" i="11" a="1"/>
  <c r="U40" i="11" a="1"/>
  <c r="Q45" i="11" a="1"/>
  <c r="R47" i="11" a="1"/>
  <c r="T50" i="11" a="1"/>
  <c r="U52" i="11" a="1"/>
  <c r="U45" i="11" a="1"/>
  <c r="Q20" i="11" a="1"/>
  <c r="R22" i="11" a="1"/>
  <c r="T25" i="11" a="1"/>
  <c r="U27" i="11" a="1"/>
  <c r="Q32" i="11" a="1"/>
  <c r="R34" i="11" a="1"/>
  <c r="T37" i="11" a="1"/>
  <c r="U39" i="11" a="1"/>
  <c r="Q44" i="11" a="1"/>
  <c r="R46" i="11" a="1"/>
  <c r="T49" i="11" a="1"/>
  <c r="U51" i="11" a="1"/>
  <c r="T35" i="11" a="1"/>
  <c r="Q42" i="11" a="1"/>
  <c r="T47" i="11" a="1"/>
  <c r="T44" i="11" a="1"/>
  <c r="Q51" i="11" a="1"/>
  <c r="Q19" i="11" a="1"/>
  <c r="R21" i="11" a="1"/>
  <c r="T24" i="11" a="1"/>
  <c r="U26" i="11" a="1"/>
  <c r="Q31" i="11" a="1"/>
  <c r="R33" i="11" a="1"/>
  <c r="T36" i="11" a="1"/>
  <c r="U38" i="11" a="1"/>
  <c r="Q43" i="11" a="1"/>
  <c r="R45" i="11" a="1"/>
  <c r="T48" i="11" a="1"/>
  <c r="U50" i="11" a="1"/>
  <c r="U37" i="11" a="1"/>
  <c r="R44" i="11" a="1"/>
  <c r="U49" i="11" a="1"/>
  <c r="Q18" i="11" a="1"/>
  <c r="R20" i="11" a="1"/>
  <c r="T23" i="11" a="1"/>
  <c r="U25" i="11" a="1"/>
  <c r="Q30" i="11" a="1"/>
  <c r="R32" i="11" a="1"/>
  <c r="Q50" i="11" a="1"/>
  <c r="R52" i="11" a="1"/>
  <c r="Q7" i="11" a="1"/>
  <c r="Q13" i="11" a="1"/>
  <c r="R5" i="11" a="1"/>
  <c r="R11" i="11" a="1"/>
  <c r="T2" i="11" a="1"/>
  <c r="T8" i="11" a="1"/>
  <c r="T14" i="11" a="1"/>
  <c r="U6" i="11" a="1"/>
  <c r="U12" i="11" a="1"/>
  <c r="R6" i="11" a="1"/>
  <c r="R12" i="11" a="1"/>
  <c r="T3" i="11" a="1"/>
  <c r="Q14" i="11" a="1"/>
  <c r="T9" i="11" a="1"/>
  <c r="Q2" i="11" a="1"/>
  <c r="Q8" i="11" a="1"/>
  <c r="T15" i="11" a="1"/>
  <c r="U7" i="11" a="1"/>
  <c r="U13" i="11" a="1"/>
  <c r="Q3" i="11" a="1"/>
  <c r="R7" i="11" a="1"/>
  <c r="T4" i="11" a="1"/>
  <c r="Q4" i="11" a="1"/>
  <c r="Q10" i="11" a="1"/>
  <c r="R2" i="11" a="1"/>
  <c r="R8" i="11" a="1"/>
  <c r="R14" i="11" a="1"/>
  <c r="T5" i="11" a="1"/>
  <c r="T11" i="11" a="1"/>
  <c r="U3" i="11" a="1"/>
  <c r="U9" i="11" a="1"/>
  <c r="U15" i="11" a="1"/>
  <c r="R13" i="11" a="1"/>
  <c r="U2" i="11" a="1"/>
  <c r="U14" i="11" a="1"/>
  <c r="Q12" i="11" a="1"/>
  <c r="R4" i="11" a="1"/>
  <c r="R10" i="11" a="1"/>
  <c r="T7" i="11" a="1"/>
  <c r="T13" i="11" a="1"/>
  <c r="U5" i="11" a="1"/>
  <c r="Q5" i="11" a="1"/>
  <c r="Q11" i="11" a="1"/>
  <c r="R3" i="11" a="1"/>
  <c r="R9" i="11" a="1"/>
  <c r="R15" i="11" a="1"/>
  <c r="T6" i="11" a="1"/>
  <c r="T12" i="11" a="1"/>
  <c r="U4" i="11" a="1"/>
  <c r="U10" i="11" a="1"/>
  <c r="Q6" i="11" a="1"/>
  <c r="U11" i="11" a="1"/>
  <c r="Q15" i="11" a="1"/>
  <c r="T10" i="11" a="1"/>
  <c r="U8" i="11" a="1"/>
  <c r="Q9" i="11" a="1"/>
  <c r="Q11" i="10" a="1"/>
  <c r="R13" i="10" a="1"/>
  <c r="T16" i="10" a="1"/>
  <c r="U18" i="10" a="1"/>
  <c r="Q23" i="10" a="1"/>
  <c r="R25" i="10" a="1"/>
  <c r="T28" i="10" a="1"/>
  <c r="U30" i="10" a="1"/>
  <c r="Q35" i="10" a="1"/>
  <c r="R37" i="10" a="1"/>
  <c r="T40" i="10" a="1"/>
  <c r="U42" i="10" a="1"/>
  <c r="Q47" i="10" a="1"/>
  <c r="R49" i="10" a="1"/>
  <c r="T52" i="10" a="1"/>
  <c r="Q32" i="10" a="1"/>
  <c r="Q10" i="10" a="1"/>
  <c r="R12" i="10" a="1"/>
  <c r="T15" i="10" a="1"/>
  <c r="U17" i="10" a="1"/>
  <c r="Q22" i="10" a="1"/>
  <c r="R24" i="10" a="1"/>
  <c r="T27" i="10" a="1"/>
  <c r="U29" i="10" a="1"/>
  <c r="Q34" i="10" a="1"/>
  <c r="R36" i="10" a="1"/>
  <c r="T39" i="10" a="1"/>
  <c r="U41" i="10" a="1"/>
  <c r="Q46" i="10" a="1"/>
  <c r="R48" i="10" a="1"/>
  <c r="T51" i="10" a="1"/>
  <c r="U53" i="10" a="1"/>
  <c r="T37" i="10" a="1"/>
  <c r="U51" i="10" a="1"/>
  <c r="T48" i="10" a="1"/>
  <c r="R11" i="10" a="1"/>
  <c r="T14" i="10" a="1"/>
  <c r="U16" i="10" a="1"/>
  <c r="Q21" i="10" a="1"/>
  <c r="R23" i="10" a="1"/>
  <c r="T26" i="10" a="1"/>
  <c r="U28" i="10" a="1"/>
  <c r="Q33" i="10" a="1"/>
  <c r="R35" i="10" a="1"/>
  <c r="T38" i="10" a="1"/>
  <c r="U40" i="10" a="1"/>
  <c r="Q45" i="10" a="1"/>
  <c r="R47" i="10" a="1"/>
  <c r="T50" i="10" a="1"/>
  <c r="U52" i="10" a="1"/>
  <c r="R34" i="10" a="1"/>
  <c r="Q44" i="10" a="1"/>
  <c r="R10" i="10" a="1"/>
  <c r="T13" i="10" a="1"/>
  <c r="U15" i="10" a="1"/>
  <c r="Q20" i="10" a="1"/>
  <c r="R22" i="10" a="1"/>
  <c r="T25" i="10" a="1"/>
  <c r="U27" i="10" a="1"/>
  <c r="U39" i="10" a="1"/>
  <c r="R46" i="10" a="1"/>
  <c r="T49" i="10" a="1"/>
  <c r="U38" i="10" a="1"/>
  <c r="Q43" i="10" a="1"/>
  <c r="U50" i="10" a="1"/>
  <c r="T42" i="10" a="1"/>
  <c r="R51" i="10" a="1"/>
  <c r="T12" i="10" a="1"/>
  <c r="U14" i="10" a="1"/>
  <c r="Q19" i="10" a="1"/>
  <c r="R21" i="10" a="1"/>
  <c r="T24" i="10" a="1"/>
  <c r="U26" i="10" a="1"/>
  <c r="Q31" i="10" a="1"/>
  <c r="R33" i="10" a="1"/>
  <c r="T36" i="10" a="1"/>
  <c r="R45" i="10" a="1"/>
  <c r="T11" i="10" a="1"/>
  <c r="U13" i="10" a="1"/>
  <c r="Q18" i="10" a="1"/>
  <c r="R20" i="10" a="1"/>
  <c r="T23" i="10" a="1"/>
  <c r="U25" i="10" a="1"/>
  <c r="Q30" i="10" a="1"/>
  <c r="R32" i="10" a="1"/>
  <c r="T35" i="10" a="1"/>
  <c r="U37" i="10" a="1"/>
  <c r="Q42" i="10" a="1"/>
  <c r="R44" i="10" a="1"/>
  <c r="T47" i="10" a="1"/>
  <c r="U49" i="10" a="1"/>
  <c r="Q51" i="10" a="1"/>
  <c r="T10" i="10" a="1"/>
  <c r="U12" i="10" a="1"/>
  <c r="Q17" i="10" a="1"/>
  <c r="R19" i="10" a="1"/>
  <c r="T22" i="10" a="1"/>
  <c r="U24" i="10" a="1"/>
  <c r="Q29" i="10" a="1"/>
  <c r="R31" i="10" a="1"/>
  <c r="T34" i="10" a="1"/>
  <c r="U36" i="10" a="1"/>
  <c r="Q41" i="10" a="1"/>
  <c r="R43" i="10" a="1"/>
  <c r="T46" i="10" a="1"/>
  <c r="U48" i="10" a="1"/>
  <c r="Q53" i="10" a="1"/>
  <c r="R53" i="10" a="1"/>
  <c r="U32" i="10" a="1"/>
  <c r="R39" i="10" a="1"/>
  <c r="U44" i="10" a="1"/>
  <c r="Q49" i="10" a="1"/>
  <c r="T29" i="10" a="1"/>
  <c r="U11" i="10" a="1"/>
  <c r="Q16" i="10" a="1"/>
  <c r="R18" i="10" a="1"/>
  <c r="T21" i="10" a="1"/>
  <c r="U23" i="10" a="1"/>
  <c r="Q28" i="10" a="1"/>
  <c r="R30" i="10" a="1"/>
  <c r="T33" i="10" a="1"/>
  <c r="U35" i="10" a="1"/>
  <c r="Q40" i="10" a="1"/>
  <c r="R42" i="10" a="1"/>
  <c r="T45" i="10" a="1"/>
  <c r="U47" i="10" a="1"/>
  <c r="Q52" i="10" a="1"/>
  <c r="T44" i="10" a="1"/>
  <c r="U46" i="10" a="1"/>
  <c r="Q36" i="10" a="1"/>
  <c r="U43" i="10" a="1"/>
  <c r="Q48" i="10" a="1"/>
  <c r="U10" i="10" a="1"/>
  <c r="Q15" i="10" a="1"/>
  <c r="R17" i="10" a="1"/>
  <c r="T20" i="10" a="1"/>
  <c r="U22" i="10" a="1"/>
  <c r="Q27" i="10" a="1"/>
  <c r="R29" i="10" a="1"/>
  <c r="T32" i="10" a="1"/>
  <c r="U34" i="10" a="1"/>
  <c r="Q39" i="10" a="1"/>
  <c r="R41" i="10" a="1"/>
  <c r="U31" i="10" a="1"/>
  <c r="R38" i="10" a="1"/>
  <c r="T41" i="10" a="1"/>
  <c r="R50" i="10" a="1"/>
  <c r="T53" i="10" a="1"/>
  <c r="Q14" i="10" a="1"/>
  <c r="R16" i="10" a="1"/>
  <c r="T19" i="10" a="1"/>
  <c r="U21" i="10" a="1"/>
  <c r="Q26" i="10" a="1"/>
  <c r="R28" i="10" a="1"/>
  <c r="T31" i="10" a="1"/>
  <c r="U33" i="10" a="1"/>
  <c r="Q38" i="10" a="1"/>
  <c r="R40" i="10" a="1"/>
  <c r="T43" i="10" a="1"/>
  <c r="U45" i="10" a="1"/>
  <c r="Q50" i="10" a="1"/>
  <c r="R52" i="10" a="1"/>
  <c r="T18" i="10" a="1"/>
  <c r="Q13" i="10" a="1"/>
  <c r="R15" i="10" a="1"/>
  <c r="U20" i="10" a="1"/>
  <c r="Q25" i="10" a="1"/>
  <c r="R27" i="10" a="1"/>
  <c r="T30" i="10" a="1"/>
  <c r="Q37" i="10" a="1"/>
  <c r="Q12" i="10" a="1"/>
  <c r="R14" i="10" a="1"/>
  <c r="T17" i="10" a="1"/>
  <c r="U19" i="10" a="1"/>
  <c r="Q24" i="10" a="1"/>
  <c r="R26" i="10" a="1"/>
  <c r="Q4" i="10" a="1"/>
  <c r="R2" i="10" a="1"/>
  <c r="R8" i="10" a="1"/>
  <c r="T2" i="10" a="1"/>
  <c r="T8" i="10" a="1"/>
  <c r="U6" i="10" a="1"/>
  <c r="Q6" i="10" a="1"/>
  <c r="U8" i="10" a="1"/>
  <c r="R7" i="10" a="1"/>
  <c r="U5" i="10" a="1"/>
  <c r="R4" i="10" a="1"/>
  <c r="Q9" i="10" a="1"/>
  <c r="Q5" i="10" a="1"/>
  <c r="R3" i="10" a="1"/>
  <c r="R9" i="10" a="1"/>
  <c r="T3" i="10" a="1"/>
  <c r="T9" i="10" a="1"/>
  <c r="U7" i="10" a="1"/>
  <c r="U2" i="10" a="1"/>
  <c r="T4" i="10" a="1"/>
  <c r="Q7" i="10" a="1"/>
  <c r="R5" i="10" a="1"/>
  <c r="T5" i="10" a="1"/>
  <c r="U3" i="10" a="1"/>
  <c r="U9" i="10" a="1"/>
  <c r="Q2" i="10" a="1"/>
  <c r="Q8" i="10" a="1"/>
  <c r="R6" i="10" a="1"/>
  <c r="T6" i="10" a="1"/>
  <c r="U4" i="10" a="1"/>
  <c r="Q3" i="10" a="1"/>
  <c r="T7" i="10" a="1"/>
  <c r="Q9" i="9" a="1"/>
  <c r="R11" i="9" a="1"/>
  <c r="T14" i="9" a="1"/>
  <c r="U16" i="9" a="1"/>
  <c r="Q21" i="9" a="1"/>
  <c r="R23" i="9" a="1"/>
  <c r="T26" i="9" a="1"/>
  <c r="U28" i="9" a="1"/>
  <c r="Q33" i="9" a="1"/>
  <c r="R35" i="9" a="1"/>
  <c r="T38" i="9" a="1"/>
  <c r="U40" i="9" a="1"/>
  <c r="Q45" i="9" a="1"/>
  <c r="R47" i="9" a="1"/>
  <c r="T50" i="9" a="1"/>
  <c r="U52" i="9" a="1"/>
  <c r="Q57" i="9" a="1"/>
  <c r="R59" i="9" a="1"/>
  <c r="T62" i="9" a="1"/>
  <c r="U64" i="9" a="1"/>
  <c r="Q69" i="9" a="1"/>
  <c r="R71" i="9" a="1"/>
  <c r="T74" i="9" a="1"/>
  <c r="U76" i="9" a="1"/>
  <c r="Q81" i="9" a="1"/>
  <c r="R83" i="9" a="1"/>
  <c r="R56" i="9" a="1"/>
  <c r="T59" i="9" a="1"/>
  <c r="U61" i="9" a="1"/>
  <c r="Q66" i="9" a="1"/>
  <c r="Q8" i="9" a="1"/>
  <c r="R10" i="9" a="1"/>
  <c r="T13" i="9" a="1"/>
  <c r="U15" i="9" a="1"/>
  <c r="Q20" i="9" a="1"/>
  <c r="R22" i="9" a="1"/>
  <c r="T25" i="9" a="1"/>
  <c r="U27" i="9" a="1"/>
  <c r="Q32" i="9" a="1"/>
  <c r="R34" i="9" a="1"/>
  <c r="T37" i="9" a="1"/>
  <c r="U39" i="9" a="1"/>
  <c r="Q44" i="9" a="1"/>
  <c r="R46" i="9" a="1"/>
  <c r="T49" i="9" a="1"/>
  <c r="U51" i="9" a="1"/>
  <c r="Q56" i="9" a="1"/>
  <c r="R58" i="9" a="1"/>
  <c r="T61" i="9" a="1"/>
  <c r="U63" i="9" a="1"/>
  <c r="Q68" i="9" a="1"/>
  <c r="R70" i="9" a="1"/>
  <c r="T73" i="9" a="1"/>
  <c r="U75" i="9" a="1"/>
  <c r="Q80" i="9" a="1"/>
  <c r="T48" i="9" a="1"/>
  <c r="Q55" i="9" a="1"/>
  <c r="T60" i="9" a="1"/>
  <c r="U62" i="9" a="1"/>
  <c r="T72" i="9" a="1"/>
  <c r="R81" i="9" a="1"/>
  <c r="U25" i="9" a="1"/>
  <c r="U37" i="9" a="1"/>
  <c r="T47" i="9" a="1"/>
  <c r="R9" i="9" a="1"/>
  <c r="T12" i="9" a="1"/>
  <c r="U14" i="9" a="1"/>
  <c r="Q19" i="9" a="1"/>
  <c r="R21" i="9" a="1"/>
  <c r="T24" i="9" a="1"/>
  <c r="U26" i="9" a="1"/>
  <c r="Q31" i="9" a="1"/>
  <c r="R33" i="9" a="1"/>
  <c r="T36" i="9" a="1"/>
  <c r="Q67" i="9" a="1"/>
  <c r="R32" i="9" a="1"/>
  <c r="Q42" i="9" a="1"/>
  <c r="R44" i="9" a="1"/>
  <c r="U49" i="9" a="1"/>
  <c r="R8" i="9" a="1"/>
  <c r="T11" i="9" a="1"/>
  <c r="U13" i="9" a="1"/>
  <c r="Q18" i="9" a="1"/>
  <c r="R20" i="9" a="1"/>
  <c r="T23" i="9" a="1"/>
  <c r="T10" i="9" a="1"/>
  <c r="U12" i="9" a="1"/>
  <c r="Q17" i="9" a="1"/>
  <c r="R19" i="9" a="1"/>
  <c r="T22" i="9" a="1"/>
  <c r="U24" i="9" a="1"/>
  <c r="Q29" i="9" a="1"/>
  <c r="R31" i="9" a="1"/>
  <c r="T34" i="9" a="1"/>
  <c r="U36" i="9" a="1"/>
  <c r="Q41" i="9" a="1"/>
  <c r="R43" i="9" a="1"/>
  <c r="T46" i="9" a="1"/>
  <c r="U48" i="9" a="1"/>
  <c r="Q53" i="9" a="1"/>
  <c r="R55" i="9" a="1"/>
  <c r="T58" i="9" a="1"/>
  <c r="U60" i="9" a="1"/>
  <c r="Q65" i="9" a="1"/>
  <c r="R67" i="9" a="1"/>
  <c r="T70" i="9" a="1"/>
  <c r="U72" i="9" a="1"/>
  <c r="Q77" i="9" a="1"/>
  <c r="R79" i="9" a="1"/>
  <c r="T82" i="9" a="1"/>
  <c r="U83" i="9" a="1"/>
  <c r="T9" i="9" a="1"/>
  <c r="U11" i="9" a="1"/>
  <c r="Q16" i="9" a="1"/>
  <c r="R18" i="9" a="1"/>
  <c r="T21" i="9" a="1"/>
  <c r="U23" i="9" a="1"/>
  <c r="Q28" i="9" a="1"/>
  <c r="R30" i="9" a="1"/>
  <c r="T33" i="9" a="1"/>
  <c r="U35" i="9" a="1"/>
  <c r="Q40" i="9" a="1"/>
  <c r="R42" i="9" a="1"/>
  <c r="T45" i="9" a="1"/>
  <c r="U47" i="9" a="1"/>
  <c r="Q52" i="9" a="1"/>
  <c r="R54" i="9" a="1"/>
  <c r="T57" i="9" a="1"/>
  <c r="U59" i="9" a="1"/>
  <c r="Q64" i="9" a="1"/>
  <c r="R66" i="9" a="1"/>
  <c r="T69" i="9" a="1"/>
  <c r="U71" i="9" a="1"/>
  <c r="Q76" i="9" a="1"/>
  <c r="R78" i="9" a="1"/>
  <c r="T81" i="9" a="1"/>
  <c r="U67" i="9" a="1"/>
  <c r="Q72" i="9" a="1"/>
  <c r="R74" i="9" a="1"/>
  <c r="T77" i="9" a="1"/>
  <c r="T71" i="9" a="1"/>
  <c r="T83" i="9" a="1"/>
  <c r="T8" i="9" a="1"/>
  <c r="U10" i="9" a="1"/>
  <c r="Q15" i="9" a="1"/>
  <c r="R17" i="9" a="1"/>
  <c r="T20" i="9" a="1"/>
  <c r="U22" i="9" a="1"/>
  <c r="Q27" i="9" a="1"/>
  <c r="R29" i="9" a="1"/>
  <c r="T32" i="9" a="1"/>
  <c r="U34" i="9" a="1"/>
  <c r="Q39" i="9" a="1"/>
  <c r="R41" i="9" a="1"/>
  <c r="T44" i="9" a="1"/>
  <c r="U46" i="9" a="1"/>
  <c r="Q51" i="9" a="1"/>
  <c r="R53" i="9" a="1"/>
  <c r="T56" i="9" a="1"/>
  <c r="U58" i="9" a="1"/>
  <c r="Q63" i="9" a="1"/>
  <c r="R65" i="9" a="1"/>
  <c r="T68" i="9" a="1"/>
  <c r="U70" i="9" a="1"/>
  <c r="Q75" i="9" a="1"/>
  <c r="R77" i="9" a="1"/>
  <c r="T80" i="9" a="1"/>
  <c r="U82" i="9" a="1"/>
  <c r="Q60" i="9" a="1"/>
  <c r="U9" i="9" a="1"/>
  <c r="Q14" i="9" a="1"/>
  <c r="R16" i="9" a="1"/>
  <c r="T19" i="9" a="1"/>
  <c r="U21" i="9" a="1"/>
  <c r="Q26" i="9" a="1"/>
  <c r="R28" i="9" a="1"/>
  <c r="T31" i="9" a="1"/>
  <c r="U33" i="9" a="1"/>
  <c r="Q38" i="9" a="1"/>
  <c r="R40" i="9" a="1"/>
  <c r="T43" i="9" a="1"/>
  <c r="U45" i="9" a="1"/>
  <c r="Q50" i="9" a="1"/>
  <c r="R52" i="9" a="1"/>
  <c r="T55" i="9" a="1"/>
  <c r="U57" i="9" a="1"/>
  <c r="Q62" i="9" a="1"/>
  <c r="R64" i="9" a="1"/>
  <c r="T67" i="9" a="1"/>
  <c r="U69" i="9" a="1"/>
  <c r="Q74" i="9" a="1"/>
  <c r="R76" i="9" a="1"/>
  <c r="T79" i="9" a="1"/>
  <c r="U81" i="9" a="1"/>
  <c r="R62" i="9" a="1"/>
  <c r="U8" i="9" a="1"/>
  <c r="Q13" i="9" a="1"/>
  <c r="R15" i="9" a="1"/>
  <c r="T18" i="9" a="1"/>
  <c r="U20" i="9" a="1"/>
  <c r="Q25" i="9" a="1"/>
  <c r="R27" i="9" a="1"/>
  <c r="T30" i="9" a="1"/>
  <c r="U32" i="9" a="1"/>
  <c r="Q37" i="9" a="1"/>
  <c r="R39" i="9" a="1"/>
  <c r="T42" i="9" a="1"/>
  <c r="U44" i="9" a="1"/>
  <c r="Q49" i="9" a="1"/>
  <c r="R51" i="9" a="1"/>
  <c r="T54" i="9" a="1"/>
  <c r="U56" i="9" a="1"/>
  <c r="Q61" i="9" a="1"/>
  <c r="R63" i="9" a="1"/>
  <c r="T66" i="9" a="1"/>
  <c r="U68" i="9" a="1"/>
  <c r="Q73" i="9" a="1"/>
  <c r="R75" i="9" a="1"/>
  <c r="T78" i="9" a="1"/>
  <c r="U80" i="9" a="1"/>
  <c r="T65" i="9" a="1"/>
  <c r="U79" i="9" a="1"/>
  <c r="Q78" i="9" a="1"/>
  <c r="Q12" i="9" a="1"/>
  <c r="R14" i="9" a="1"/>
  <c r="T17" i="9" a="1"/>
  <c r="U19" i="9" a="1"/>
  <c r="Q24" i="9" a="1"/>
  <c r="R26" i="9" a="1"/>
  <c r="T29" i="9" a="1"/>
  <c r="U31" i="9" a="1"/>
  <c r="Q36" i="9" a="1"/>
  <c r="R38" i="9" a="1"/>
  <c r="T41" i="9" a="1"/>
  <c r="U43" i="9" a="1"/>
  <c r="Q48" i="9" a="1"/>
  <c r="R50" i="9" a="1"/>
  <c r="T53" i="9" a="1"/>
  <c r="U55" i="9" a="1"/>
  <c r="Q11" i="9" a="1"/>
  <c r="R13" i="9" a="1"/>
  <c r="T16" i="9" a="1"/>
  <c r="U18" i="9" a="1"/>
  <c r="Q23" i="9" a="1"/>
  <c r="R25" i="9" a="1"/>
  <c r="T28" i="9" a="1"/>
  <c r="U30" i="9" a="1"/>
  <c r="Q35" i="9" a="1"/>
  <c r="R37" i="9" a="1"/>
  <c r="T40" i="9" a="1"/>
  <c r="U42" i="9" a="1"/>
  <c r="Q47" i="9" a="1"/>
  <c r="R49" i="9" a="1"/>
  <c r="T52" i="9" a="1"/>
  <c r="U54" i="9" a="1"/>
  <c r="Q59" i="9" a="1"/>
  <c r="R61" i="9" a="1"/>
  <c r="T64" i="9" a="1"/>
  <c r="U66" i="9" a="1"/>
  <c r="Q71" i="9" a="1"/>
  <c r="R73" i="9" a="1"/>
  <c r="T76" i="9" a="1"/>
  <c r="U78" i="9" a="1"/>
  <c r="Q83" i="9" a="1"/>
  <c r="Q10" i="9" a="1"/>
  <c r="R12" i="9" a="1"/>
  <c r="T15" i="9" a="1"/>
  <c r="U17" i="9" a="1"/>
  <c r="Q22" i="9" a="1"/>
  <c r="R24" i="9" a="1"/>
  <c r="T27" i="9" a="1"/>
  <c r="U29" i="9" a="1"/>
  <c r="Q34" i="9" a="1"/>
  <c r="R36" i="9" a="1"/>
  <c r="T39" i="9" a="1"/>
  <c r="U41" i="9" a="1"/>
  <c r="Q46" i="9" a="1"/>
  <c r="R48" i="9" a="1"/>
  <c r="T51" i="9" a="1"/>
  <c r="U53" i="9" a="1"/>
  <c r="Q58" i="9" a="1"/>
  <c r="R60" i="9" a="1"/>
  <c r="T63" i="9" a="1"/>
  <c r="U65" i="9" a="1"/>
  <c r="Q70" i="9" a="1"/>
  <c r="R72" i="9" a="1"/>
  <c r="T75" i="9" a="1"/>
  <c r="U77" i="9" a="1"/>
  <c r="Q82" i="9" a="1"/>
  <c r="R82" i="9" a="1"/>
  <c r="U38" i="9" a="1"/>
  <c r="Q43" i="9" a="1"/>
  <c r="R45" i="9" a="1"/>
  <c r="U50" i="9" a="1"/>
  <c r="R57" i="9" a="1"/>
  <c r="R69" i="9" a="1"/>
  <c r="U74" i="9" a="1"/>
  <c r="Q79" i="9" a="1"/>
  <c r="Q30" i="9" a="1"/>
  <c r="T35" i="9" a="1"/>
  <c r="Q54" i="9" a="1"/>
  <c r="R68" i="9" a="1"/>
  <c r="U73" i="9" a="1"/>
  <c r="R80" i="9" a="1"/>
  <c r="Q5" i="9" a="1"/>
  <c r="R5" i="9" a="1"/>
  <c r="T2" i="9" a="1"/>
  <c r="U2" i="9" a="1"/>
  <c r="Q2" i="9" a="1"/>
  <c r="T6" i="9" a="1"/>
  <c r="R4" i="9" a="1"/>
  <c r="R2" i="9" a="1"/>
  <c r="U7" i="9" a="1"/>
  <c r="Q6" i="9" a="1"/>
  <c r="R6" i="9" a="1"/>
  <c r="T3" i="9" a="1"/>
  <c r="U3" i="9" a="1"/>
  <c r="U5" i="9" a="1"/>
  <c r="Q3" i="9" a="1"/>
  <c r="R3" i="9" a="1"/>
  <c r="U6" i="9" a="1"/>
  <c r="T7" i="9" a="1"/>
  <c r="Q7" i="9" a="1"/>
  <c r="R7" i="9" a="1"/>
  <c r="T4" i="9" a="1"/>
  <c r="U4" i="9" a="1"/>
  <c r="T5" i="9" a="1"/>
  <c r="Q4" i="9" a="1"/>
  <c r="Q13" i="8" a="1"/>
  <c r="R15" i="8" a="1"/>
  <c r="T18" i="8" a="1"/>
  <c r="U20" i="8" a="1"/>
  <c r="Q25" i="8" a="1"/>
  <c r="R27" i="8" a="1"/>
  <c r="T30" i="8" a="1"/>
  <c r="U32" i="8" a="1"/>
  <c r="Q37" i="8" a="1"/>
  <c r="R39" i="8" a="1"/>
  <c r="T42" i="8" a="1"/>
  <c r="U44" i="8" a="1"/>
  <c r="Q12" i="8" a="1"/>
  <c r="R14" i="8" a="1"/>
  <c r="T17" i="8" a="1"/>
  <c r="U19" i="8" a="1"/>
  <c r="Q24" i="8" a="1"/>
  <c r="R26" i="8" a="1"/>
  <c r="T29" i="8" a="1"/>
  <c r="U31" i="8" a="1"/>
  <c r="Q36" i="8" a="1"/>
  <c r="R38" i="8" a="1"/>
  <c r="T41" i="8" a="1"/>
  <c r="U43" i="8" a="1"/>
  <c r="Q48" i="8" a="1"/>
  <c r="R50" i="8" a="1"/>
  <c r="T53" i="8" a="1"/>
  <c r="U55" i="8" a="1"/>
  <c r="T51" i="8" a="1"/>
  <c r="U53" i="8" a="1"/>
  <c r="T50" i="8" a="1"/>
  <c r="R13" i="8" a="1"/>
  <c r="T16" i="8" a="1"/>
  <c r="U18" i="8" a="1"/>
  <c r="Q23" i="8" a="1"/>
  <c r="R25" i="8" a="1"/>
  <c r="T28" i="8" a="1"/>
  <c r="U30" i="8" a="1"/>
  <c r="Q35" i="8" a="1"/>
  <c r="R37" i="8" a="1"/>
  <c r="T40" i="8" a="1"/>
  <c r="U42" i="8" a="1"/>
  <c r="Q47" i="8" a="1"/>
  <c r="R49" i="8" a="1"/>
  <c r="T52" i="8" a="1"/>
  <c r="U54" i="8" a="1"/>
  <c r="R48" i="8" a="1"/>
  <c r="R12" i="8" a="1"/>
  <c r="T15" i="8" a="1"/>
  <c r="U17" i="8" a="1"/>
  <c r="Q22" i="8" a="1"/>
  <c r="R24" i="8" a="1"/>
  <c r="T27" i="8" a="1"/>
  <c r="U29" i="8" a="1"/>
  <c r="Q34" i="8" a="1"/>
  <c r="R36" i="8" a="1"/>
  <c r="T39" i="8" a="1"/>
  <c r="U41" i="8" a="1"/>
  <c r="Q46" i="8" a="1"/>
  <c r="U52" i="8" a="1"/>
  <c r="Q57" i="8" a="1"/>
  <c r="T49" i="8" a="1"/>
  <c r="U51" i="8" a="1"/>
  <c r="Q56" i="8" a="1"/>
  <c r="U56" i="8" a="1"/>
  <c r="T14" i="8" a="1"/>
  <c r="U16" i="8" a="1"/>
  <c r="Q21" i="8" a="1"/>
  <c r="R23" i="8" a="1"/>
  <c r="T26" i="8" a="1"/>
  <c r="U28" i="8" a="1"/>
  <c r="Q33" i="8" a="1"/>
  <c r="R35" i="8" a="1"/>
  <c r="T38" i="8" a="1"/>
  <c r="U40" i="8" a="1"/>
  <c r="Q45" i="8" a="1"/>
  <c r="R47" i="8" a="1"/>
  <c r="T13" i="8" a="1"/>
  <c r="U15" i="8" a="1"/>
  <c r="Q20" i="8" a="1"/>
  <c r="R22" i="8" a="1"/>
  <c r="T25" i="8" a="1"/>
  <c r="U27" i="8" a="1"/>
  <c r="Q32" i="8" a="1"/>
  <c r="R34" i="8" a="1"/>
  <c r="T37" i="8" a="1"/>
  <c r="U39" i="8" a="1"/>
  <c r="Q44" i="8" a="1"/>
  <c r="R46" i="8" a="1"/>
  <c r="T12" i="8" a="1"/>
  <c r="U14" i="8" a="1"/>
  <c r="Q19" i="8" a="1"/>
  <c r="R21" i="8" a="1"/>
  <c r="T24" i="8" a="1"/>
  <c r="U26" i="8" a="1"/>
  <c r="Q31" i="8" a="1"/>
  <c r="R33" i="8" a="1"/>
  <c r="T36" i="8" a="1"/>
  <c r="U38" i="8" a="1"/>
  <c r="Q43" i="8" a="1"/>
  <c r="R45" i="8" a="1"/>
  <c r="T48" i="8" a="1"/>
  <c r="U50" i="8" a="1"/>
  <c r="Q55" i="8" a="1"/>
  <c r="R57" i="8" a="1"/>
  <c r="T35" i="8" a="1"/>
  <c r="U37" i="8" a="1"/>
  <c r="Q42" i="8" a="1"/>
  <c r="R44" i="8" a="1"/>
  <c r="T47" i="8" a="1"/>
  <c r="U49" i="8" a="1"/>
  <c r="Q54" i="8" a="1"/>
  <c r="R56" i="8" a="1"/>
  <c r="Q50" i="8" a="1"/>
  <c r="U13" i="8" a="1"/>
  <c r="Q18" i="8" a="1"/>
  <c r="R20" i="8" a="1"/>
  <c r="T23" i="8" a="1"/>
  <c r="U25" i="8" a="1"/>
  <c r="Q30" i="8" a="1"/>
  <c r="R32" i="8" a="1"/>
  <c r="U12" i="8" a="1"/>
  <c r="Q17" i="8" a="1"/>
  <c r="R19" i="8" a="1"/>
  <c r="T22" i="8" a="1"/>
  <c r="U24" i="8" a="1"/>
  <c r="Q29" i="8" a="1"/>
  <c r="R31" i="8" a="1"/>
  <c r="T34" i="8" a="1"/>
  <c r="U36" i="8" a="1"/>
  <c r="Q41" i="8" a="1"/>
  <c r="R43" i="8" a="1"/>
  <c r="T46" i="8" a="1"/>
  <c r="U48" i="8" a="1"/>
  <c r="Q53" i="8" a="1"/>
  <c r="R55" i="8" a="1"/>
  <c r="U57" i="8" a="1"/>
  <c r="Q49" i="8" a="1"/>
  <c r="R51" i="8" a="1"/>
  <c r="T54" i="8" a="1"/>
  <c r="Q16" i="8" a="1"/>
  <c r="R18" i="8" a="1"/>
  <c r="T21" i="8" a="1"/>
  <c r="U23" i="8" a="1"/>
  <c r="Q28" i="8" a="1"/>
  <c r="R30" i="8" a="1"/>
  <c r="T33" i="8" a="1"/>
  <c r="U35" i="8" a="1"/>
  <c r="Q40" i="8" a="1"/>
  <c r="R42" i="8" a="1"/>
  <c r="T45" i="8" a="1"/>
  <c r="U47" i="8" a="1"/>
  <c r="Q52" i="8" a="1"/>
  <c r="R54" i="8" a="1"/>
  <c r="T57" i="8" a="1"/>
  <c r="T19" i="8" a="1"/>
  <c r="U21" i="8" a="1"/>
  <c r="Q26" i="8" a="1"/>
  <c r="R28" i="8" a="1"/>
  <c r="U33" i="8" a="1"/>
  <c r="Q15" i="8" a="1"/>
  <c r="R17" i="8" a="1"/>
  <c r="T20" i="8" a="1"/>
  <c r="U22" i="8" a="1"/>
  <c r="Q27" i="8" a="1"/>
  <c r="R29" i="8" a="1"/>
  <c r="T32" i="8" a="1"/>
  <c r="U34" i="8" a="1"/>
  <c r="Q39" i="8" a="1"/>
  <c r="R41" i="8" a="1"/>
  <c r="T44" i="8" a="1"/>
  <c r="U46" i="8" a="1"/>
  <c r="Q51" i="8" a="1"/>
  <c r="R53" i="8" a="1"/>
  <c r="T56" i="8" a="1"/>
  <c r="T31" i="8" a="1"/>
  <c r="U45" i="8" a="1"/>
  <c r="T55" i="8" a="1"/>
  <c r="Q14" i="8" a="1"/>
  <c r="R16" i="8" a="1"/>
  <c r="Q38" i="8" a="1"/>
  <c r="R40" i="8" a="1"/>
  <c r="T43" i="8" a="1"/>
  <c r="R52" i="8" a="1"/>
  <c r="Q3" i="8" a="1"/>
  <c r="Q9" i="8" a="1"/>
  <c r="R5" i="8" a="1"/>
  <c r="R11" i="8" a="1"/>
  <c r="T2" i="8" a="1"/>
  <c r="T8" i="8" a="1"/>
  <c r="U4" i="8" a="1"/>
  <c r="U10" i="8" a="1"/>
  <c r="Q5" i="8" a="1"/>
  <c r="T4" i="8" a="1"/>
  <c r="Q11" i="8" a="1"/>
  <c r="U6" i="8" a="1"/>
  <c r="U9" i="8" a="1"/>
  <c r="Q4" i="8" a="1"/>
  <c r="Q10" i="8" a="1"/>
  <c r="R6" i="8" a="1"/>
  <c r="T3" i="8" a="1"/>
  <c r="T9" i="8" a="1"/>
  <c r="U5" i="8" a="1"/>
  <c r="U11" i="8" a="1"/>
  <c r="R7" i="8" a="1"/>
  <c r="T10" i="8" a="1"/>
  <c r="Q6" i="8" a="1"/>
  <c r="R2" i="8" a="1"/>
  <c r="R8" i="8" a="1"/>
  <c r="T5" i="8" a="1"/>
  <c r="T11" i="8" a="1"/>
  <c r="U7" i="8" a="1"/>
  <c r="Q7" i="8" a="1"/>
  <c r="R3" i="8" a="1"/>
  <c r="U2" i="8" a="1"/>
  <c r="R4" i="8" a="1"/>
  <c r="R9" i="8" a="1"/>
  <c r="T6" i="8" a="1"/>
  <c r="U8" i="8" a="1"/>
  <c r="U3" i="8" a="1"/>
  <c r="Q2" i="8" a="1"/>
  <c r="Q8" i="8" a="1"/>
  <c r="R10" i="8" a="1"/>
  <c r="T7" i="8" a="1"/>
  <c r="Q13" i="7" a="1"/>
  <c r="R15" i="7" a="1"/>
  <c r="T18" i="7" a="1"/>
  <c r="U20" i="7" a="1"/>
  <c r="Q25" i="7" a="1"/>
  <c r="R27" i="7" a="1"/>
  <c r="T30" i="7" a="1"/>
  <c r="U32" i="7" a="1"/>
  <c r="Q37" i="7" a="1"/>
  <c r="R39" i="7" a="1"/>
  <c r="T42" i="7" a="1"/>
  <c r="U44" i="7" a="1"/>
  <c r="Q49" i="7" a="1"/>
  <c r="R51" i="7" a="1"/>
  <c r="T54" i="7" a="1"/>
  <c r="Q12" i="7" a="1"/>
  <c r="R14" i="7" a="1"/>
  <c r="T17" i="7" a="1"/>
  <c r="U19" i="7" a="1"/>
  <c r="Q24" i="7" a="1"/>
  <c r="R26" i="7" a="1"/>
  <c r="T29" i="7" a="1"/>
  <c r="U31" i="7" a="1"/>
  <c r="Q36" i="7" a="1"/>
  <c r="R38" i="7" a="1"/>
  <c r="T41" i="7" a="1"/>
  <c r="U43" i="7" a="1"/>
  <c r="Q48" i="7" a="1"/>
  <c r="R50" i="7" a="1"/>
  <c r="T53" i="7" a="1"/>
  <c r="U55" i="7" a="1"/>
  <c r="Q60" i="7" a="1"/>
  <c r="R62" i="7" a="1"/>
  <c r="T65" i="7" a="1"/>
  <c r="U67" i="7" a="1"/>
  <c r="Q72" i="7" a="1"/>
  <c r="R74" i="7" a="1"/>
  <c r="Q22" i="7" a="1"/>
  <c r="R24" i="7" a="1"/>
  <c r="U41" i="7" a="1"/>
  <c r="R48" i="7" a="1"/>
  <c r="R13" i="7" a="1"/>
  <c r="T16" i="7" a="1"/>
  <c r="U18" i="7" a="1"/>
  <c r="Q23" i="7" a="1"/>
  <c r="R25" i="7" a="1"/>
  <c r="T28" i="7" a="1"/>
  <c r="U30" i="7" a="1"/>
  <c r="Q35" i="7" a="1"/>
  <c r="R37" i="7" a="1"/>
  <c r="T40" i="7" a="1"/>
  <c r="U42" i="7" a="1"/>
  <c r="Q47" i="7" a="1"/>
  <c r="R49" i="7" a="1"/>
  <c r="T52" i="7" a="1"/>
  <c r="U54" i="7" a="1"/>
  <c r="Q59" i="7" a="1"/>
  <c r="R61" i="7" a="1"/>
  <c r="T64" i="7" a="1"/>
  <c r="U66" i="7" a="1"/>
  <c r="Q71" i="7" a="1"/>
  <c r="R73" i="7" a="1"/>
  <c r="U29" i="7" a="1"/>
  <c r="Q34" i="7" a="1"/>
  <c r="R36" i="7" a="1"/>
  <c r="T39" i="7" a="1"/>
  <c r="Q43" i="7" a="1"/>
  <c r="R57" i="7" a="1"/>
  <c r="R69" i="7" a="1"/>
  <c r="R12" i="7" a="1"/>
  <c r="T15" i="7" a="1"/>
  <c r="U17" i="7" a="1"/>
  <c r="T27" i="7" a="1"/>
  <c r="Q46" i="7" a="1"/>
  <c r="T14" i="7" a="1"/>
  <c r="U16" i="7" a="1"/>
  <c r="Q21" i="7" a="1"/>
  <c r="R23" i="7" a="1"/>
  <c r="T26" i="7" a="1"/>
  <c r="U28" i="7" a="1"/>
  <c r="Q33" i="7" a="1"/>
  <c r="R35" i="7" a="1"/>
  <c r="T13" i="7" a="1"/>
  <c r="U15" i="7" a="1"/>
  <c r="Q20" i="7" a="1"/>
  <c r="R22" i="7" a="1"/>
  <c r="T25" i="7" a="1"/>
  <c r="U27" i="7" a="1"/>
  <c r="Q32" i="7" a="1"/>
  <c r="R34" i="7" a="1"/>
  <c r="T37" i="7" a="1"/>
  <c r="U39" i="7" a="1"/>
  <c r="Q44" i="7" a="1"/>
  <c r="R46" i="7" a="1"/>
  <c r="T49" i="7" a="1"/>
  <c r="U51" i="7" a="1"/>
  <c r="Q56" i="7" a="1"/>
  <c r="R58" i="7" a="1"/>
  <c r="T61" i="7" a="1"/>
  <c r="U63" i="7" a="1"/>
  <c r="Q68" i="7" a="1"/>
  <c r="R70" i="7" a="1"/>
  <c r="T73" i="7" a="1"/>
  <c r="T12" i="7" a="1"/>
  <c r="U14" i="7" a="1"/>
  <c r="Q19" i="7" a="1"/>
  <c r="R21" i="7" a="1"/>
  <c r="T24" i="7" a="1"/>
  <c r="U26" i="7" a="1"/>
  <c r="Q31" i="7" a="1"/>
  <c r="R33" i="7" a="1"/>
  <c r="T36" i="7" a="1"/>
  <c r="U38" i="7" a="1"/>
  <c r="U13" i="7" a="1"/>
  <c r="Q18" i="7" a="1"/>
  <c r="R20" i="7" a="1"/>
  <c r="T23" i="7" a="1"/>
  <c r="U25" i="7" a="1"/>
  <c r="Q30" i="7" a="1"/>
  <c r="R32" i="7" a="1"/>
  <c r="T35" i="7" a="1"/>
  <c r="U37" i="7" a="1"/>
  <c r="Q42" i="7" a="1"/>
  <c r="R44" i="7" a="1"/>
  <c r="T47" i="7" a="1"/>
  <c r="U49" i="7" a="1"/>
  <c r="Q54" i="7" a="1"/>
  <c r="R56" i="7" a="1"/>
  <c r="T59" i="7" a="1"/>
  <c r="U61" i="7" a="1"/>
  <c r="Q66" i="7" a="1"/>
  <c r="R68" i="7" a="1"/>
  <c r="T71" i="7" a="1"/>
  <c r="U73" i="7" a="1"/>
  <c r="Q53" i="7" a="1"/>
  <c r="R55" i="7" a="1"/>
  <c r="T58" i="7" a="1"/>
  <c r="U60" i="7" a="1"/>
  <c r="Q65" i="7" a="1"/>
  <c r="R67" i="7" a="1"/>
  <c r="T70" i="7" a="1"/>
  <c r="U72" i="7" a="1"/>
  <c r="T44" i="7" a="1"/>
  <c r="U46" i="7" a="1"/>
  <c r="Q51" i="7" a="1"/>
  <c r="U70" i="7" a="1"/>
  <c r="U68" i="7" a="1"/>
  <c r="Q73" i="7" a="1"/>
  <c r="U12" i="7" a="1"/>
  <c r="Q17" i="7" a="1"/>
  <c r="R19" i="7" a="1"/>
  <c r="T22" i="7" a="1"/>
  <c r="U24" i="7" a="1"/>
  <c r="Q29" i="7" a="1"/>
  <c r="R31" i="7" a="1"/>
  <c r="T34" i="7" a="1"/>
  <c r="U36" i="7" a="1"/>
  <c r="Q41" i="7" a="1"/>
  <c r="R43" i="7" a="1"/>
  <c r="T46" i="7" a="1"/>
  <c r="U48" i="7" a="1"/>
  <c r="T38" i="7" a="1"/>
  <c r="Q45" i="7" a="1"/>
  <c r="T50" i="7" a="1"/>
  <c r="Q57" i="7" a="1"/>
  <c r="U64" i="7" a="1"/>
  <c r="Q69" i="7" a="1"/>
  <c r="R71" i="7" a="1"/>
  <c r="T74" i="7" a="1"/>
  <c r="U50" i="7" a="1"/>
  <c r="T72" i="7" a="1"/>
  <c r="Q16" i="7" a="1"/>
  <c r="R18" i="7" a="1"/>
  <c r="T21" i="7" a="1"/>
  <c r="U23" i="7" a="1"/>
  <c r="Q28" i="7" a="1"/>
  <c r="R30" i="7" a="1"/>
  <c r="T33" i="7" a="1"/>
  <c r="U35" i="7" a="1"/>
  <c r="Q40" i="7" a="1"/>
  <c r="R42" i="7" a="1"/>
  <c r="T45" i="7" a="1"/>
  <c r="U47" i="7" a="1"/>
  <c r="Q52" i="7" a="1"/>
  <c r="R54" i="7" a="1"/>
  <c r="T57" i="7" a="1"/>
  <c r="U59" i="7" a="1"/>
  <c r="Q64" i="7" a="1"/>
  <c r="R66" i="7" a="1"/>
  <c r="T69" i="7" a="1"/>
  <c r="U71" i="7" a="1"/>
  <c r="Q15" i="7" a="1"/>
  <c r="R17" i="7" a="1"/>
  <c r="T20" i="7" a="1"/>
  <c r="U22" i="7" a="1"/>
  <c r="Q27" i="7" a="1"/>
  <c r="R29" i="7" a="1"/>
  <c r="T32" i="7" a="1"/>
  <c r="U34" i="7" a="1"/>
  <c r="Q39" i="7" a="1"/>
  <c r="R41" i="7" a="1"/>
  <c r="R53" i="7" a="1"/>
  <c r="T56" i="7" a="1"/>
  <c r="U58" i="7" a="1"/>
  <c r="Q63" i="7" a="1"/>
  <c r="R65" i="7" a="1"/>
  <c r="T68" i="7" a="1"/>
  <c r="T51" i="7" a="1"/>
  <c r="Q55" i="7" a="1"/>
  <c r="U62" i="7" a="1"/>
  <c r="U74" i="7" a="1"/>
  <c r="Q14" i="7" a="1"/>
  <c r="R16" i="7" a="1"/>
  <c r="T19" i="7" a="1"/>
  <c r="U21" i="7" a="1"/>
  <c r="Q26" i="7" a="1"/>
  <c r="R28" i="7" a="1"/>
  <c r="T31" i="7" a="1"/>
  <c r="U33" i="7" a="1"/>
  <c r="Q38" i="7" a="1"/>
  <c r="R40" i="7" a="1"/>
  <c r="T43" i="7" a="1"/>
  <c r="U45" i="7" a="1"/>
  <c r="Q50" i="7" a="1"/>
  <c r="R52" i="7" a="1"/>
  <c r="T55" i="7" a="1"/>
  <c r="U57" i="7" a="1"/>
  <c r="Q62" i="7" a="1"/>
  <c r="R64" i="7" a="1"/>
  <c r="T67" i="7" a="1"/>
  <c r="U69" i="7" a="1"/>
  <c r="Q74" i="7" a="1"/>
  <c r="U56" i="7" a="1"/>
  <c r="Q61" i="7" a="1"/>
  <c r="R63" i="7" a="1"/>
  <c r="T66" i="7" a="1"/>
  <c r="U53" i="7" a="1"/>
  <c r="Q58" i="7" a="1"/>
  <c r="R60" i="7" a="1"/>
  <c r="T63" i="7" a="1"/>
  <c r="U65" i="7" a="1"/>
  <c r="Q70" i="7" a="1"/>
  <c r="R72" i="7" a="1"/>
  <c r="U40" i="7" a="1"/>
  <c r="R47" i="7" a="1"/>
  <c r="U52" i="7" a="1"/>
  <c r="R59" i="7" a="1"/>
  <c r="T62" i="7" a="1"/>
  <c r="R45" i="7" a="1"/>
  <c r="T48" i="7" a="1"/>
  <c r="T60" i="7" a="1"/>
  <c r="Q67" i="7" a="1"/>
  <c r="Q3" i="7" a="1"/>
  <c r="Q9" i="7" a="1"/>
  <c r="R5" i="7" a="1"/>
  <c r="R11" i="7" a="1"/>
  <c r="T2" i="7" a="1"/>
  <c r="T8" i="7" a="1"/>
  <c r="U4" i="7" a="1"/>
  <c r="U10" i="7" a="1"/>
  <c r="Q4" i="7" a="1"/>
  <c r="R6" i="7" a="1"/>
  <c r="T3" i="7" a="1"/>
  <c r="T9" i="7" a="1"/>
  <c r="U5" i="7" a="1"/>
  <c r="U11" i="7" a="1"/>
  <c r="R9" i="7" a="1"/>
  <c r="U8" i="7" a="1"/>
  <c r="R4" i="7" a="1"/>
  <c r="U3" i="7" a="1"/>
  <c r="Q10" i="7" a="1"/>
  <c r="R3" i="7" a="1"/>
  <c r="U2" i="7" a="1"/>
  <c r="Q2" i="7" a="1"/>
  <c r="T7" i="7" a="1"/>
  <c r="Q5" i="7" a="1"/>
  <c r="Q11" i="7" a="1"/>
  <c r="R7" i="7" a="1"/>
  <c r="T4" i="7" a="1"/>
  <c r="T10" i="7" a="1"/>
  <c r="U6" i="7" a="1"/>
  <c r="Q6" i="7" a="1"/>
  <c r="R2" i="7" a="1"/>
  <c r="R8" i="7" a="1"/>
  <c r="T5" i="7" a="1"/>
  <c r="T11" i="7" a="1"/>
  <c r="U7" i="7" a="1"/>
  <c r="Q7" i="7" a="1"/>
  <c r="T6" i="7" a="1"/>
  <c r="Q8" i="7" a="1"/>
  <c r="R10" i="7" a="1"/>
  <c r="U9" i="7" a="1"/>
  <c r="Q8" i="5" a="1"/>
  <c r="R10" i="5" a="1"/>
  <c r="T13" i="5" a="1"/>
  <c r="U15" i="5" a="1"/>
  <c r="Q20" i="5" a="1"/>
  <c r="R22" i="5" a="1"/>
  <c r="T25" i="5" a="1"/>
  <c r="U27" i="5" a="1"/>
  <c r="Q32" i="5" a="1"/>
  <c r="R34" i="5" a="1"/>
  <c r="T37" i="5" a="1"/>
  <c r="U39" i="5" a="1"/>
  <c r="Q44" i="5" a="1"/>
  <c r="R46" i="5" a="1"/>
  <c r="T49" i="5" a="1"/>
  <c r="U51" i="5" a="1"/>
  <c r="Q56" i="5" a="1"/>
  <c r="R58" i="5" a="1"/>
  <c r="T61" i="5" a="1"/>
  <c r="U63" i="5" a="1"/>
  <c r="Q68" i="5" a="1"/>
  <c r="R70" i="5" a="1"/>
  <c r="T73" i="5" a="1"/>
  <c r="U75" i="5" a="1"/>
  <c r="Q80" i="5" a="1"/>
  <c r="R82" i="5" a="1"/>
  <c r="T85" i="5" a="1"/>
  <c r="U87" i="5" a="1"/>
  <c r="Q92" i="5" a="1"/>
  <c r="R94" i="5" a="1"/>
  <c r="T97" i="5" a="1"/>
  <c r="U99" i="5" a="1"/>
  <c r="T72" i="5" a="1"/>
  <c r="R81" i="5" a="1"/>
  <c r="T84" i="5" a="1"/>
  <c r="U86" i="5" a="1"/>
  <c r="T69" i="5" a="1"/>
  <c r="U71" i="5" a="1"/>
  <c r="Q76" i="5" a="1"/>
  <c r="R78" i="5" a="1"/>
  <c r="Q7" i="5" a="1"/>
  <c r="R9" i="5" a="1"/>
  <c r="T12" i="5" a="1"/>
  <c r="U14" i="5" a="1"/>
  <c r="Q19" i="5" a="1"/>
  <c r="R21" i="5" a="1"/>
  <c r="T24" i="5" a="1"/>
  <c r="U26" i="5" a="1"/>
  <c r="Q31" i="5" a="1"/>
  <c r="R33" i="5" a="1"/>
  <c r="T36" i="5" a="1"/>
  <c r="U38" i="5" a="1"/>
  <c r="Q43" i="5" a="1"/>
  <c r="R45" i="5" a="1"/>
  <c r="T48" i="5" a="1"/>
  <c r="U50" i="5" a="1"/>
  <c r="Q55" i="5" a="1"/>
  <c r="R57" i="5" a="1"/>
  <c r="T60" i="5" a="1"/>
  <c r="U62" i="5" a="1"/>
  <c r="Q67" i="5" a="1"/>
  <c r="R69" i="5" a="1"/>
  <c r="U74" i="5" a="1"/>
  <c r="Q79" i="5" a="1"/>
  <c r="Q91" i="5" a="1"/>
  <c r="R93" i="5" a="1"/>
  <c r="T96" i="5" a="1"/>
  <c r="U98" i="5" a="1"/>
  <c r="T94" i="5" a="1"/>
  <c r="R8" i="5" a="1"/>
  <c r="T11" i="5" a="1"/>
  <c r="U13" i="5" a="1"/>
  <c r="Q18" i="5" a="1"/>
  <c r="R20" i="5" a="1"/>
  <c r="T23" i="5" a="1"/>
  <c r="U25" i="5" a="1"/>
  <c r="Q30" i="5" a="1"/>
  <c r="R32" i="5" a="1"/>
  <c r="T35" i="5" a="1"/>
  <c r="U37" i="5" a="1"/>
  <c r="Q42" i="5" a="1"/>
  <c r="R44" i="5" a="1"/>
  <c r="T47" i="5" a="1"/>
  <c r="U49" i="5" a="1"/>
  <c r="Q54" i="5" a="1"/>
  <c r="R56" i="5" a="1"/>
  <c r="T59" i="5" a="1"/>
  <c r="U61" i="5" a="1"/>
  <c r="Q66" i="5" a="1"/>
  <c r="R68" i="5" a="1"/>
  <c r="T71" i="5" a="1"/>
  <c r="U73" i="5" a="1"/>
  <c r="Q78" i="5" a="1"/>
  <c r="R80" i="5" a="1"/>
  <c r="T83" i="5" a="1"/>
  <c r="U85" i="5" a="1"/>
  <c r="Q90" i="5" a="1"/>
  <c r="R92" i="5" a="1"/>
  <c r="T95" i="5" a="1"/>
  <c r="R7" i="5" a="1"/>
  <c r="T10" i="5" a="1"/>
  <c r="U12" i="5" a="1"/>
  <c r="Q17" i="5" a="1"/>
  <c r="R19" i="5" a="1"/>
  <c r="T22" i="5" a="1"/>
  <c r="U24" i="5" a="1"/>
  <c r="Q29" i="5" a="1"/>
  <c r="R31" i="5" a="1"/>
  <c r="T34" i="5" a="1"/>
  <c r="U36" i="5" a="1"/>
  <c r="Q41" i="5" a="1"/>
  <c r="R43" i="5" a="1"/>
  <c r="T46" i="5" a="1"/>
  <c r="U48" i="5" a="1"/>
  <c r="Q53" i="5" a="1"/>
  <c r="R55" i="5" a="1"/>
  <c r="T58" i="5" a="1"/>
  <c r="U60" i="5" a="1"/>
  <c r="Q65" i="5" a="1"/>
  <c r="R67" i="5" a="1"/>
  <c r="T70" i="5" a="1"/>
  <c r="U72" i="5" a="1"/>
  <c r="Q77" i="5" a="1"/>
  <c r="R79" i="5" a="1"/>
  <c r="T82" i="5" a="1"/>
  <c r="U84" i="5" a="1"/>
  <c r="Q89" i="5" a="1"/>
  <c r="R91" i="5" a="1"/>
  <c r="T81" i="5" a="1"/>
  <c r="T9" i="5" a="1"/>
  <c r="U11" i="5" a="1"/>
  <c r="Q16" i="5" a="1"/>
  <c r="R18" i="5" a="1"/>
  <c r="T21" i="5" a="1"/>
  <c r="U23" i="5" a="1"/>
  <c r="Q28" i="5" a="1"/>
  <c r="R30" i="5" a="1"/>
  <c r="T33" i="5" a="1"/>
  <c r="U35" i="5" a="1"/>
  <c r="Q40" i="5" a="1"/>
  <c r="R42" i="5" a="1"/>
  <c r="T45" i="5" a="1"/>
  <c r="U47" i="5" a="1"/>
  <c r="Q52" i="5" a="1"/>
  <c r="R54" i="5" a="1"/>
  <c r="T57" i="5" a="1"/>
  <c r="U59" i="5" a="1"/>
  <c r="Q64" i="5" a="1"/>
  <c r="R66" i="5" a="1"/>
  <c r="T8" i="5" a="1"/>
  <c r="U10" i="5" a="1"/>
  <c r="Q15" i="5" a="1"/>
  <c r="R17" i="5" a="1"/>
  <c r="T20" i="5" a="1"/>
  <c r="U22" i="5" a="1"/>
  <c r="Q27" i="5" a="1"/>
  <c r="R29" i="5" a="1"/>
  <c r="T32" i="5" a="1"/>
  <c r="U34" i="5" a="1"/>
  <c r="Q39" i="5" a="1"/>
  <c r="R41" i="5" a="1"/>
  <c r="T44" i="5" a="1"/>
  <c r="U46" i="5" a="1"/>
  <c r="T7" i="5" a="1"/>
  <c r="U9" i="5" a="1"/>
  <c r="Q14" i="5" a="1"/>
  <c r="R16" i="5" a="1"/>
  <c r="T19" i="5" a="1"/>
  <c r="U21" i="5" a="1"/>
  <c r="Q26" i="5" a="1"/>
  <c r="R28" i="5" a="1"/>
  <c r="U8" i="5" a="1"/>
  <c r="Q13" i="5" a="1"/>
  <c r="R15" i="5" a="1"/>
  <c r="T18" i="5" a="1"/>
  <c r="U20" i="5" a="1"/>
  <c r="Q25" i="5" a="1"/>
  <c r="R27" i="5" a="1"/>
  <c r="T30" i="5" a="1"/>
  <c r="U32" i="5" a="1"/>
  <c r="Q37" i="5" a="1"/>
  <c r="R39" i="5" a="1"/>
  <c r="T42" i="5" a="1"/>
  <c r="U44" i="5" a="1"/>
  <c r="Q49" i="5" a="1"/>
  <c r="R51" i="5" a="1"/>
  <c r="T54" i="5" a="1"/>
  <c r="U56" i="5" a="1"/>
  <c r="Q61" i="5" a="1"/>
  <c r="R63" i="5" a="1"/>
  <c r="T66" i="5" a="1"/>
  <c r="U68" i="5" a="1"/>
  <c r="Q73" i="5" a="1"/>
  <c r="R75" i="5" a="1"/>
  <c r="T78" i="5" a="1"/>
  <c r="U80" i="5" a="1"/>
  <c r="Q85" i="5" a="1"/>
  <c r="R87" i="5" a="1"/>
  <c r="T90" i="5" a="1"/>
  <c r="U92" i="5" a="1"/>
  <c r="Q97" i="5" a="1"/>
  <c r="R99" i="5" a="1"/>
  <c r="Q36" i="5" a="1"/>
  <c r="R38" i="5" a="1"/>
  <c r="T41" i="5" a="1"/>
  <c r="R50" i="5" a="1"/>
  <c r="U55" i="5" a="1"/>
  <c r="T65" i="5" a="1"/>
  <c r="U67" i="5" a="1"/>
  <c r="Q72" i="5" a="1"/>
  <c r="U7" i="5" a="1"/>
  <c r="Q12" i="5" a="1"/>
  <c r="R14" i="5" a="1"/>
  <c r="T17" i="5" a="1"/>
  <c r="U19" i="5" a="1"/>
  <c r="Q24" i="5" a="1"/>
  <c r="R26" i="5" a="1"/>
  <c r="T29" i="5" a="1"/>
  <c r="U31" i="5" a="1"/>
  <c r="U43" i="5" a="1"/>
  <c r="Q48" i="5" a="1"/>
  <c r="T53" i="5" a="1"/>
  <c r="Q60" i="5" a="1"/>
  <c r="R62" i="5" a="1"/>
  <c r="R74" i="5" a="1"/>
  <c r="T77" i="5" a="1"/>
  <c r="U79" i="5" a="1"/>
  <c r="Q11" i="5" a="1"/>
  <c r="R13" i="5" a="1"/>
  <c r="T16" i="5" a="1"/>
  <c r="U18" i="5" a="1"/>
  <c r="Q23" i="5" a="1"/>
  <c r="R25" i="5" a="1"/>
  <c r="T28" i="5" a="1"/>
  <c r="U30" i="5" a="1"/>
  <c r="Q35" i="5" a="1"/>
  <c r="R37" i="5" a="1"/>
  <c r="T40" i="5" a="1"/>
  <c r="U42" i="5" a="1"/>
  <c r="Q47" i="5" a="1"/>
  <c r="R49" i="5" a="1"/>
  <c r="T52" i="5" a="1"/>
  <c r="U54" i="5" a="1"/>
  <c r="Q59" i="5" a="1"/>
  <c r="R61" i="5" a="1"/>
  <c r="T64" i="5" a="1"/>
  <c r="U66" i="5" a="1"/>
  <c r="Q71" i="5" a="1"/>
  <c r="R73" i="5" a="1"/>
  <c r="T76" i="5" a="1"/>
  <c r="U78" i="5" a="1"/>
  <c r="Q83" i="5" a="1"/>
  <c r="R85" i="5" a="1"/>
  <c r="T88" i="5" a="1"/>
  <c r="U90" i="5" a="1"/>
  <c r="Q95" i="5" a="1"/>
  <c r="R97" i="5" a="1"/>
  <c r="Q94" i="5" a="1"/>
  <c r="U88" i="5" a="1"/>
  <c r="T98" i="5" a="1"/>
  <c r="U97" i="5" a="1"/>
  <c r="Q10" i="5" a="1"/>
  <c r="R12" i="5" a="1"/>
  <c r="T15" i="5" a="1"/>
  <c r="U17" i="5" a="1"/>
  <c r="Q22" i="5" a="1"/>
  <c r="R24" i="5" a="1"/>
  <c r="T27" i="5" a="1"/>
  <c r="U29" i="5" a="1"/>
  <c r="Q34" i="5" a="1"/>
  <c r="R36" i="5" a="1"/>
  <c r="T39" i="5" a="1"/>
  <c r="U41" i="5" a="1"/>
  <c r="Q46" i="5" a="1"/>
  <c r="R48" i="5" a="1"/>
  <c r="T51" i="5" a="1"/>
  <c r="U53" i="5" a="1"/>
  <c r="Q58" i="5" a="1"/>
  <c r="R60" i="5" a="1"/>
  <c r="T63" i="5" a="1"/>
  <c r="U65" i="5" a="1"/>
  <c r="Q70" i="5" a="1"/>
  <c r="R72" i="5" a="1"/>
  <c r="T75" i="5" a="1"/>
  <c r="U77" i="5" a="1"/>
  <c r="Q82" i="5" a="1"/>
  <c r="R84" i="5" a="1"/>
  <c r="T87" i="5" a="1"/>
  <c r="U89" i="5" a="1"/>
  <c r="R96" i="5" a="1"/>
  <c r="T99" i="5" a="1"/>
  <c r="Q9" i="5" a="1"/>
  <c r="R11" i="5" a="1"/>
  <c r="T14" i="5" a="1"/>
  <c r="U16" i="5" a="1"/>
  <c r="Q21" i="5" a="1"/>
  <c r="R23" i="5" a="1"/>
  <c r="T26" i="5" a="1"/>
  <c r="U28" i="5" a="1"/>
  <c r="Q33" i="5" a="1"/>
  <c r="R35" i="5" a="1"/>
  <c r="T38" i="5" a="1"/>
  <c r="U40" i="5" a="1"/>
  <c r="Q45" i="5" a="1"/>
  <c r="R47" i="5" a="1"/>
  <c r="T50" i="5" a="1"/>
  <c r="U52" i="5" a="1"/>
  <c r="Q57" i="5" a="1"/>
  <c r="R59" i="5" a="1"/>
  <c r="T62" i="5" a="1"/>
  <c r="U64" i="5" a="1"/>
  <c r="Q69" i="5" a="1"/>
  <c r="R71" i="5" a="1"/>
  <c r="T74" i="5" a="1"/>
  <c r="U76" i="5" a="1"/>
  <c r="Q81" i="5" a="1"/>
  <c r="R83" i="5" a="1"/>
  <c r="T86" i="5" a="1"/>
  <c r="Q93" i="5" a="1"/>
  <c r="R95" i="5" a="1"/>
  <c r="U96" i="5" a="1"/>
  <c r="U57" i="5" a="1"/>
  <c r="Q86" i="5" a="1"/>
  <c r="T91" i="5" a="1"/>
  <c r="Q38" i="5" a="1"/>
  <c r="Q50" i="5" a="1"/>
  <c r="T89" i="5" a="1"/>
  <c r="T43" i="5" a="1"/>
  <c r="Q63" i="5" a="1"/>
  <c r="R76" i="5" a="1"/>
  <c r="T80" i="5" a="1"/>
  <c r="U83" i="5" a="1"/>
  <c r="R86" i="5" a="1"/>
  <c r="R89" i="5" a="1"/>
  <c r="U91" i="5" a="1"/>
  <c r="Q87" i="5" a="1"/>
  <c r="U45" i="5" a="1"/>
  <c r="U58" i="5" a="1"/>
  <c r="T67" i="5" a="1"/>
  <c r="U94" i="5" a="1"/>
  <c r="R77" i="5" a="1"/>
  <c r="T92" i="5" a="1"/>
  <c r="Q98" i="5" a="1"/>
  <c r="Q51" i="5" a="1"/>
  <c r="R64" i="5" a="1"/>
  <c r="Q84" i="5" a="1"/>
  <c r="R90" i="5" a="1"/>
  <c r="U95" i="5" a="1"/>
  <c r="Q99" i="5" a="1"/>
  <c r="R52" i="5" a="1"/>
  <c r="Q75" i="5" a="1"/>
  <c r="T79" i="5" a="1"/>
  <c r="U82" i="5" a="1"/>
  <c r="U93" i="5" a="1"/>
  <c r="R53" i="5" a="1"/>
  <c r="T31" i="5" a="1"/>
  <c r="T68" i="5" a="1"/>
  <c r="R98" i="5" a="1"/>
  <c r="T55" i="5" a="1"/>
  <c r="U81" i="5" a="1"/>
  <c r="Q74" i="5" a="1"/>
  <c r="Q88" i="5" a="1"/>
  <c r="T56" i="5" a="1"/>
  <c r="T93" i="5" a="1"/>
  <c r="Q96" i="5" a="1"/>
  <c r="U33" i="5" a="1"/>
  <c r="R40" i="5" a="1"/>
  <c r="R65" i="5" a="1"/>
  <c r="U70" i="5" a="1"/>
  <c r="U69" i="5" a="1"/>
  <c r="R88" i="5" a="1"/>
  <c r="Q62" i="5" a="1"/>
  <c r="T5" i="5" a="1"/>
  <c r="U6" i="5" a="1"/>
  <c r="Q2" i="5" a="1"/>
  <c r="R5" i="5" a="1"/>
  <c r="R6" i="5" a="1"/>
  <c r="Q6" i="5" a="1"/>
  <c r="R2" i="5" a="1"/>
  <c r="U2" i="5" a="1"/>
  <c r="Q4" i="5" a="1"/>
  <c r="U5" i="5" a="1"/>
  <c r="T6" i="5" a="1"/>
  <c r="R3" i="5" a="1"/>
  <c r="T4" i="5" a="1"/>
  <c r="T2" i="5" a="1"/>
  <c r="U3" i="5" a="1"/>
  <c r="Q3" i="5" a="1"/>
  <c r="R4" i="5" a="1"/>
  <c r="T3" i="5" a="1"/>
  <c r="U4" i="5" a="1"/>
  <c r="Q5" i="5" a="1"/>
  <c r="Q12" i="4" a="1"/>
  <c r="R14" i="4" a="1"/>
  <c r="T17" i="4" a="1"/>
  <c r="U19" i="4" a="1"/>
  <c r="Q24" i="4" a="1"/>
  <c r="R26" i="4" a="1"/>
  <c r="T29" i="4" a="1"/>
  <c r="U31" i="4" a="1"/>
  <c r="Q36" i="4" a="1"/>
  <c r="R38" i="4" a="1"/>
  <c r="T41" i="4" a="1"/>
  <c r="U43" i="4" a="1"/>
  <c r="Q48" i="4" a="1"/>
  <c r="R50" i="4" a="1"/>
  <c r="T53" i="4" a="1"/>
  <c r="U55" i="4" a="1"/>
  <c r="Q60" i="4" a="1"/>
  <c r="R62" i="4" a="1"/>
  <c r="T65" i="4" a="1"/>
  <c r="U67" i="4" a="1"/>
  <c r="Q72" i="4" a="1"/>
  <c r="R74" i="4" a="1"/>
  <c r="Q46" i="4" a="1"/>
  <c r="T51" i="4" a="1"/>
  <c r="U64" i="4" a="1"/>
  <c r="R71" i="4" a="1"/>
  <c r="U63" i="4" a="1"/>
  <c r="Q11" i="4" a="1"/>
  <c r="R13" i="4" a="1"/>
  <c r="T16" i="4" a="1"/>
  <c r="U18" i="4" a="1"/>
  <c r="Q23" i="4" a="1"/>
  <c r="R25" i="4" a="1"/>
  <c r="T28" i="4" a="1"/>
  <c r="U30" i="4" a="1"/>
  <c r="Q35" i="4" a="1"/>
  <c r="R37" i="4" a="1"/>
  <c r="T40" i="4" a="1"/>
  <c r="U42" i="4" a="1"/>
  <c r="Q47" i="4" a="1"/>
  <c r="R49" i="4" a="1"/>
  <c r="T52" i="4" a="1"/>
  <c r="U54" i="4" a="1"/>
  <c r="Q59" i="4" a="1"/>
  <c r="R61" i="4" a="1"/>
  <c r="T64" i="4" a="1"/>
  <c r="U66" i="4" a="1"/>
  <c r="Q71" i="4" a="1"/>
  <c r="R73" i="4" a="1"/>
  <c r="T76" i="4" a="1"/>
  <c r="T39" i="4" a="1"/>
  <c r="U41" i="4" a="1"/>
  <c r="R48" i="4" a="1"/>
  <c r="U53" i="4" a="1"/>
  <c r="Q58" i="4" a="1"/>
  <c r="R60" i="4" a="1"/>
  <c r="T63" i="4" a="1"/>
  <c r="U65" i="4" a="1"/>
  <c r="R12" i="4" a="1"/>
  <c r="T15" i="4" a="1"/>
  <c r="U17" i="4" a="1"/>
  <c r="Q22" i="4" a="1"/>
  <c r="R24" i="4" a="1"/>
  <c r="T27" i="4" a="1"/>
  <c r="U29" i="4" a="1"/>
  <c r="Q34" i="4" a="1"/>
  <c r="R36" i="4" a="1"/>
  <c r="R11" i="4" a="1"/>
  <c r="T14" i="4" a="1"/>
  <c r="U16" i="4" a="1"/>
  <c r="Q21" i="4" a="1"/>
  <c r="R23" i="4" a="1"/>
  <c r="T26" i="4" a="1"/>
  <c r="U28" i="4" a="1"/>
  <c r="Q33" i="4" a="1"/>
  <c r="R35" i="4" a="1"/>
  <c r="T38" i="4" a="1"/>
  <c r="U40" i="4" a="1"/>
  <c r="Q45" i="4" a="1"/>
  <c r="R47" i="4" a="1"/>
  <c r="T13" i="4" a="1"/>
  <c r="U15" i="4" a="1"/>
  <c r="Q20" i="4" a="1"/>
  <c r="R22" i="4" a="1"/>
  <c r="T25" i="4" a="1"/>
  <c r="U27" i="4" a="1"/>
  <c r="Q32" i="4" a="1"/>
  <c r="R34" i="4" a="1"/>
  <c r="T37" i="4" a="1"/>
  <c r="U39" i="4" a="1"/>
  <c r="Q44" i="4" a="1"/>
  <c r="R46" i="4" a="1"/>
  <c r="T49" i="4" a="1"/>
  <c r="U51" i="4" a="1"/>
  <c r="Q56" i="4" a="1"/>
  <c r="R58" i="4" a="1"/>
  <c r="T61" i="4" a="1"/>
  <c r="T12" i="4" a="1"/>
  <c r="U14" i="4" a="1"/>
  <c r="Q19" i="4" a="1"/>
  <c r="R21" i="4" a="1"/>
  <c r="T24" i="4" a="1"/>
  <c r="U26" i="4" a="1"/>
  <c r="Q31" i="4" a="1"/>
  <c r="R33" i="4" a="1"/>
  <c r="T36" i="4" a="1"/>
  <c r="U38" i="4" a="1"/>
  <c r="Q43" i="4" a="1"/>
  <c r="R45" i="4" a="1"/>
  <c r="T48" i="4" a="1"/>
  <c r="U50" i="4" a="1"/>
  <c r="Q55" i="4" a="1"/>
  <c r="R57" i="4" a="1"/>
  <c r="T11" i="4" a="1"/>
  <c r="U13" i="4" a="1"/>
  <c r="Q18" i="4" a="1"/>
  <c r="R20" i="4" a="1"/>
  <c r="T23" i="4" a="1"/>
  <c r="U25" i="4" a="1"/>
  <c r="Q30" i="4" a="1"/>
  <c r="R32" i="4" a="1"/>
  <c r="T35" i="4" a="1"/>
  <c r="U37" i="4" a="1"/>
  <c r="Q42" i="4" a="1"/>
  <c r="R44" i="4" a="1"/>
  <c r="T47" i="4" a="1"/>
  <c r="U12" i="4" a="1"/>
  <c r="Q17" i="4" a="1"/>
  <c r="R19" i="4" a="1"/>
  <c r="T22" i="4" a="1"/>
  <c r="U24" i="4" a="1"/>
  <c r="Q29" i="4" a="1"/>
  <c r="R31" i="4" a="1"/>
  <c r="T34" i="4" a="1"/>
  <c r="U36" i="4" a="1"/>
  <c r="Q41" i="4" a="1"/>
  <c r="R43" i="4" a="1"/>
  <c r="U11" i="4" a="1"/>
  <c r="Q16" i="4" a="1"/>
  <c r="R18" i="4" a="1"/>
  <c r="T21" i="4" a="1"/>
  <c r="U23" i="4" a="1"/>
  <c r="Q28" i="4" a="1"/>
  <c r="R30" i="4" a="1"/>
  <c r="T33" i="4" a="1"/>
  <c r="U35" i="4" a="1"/>
  <c r="Q40" i="4" a="1"/>
  <c r="R42" i="4" a="1"/>
  <c r="T45" i="4" a="1"/>
  <c r="U47" i="4" a="1"/>
  <c r="Q52" i="4" a="1"/>
  <c r="R54" i="4" a="1"/>
  <c r="T57" i="4" a="1"/>
  <c r="U59" i="4" a="1"/>
  <c r="Q64" i="4" a="1"/>
  <c r="R66" i="4" a="1"/>
  <c r="T69" i="4" a="1"/>
  <c r="U71" i="4" a="1"/>
  <c r="Q76" i="4" a="1"/>
  <c r="T44" i="4" a="1"/>
  <c r="U46" i="4" a="1"/>
  <c r="Q51" i="4" a="1"/>
  <c r="R53" i="4" a="1"/>
  <c r="U58" i="4" a="1"/>
  <c r="R65" i="4" a="1"/>
  <c r="T68" i="4" a="1"/>
  <c r="R64" i="4" a="1"/>
  <c r="T67" i="4" a="1"/>
  <c r="Q74" i="4" a="1"/>
  <c r="R76" i="4" a="1"/>
  <c r="Q61" i="4" a="1"/>
  <c r="R63" i="4" a="1"/>
  <c r="Q70" i="4" a="1"/>
  <c r="R72" i="4" a="1"/>
  <c r="T75" i="4" a="1"/>
  <c r="U52" i="4" a="1"/>
  <c r="Q69" i="4" a="1"/>
  <c r="U76" i="4" a="1"/>
  <c r="Q15" i="4" a="1"/>
  <c r="R17" i="4" a="1"/>
  <c r="T20" i="4" a="1"/>
  <c r="U22" i="4" a="1"/>
  <c r="Q27" i="4" a="1"/>
  <c r="R29" i="4" a="1"/>
  <c r="T32" i="4" a="1"/>
  <c r="U34" i="4" a="1"/>
  <c r="Q39" i="4" a="1"/>
  <c r="R41" i="4" a="1"/>
  <c r="T56" i="4" a="1"/>
  <c r="Q63" i="4" a="1"/>
  <c r="U70" i="4" a="1"/>
  <c r="Q75" i="4" a="1"/>
  <c r="R52" i="4" a="1"/>
  <c r="T55" i="4" a="1"/>
  <c r="U57" i="4" a="1"/>
  <c r="Q62" i="4" a="1"/>
  <c r="U69" i="4" a="1"/>
  <c r="T66" i="4" a="1"/>
  <c r="U68" i="4" a="1"/>
  <c r="Q73" i="4" a="1"/>
  <c r="R75" i="4" a="1"/>
  <c r="T50" i="4" a="1"/>
  <c r="R59" i="4" a="1"/>
  <c r="T74" i="4" a="1"/>
  <c r="R70" i="4" a="1"/>
  <c r="Q14" i="4" a="1"/>
  <c r="R16" i="4" a="1"/>
  <c r="T19" i="4" a="1"/>
  <c r="U21" i="4" a="1"/>
  <c r="Q26" i="4" a="1"/>
  <c r="R28" i="4" a="1"/>
  <c r="T31" i="4" a="1"/>
  <c r="U33" i="4" a="1"/>
  <c r="Q38" i="4" a="1"/>
  <c r="R40" i="4" a="1"/>
  <c r="T43" i="4" a="1"/>
  <c r="U45" i="4" a="1"/>
  <c r="Q50" i="4" a="1"/>
  <c r="Q57" i="4" a="1"/>
  <c r="Q13" i="4" a="1"/>
  <c r="R15" i="4" a="1"/>
  <c r="T18" i="4" a="1"/>
  <c r="U20" i="4" a="1"/>
  <c r="Q25" i="4" a="1"/>
  <c r="R27" i="4" a="1"/>
  <c r="T30" i="4" a="1"/>
  <c r="U32" i="4" a="1"/>
  <c r="Q37" i="4" a="1"/>
  <c r="R39" i="4" a="1"/>
  <c r="T42" i="4" a="1"/>
  <c r="U44" i="4" a="1"/>
  <c r="Q49" i="4" a="1"/>
  <c r="R51" i="4" a="1"/>
  <c r="T54" i="4" a="1"/>
  <c r="U56" i="4" a="1"/>
  <c r="T62" i="4" a="1"/>
  <c r="Q68" i="4" a="1"/>
  <c r="R55" i="4" a="1"/>
  <c r="U62" i="4" a="1"/>
  <c r="R56" i="4" a="1"/>
  <c r="U75" i="4" a="1"/>
  <c r="T60" i="4" a="1"/>
  <c r="U73" i="4" a="1"/>
  <c r="Q65" i="4" a="1"/>
  <c r="Q66" i="4" a="1"/>
  <c r="T59" i="4" a="1"/>
  <c r="T72" i="4" a="1"/>
  <c r="U72" i="4" a="1"/>
  <c r="R67" i="4" a="1"/>
  <c r="T46" i="4" a="1"/>
  <c r="Q67" i="4" a="1"/>
  <c r="T70" i="4" a="1"/>
  <c r="Q54" i="4" a="1"/>
  <c r="U49" i="4" a="1"/>
  <c r="T71" i="4" a="1"/>
  <c r="T58" i="4" a="1"/>
  <c r="T73" i="4" a="1"/>
  <c r="Q53" i="4" a="1"/>
  <c r="U60" i="4" a="1"/>
  <c r="U61" i="4" a="1"/>
  <c r="U74" i="4" a="1"/>
  <c r="U48" i="4" a="1"/>
  <c r="R68" i="4" a="1"/>
  <c r="R69" i="4" a="1"/>
  <c r="T5" i="4" a="1"/>
  <c r="U2" i="4" a="1"/>
  <c r="U8" i="4" a="1"/>
  <c r="T6" i="4" a="1"/>
  <c r="U3" i="4" a="1"/>
  <c r="U9" i="4" a="1"/>
  <c r="Q5" i="4" a="1"/>
  <c r="R2" i="4" a="1"/>
  <c r="R8" i="4" a="1"/>
  <c r="T7" i="4" a="1"/>
  <c r="U4" i="4" a="1"/>
  <c r="U10" i="4" a="1"/>
  <c r="T9" i="4" a="1"/>
  <c r="U6" i="4" a="1"/>
  <c r="Q2" i="4" a="1"/>
  <c r="R5" i="4" a="1"/>
  <c r="T4" i="4" a="1"/>
  <c r="Q3" i="4" a="1"/>
  <c r="Q4" i="4" a="1"/>
  <c r="Q10" i="4" a="1"/>
  <c r="R7" i="4" a="1"/>
  <c r="Q9" i="4" a="1"/>
  <c r="U7" i="4" a="1"/>
  <c r="Q6" i="4" a="1"/>
  <c r="R3" i="4" a="1"/>
  <c r="R9" i="4" a="1"/>
  <c r="T2" i="4" a="1"/>
  <c r="T8" i="4" a="1"/>
  <c r="U5" i="4" a="1"/>
  <c r="Q7" i="4" a="1"/>
  <c r="R4" i="4" a="1"/>
  <c r="R10" i="4" a="1"/>
  <c r="T3" i="4" a="1"/>
  <c r="Q8" i="4" a="1"/>
  <c r="T10" i="4" a="1"/>
  <c r="R6" i="4" a="1"/>
  <c r="Q15" i="3" a="1"/>
  <c r="R17" i="3" a="1"/>
  <c r="T20" i="3" a="1"/>
  <c r="U22" i="3" a="1"/>
  <c r="Q27" i="3" a="1"/>
  <c r="R29" i="3" a="1"/>
  <c r="T32" i="3" a="1"/>
  <c r="U34" i="3" a="1"/>
  <c r="Q39" i="3" a="1"/>
  <c r="R41" i="3" a="1"/>
  <c r="T44" i="3" a="1"/>
  <c r="U46" i="3" a="1"/>
  <c r="Q51" i="3" a="1"/>
  <c r="R53" i="3" a="1"/>
  <c r="Q38" i="3" a="1"/>
  <c r="R40" i="3" a="1"/>
  <c r="T43" i="3" a="1"/>
  <c r="Q50" i="3" a="1"/>
  <c r="R52" i="3" a="1"/>
  <c r="T55" i="3" a="1"/>
  <c r="R49" i="3" a="1"/>
  <c r="Q14" i="3" a="1"/>
  <c r="R16" i="3" a="1"/>
  <c r="T19" i="3" a="1"/>
  <c r="U21" i="3" a="1"/>
  <c r="Q26" i="3" a="1"/>
  <c r="R28" i="3" a="1"/>
  <c r="T31" i="3" a="1"/>
  <c r="U33" i="3" a="1"/>
  <c r="U45" i="3" a="1"/>
  <c r="T40" i="3" a="1"/>
  <c r="R15" i="3" a="1"/>
  <c r="T18" i="3" a="1"/>
  <c r="U20" i="3" a="1"/>
  <c r="Q25" i="3" a="1"/>
  <c r="R27" i="3" a="1"/>
  <c r="T30" i="3" a="1"/>
  <c r="U32" i="3" a="1"/>
  <c r="Q37" i="3" a="1"/>
  <c r="R39" i="3" a="1"/>
  <c r="T42" i="3" a="1"/>
  <c r="U44" i="3" a="1"/>
  <c r="Q49" i="3" a="1"/>
  <c r="R51" i="3" a="1"/>
  <c r="T54" i="3" a="1"/>
  <c r="R14" i="3" a="1"/>
  <c r="T17" i="3" a="1"/>
  <c r="U19" i="3" a="1"/>
  <c r="Q24" i="3" a="1"/>
  <c r="R26" i="3" a="1"/>
  <c r="T29" i="3" a="1"/>
  <c r="U31" i="3" a="1"/>
  <c r="Q36" i="3" a="1"/>
  <c r="R38" i="3" a="1"/>
  <c r="T41" i="3" a="1"/>
  <c r="U43" i="3" a="1"/>
  <c r="Q48" i="3" a="1"/>
  <c r="R50" i="3" a="1"/>
  <c r="T53" i="3" a="1"/>
  <c r="U55" i="3" a="1"/>
  <c r="Q35" i="3" a="1"/>
  <c r="R37" i="3" a="1"/>
  <c r="T16" i="3" a="1"/>
  <c r="U18" i="3" a="1"/>
  <c r="Q23" i="3" a="1"/>
  <c r="R25" i="3" a="1"/>
  <c r="T28" i="3" a="1"/>
  <c r="U30" i="3" a="1"/>
  <c r="T15" i="3" a="1"/>
  <c r="U17" i="3" a="1"/>
  <c r="Q22" i="3" a="1"/>
  <c r="R24" i="3" a="1"/>
  <c r="T27" i="3" a="1"/>
  <c r="U29" i="3" a="1"/>
  <c r="Q34" i="3" a="1"/>
  <c r="R36" i="3" a="1"/>
  <c r="T39" i="3" a="1"/>
  <c r="U41" i="3" a="1"/>
  <c r="Q46" i="3" a="1"/>
  <c r="R48" i="3" a="1"/>
  <c r="T51" i="3" a="1"/>
  <c r="T14" i="3" a="1"/>
  <c r="U16" i="3" a="1"/>
  <c r="Q21" i="3" a="1"/>
  <c r="R23" i="3" a="1"/>
  <c r="T26" i="3" a="1"/>
  <c r="U28" i="3" a="1"/>
  <c r="Q33" i="3" a="1"/>
  <c r="R35" i="3" a="1"/>
  <c r="T38" i="3" a="1"/>
  <c r="U40" i="3" a="1"/>
  <c r="Q45" i="3" a="1"/>
  <c r="R47" i="3" a="1"/>
  <c r="T50" i="3" a="1"/>
  <c r="U52" i="3" a="1"/>
  <c r="Q43" i="3" a="1"/>
  <c r="U50" i="3" a="1"/>
  <c r="Q55" i="3" a="1"/>
  <c r="Q41" i="3" a="1"/>
  <c r="R42" i="3" a="1"/>
  <c r="R54" i="3" a="1"/>
  <c r="T52" i="3" a="1"/>
  <c r="U15" i="3" a="1"/>
  <c r="Q20" i="3" a="1"/>
  <c r="R22" i="3" a="1"/>
  <c r="T25" i="3" a="1"/>
  <c r="U27" i="3" a="1"/>
  <c r="Q32" i="3" a="1"/>
  <c r="R34" i="3" a="1"/>
  <c r="T37" i="3" a="1"/>
  <c r="U39" i="3" a="1"/>
  <c r="Q44" i="3" a="1"/>
  <c r="R46" i="3" a="1"/>
  <c r="T49" i="3" a="1"/>
  <c r="U51" i="3" a="1"/>
  <c r="R21" i="3" a="1"/>
  <c r="T24" i="3" a="1"/>
  <c r="U26" i="3" a="1"/>
  <c r="Q31" i="3" a="1"/>
  <c r="R33" i="3" a="1"/>
  <c r="T36" i="3" a="1"/>
  <c r="U38" i="3" a="1"/>
  <c r="U49" i="3" a="1"/>
  <c r="R43" i="3" a="1"/>
  <c r="U48" i="3" a="1"/>
  <c r="U42" i="3" a="1"/>
  <c r="U14" i="3" a="1"/>
  <c r="Q19" i="3" a="1"/>
  <c r="R45" i="3" a="1"/>
  <c r="T48" i="3" a="1"/>
  <c r="U36" i="3" a="1"/>
  <c r="Q18" i="3" a="1"/>
  <c r="R20" i="3" a="1"/>
  <c r="T23" i="3" a="1"/>
  <c r="U25" i="3" a="1"/>
  <c r="Q30" i="3" a="1"/>
  <c r="R32" i="3" a="1"/>
  <c r="T35" i="3" a="1"/>
  <c r="U37" i="3" a="1"/>
  <c r="Q42" i="3" a="1"/>
  <c r="R44" i="3" a="1"/>
  <c r="T47" i="3" a="1"/>
  <c r="Q54" i="3" a="1"/>
  <c r="T34" i="3" a="1"/>
  <c r="T46" i="3" a="1"/>
  <c r="Q53" i="3" a="1"/>
  <c r="R55" i="3" a="1"/>
  <c r="Q40" i="3" a="1"/>
  <c r="T45" i="3" a="1"/>
  <c r="U47" i="3" a="1"/>
  <c r="Q52" i="3" a="1"/>
  <c r="Q17" i="3" a="1"/>
  <c r="R19" i="3" a="1"/>
  <c r="T22" i="3" a="1"/>
  <c r="U24" i="3" a="1"/>
  <c r="Q29" i="3" a="1"/>
  <c r="R31" i="3" a="1"/>
  <c r="Q47" i="3" a="1"/>
  <c r="U54" i="3" a="1"/>
  <c r="U53" i="3" a="1"/>
  <c r="Q16" i="3" a="1"/>
  <c r="R18" i="3" a="1"/>
  <c r="T21" i="3" a="1"/>
  <c r="U23" i="3" a="1"/>
  <c r="Q28" i="3" a="1"/>
  <c r="R30" i="3" a="1"/>
  <c r="T33" i="3" a="1"/>
  <c r="U35" i="3" a="1"/>
  <c r="Q2" i="3" a="1"/>
  <c r="Q8" i="3" a="1"/>
  <c r="R2" i="3" a="1"/>
  <c r="R8" i="3" a="1"/>
  <c r="T2" i="3" a="1"/>
  <c r="T8" i="3" a="1"/>
  <c r="U2" i="3" a="1"/>
  <c r="U8" i="3" a="1"/>
  <c r="Q10" i="3" a="1"/>
  <c r="R10" i="3" a="1"/>
  <c r="T4" i="3" a="1"/>
  <c r="T10" i="3" a="1"/>
  <c r="U4" i="3" a="1"/>
  <c r="U10" i="3" a="1"/>
  <c r="Q7" i="3" a="1"/>
  <c r="R13" i="3" a="1"/>
  <c r="T7" i="3" a="1"/>
  <c r="U9" i="3" a="1"/>
  <c r="Q4" i="3" a="1"/>
  <c r="Q3" i="3" a="1"/>
  <c r="Q9" i="3" a="1"/>
  <c r="R3" i="3" a="1"/>
  <c r="R9" i="3" a="1"/>
  <c r="T3" i="3" a="1"/>
  <c r="T9" i="3" a="1"/>
  <c r="U3" i="3" a="1"/>
  <c r="R4" i="3" a="1"/>
  <c r="U13" i="3" a="1"/>
  <c r="Q5" i="3" a="1"/>
  <c r="Q11" i="3" a="1"/>
  <c r="R5" i="3" a="1"/>
  <c r="R11" i="3" a="1"/>
  <c r="T5" i="3" a="1"/>
  <c r="T11" i="3" a="1"/>
  <c r="U5" i="3" a="1"/>
  <c r="U11" i="3" a="1"/>
  <c r="Q6" i="3" a="1"/>
  <c r="Q12" i="3" a="1"/>
  <c r="R6" i="3" a="1"/>
  <c r="R12" i="3" a="1"/>
  <c r="T6" i="3" a="1"/>
  <c r="T12" i="3" a="1"/>
  <c r="U6" i="3" a="1"/>
  <c r="U12" i="3" a="1"/>
  <c r="R7" i="3" a="1"/>
  <c r="Q13" i="3" a="1"/>
  <c r="T13" i="3" a="1"/>
  <c r="U7" i="3" a="1"/>
  <c r="R52" i="11" l="1"/>
  <c r="Q50" i="11"/>
  <c r="R32" i="11"/>
  <c r="Q30" i="11"/>
  <c r="U25" i="11"/>
  <c r="T23" i="11"/>
  <c r="R20" i="11"/>
  <c r="Q18" i="11"/>
  <c r="S18" i="11" s="1"/>
  <c r="U49" i="11"/>
  <c r="R44" i="11"/>
  <c r="U37" i="11"/>
  <c r="U50" i="11"/>
  <c r="T48" i="11"/>
  <c r="R45" i="11"/>
  <c r="Q43" i="11"/>
  <c r="U38" i="11"/>
  <c r="T36" i="11"/>
  <c r="R33" i="11"/>
  <c r="Q31" i="11"/>
  <c r="U26" i="11"/>
  <c r="T24" i="11"/>
  <c r="R21" i="11"/>
  <c r="Q19" i="11"/>
  <c r="S19" i="11" s="1"/>
  <c r="Q51" i="11"/>
  <c r="S51" i="11" s="1"/>
  <c r="V51" i="11" s="1"/>
  <c r="T44" i="11"/>
  <c r="T47" i="11"/>
  <c r="Q42" i="11"/>
  <c r="T35" i="11"/>
  <c r="U51" i="11"/>
  <c r="T49" i="11"/>
  <c r="R46" i="11"/>
  <c r="Q44" i="11"/>
  <c r="U39" i="11"/>
  <c r="T37" i="11"/>
  <c r="R34" i="11"/>
  <c r="Q32" i="11"/>
  <c r="S32" i="11" s="1"/>
  <c r="V32" i="11" s="1"/>
  <c r="U27" i="11"/>
  <c r="T25" i="11"/>
  <c r="R22" i="11"/>
  <c r="Q20" i="11"/>
  <c r="S20" i="11" s="1"/>
  <c r="V20" i="11" s="1"/>
  <c r="U45" i="11"/>
  <c r="U52" i="11"/>
  <c r="T50" i="11"/>
  <c r="R47" i="11"/>
  <c r="Q45" i="11"/>
  <c r="S45" i="11" s="1"/>
  <c r="V45" i="11" s="1"/>
  <c r="U40" i="11"/>
  <c r="T38" i="11"/>
  <c r="R35" i="11"/>
  <c r="Q33" i="11"/>
  <c r="U28" i="11"/>
  <c r="T26" i="11"/>
  <c r="R23" i="11"/>
  <c r="Q21" i="11"/>
  <c r="U16" i="11"/>
  <c r="T51" i="11"/>
  <c r="U41" i="11"/>
  <c r="T39" i="11"/>
  <c r="R36" i="11"/>
  <c r="Q34" i="11"/>
  <c r="S34" i="11" s="1"/>
  <c r="V34" i="11" s="1"/>
  <c r="U29" i="11"/>
  <c r="T27" i="11"/>
  <c r="R24" i="11"/>
  <c r="Q22" i="11"/>
  <c r="S22" i="11" s="1"/>
  <c r="U17" i="11"/>
  <c r="U42" i="11"/>
  <c r="T40" i="11"/>
  <c r="R37" i="11"/>
  <c r="Q35" i="11"/>
  <c r="U30" i="11"/>
  <c r="T28" i="11"/>
  <c r="R25" i="11"/>
  <c r="Q23" i="11"/>
  <c r="S23" i="11" s="1"/>
  <c r="V23" i="11" s="1"/>
  <c r="U18" i="11"/>
  <c r="T16" i="11"/>
  <c r="R48" i="11"/>
  <c r="Q46" i="11"/>
  <c r="S46" i="11" s="1"/>
  <c r="T52" i="11"/>
  <c r="R49" i="11"/>
  <c r="Q47" i="11"/>
  <c r="S47" i="11" s="1"/>
  <c r="R50" i="11"/>
  <c r="Q48" i="11"/>
  <c r="S48" i="11" s="1"/>
  <c r="V48" i="11" s="1"/>
  <c r="U43" i="11"/>
  <c r="T41" i="11"/>
  <c r="R38" i="11"/>
  <c r="Q36" i="11"/>
  <c r="U31" i="11"/>
  <c r="T29" i="11"/>
  <c r="R26" i="11"/>
  <c r="Q24" i="11"/>
  <c r="S24" i="11" s="1"/>
  <c r="U19" i="11"/>
  <c r="T17" i="11"/>
  <c r="R51" i="11"/>
  <c r="Q49" i="11"/>
  <c r="S49" i="11" s="1"/>
  <c r="V49" i="11" s="1"/>
  <c r="U44" i="11"/>
  <c r="T42" i="11"/>
  <c r="R39" i="11"/>
  <c r="Q37" i="11"/>
  <c r="U32" i="11"/>
  <c r="T30" i="11"/>
  <c r="R27" i="11"/>
  <c r="Q25" i="11"/>
  <c r="U20" i="11"/>
  <c r="T18" i="11"/>
  <c r="T31" i="11"/>
  <c r="R28" i="11"/>
  <c r="Q26" i="11"/>
  <c r="S26" i="11" s="1"/>
  <c r="V26" i="11" s="1"/>
  <c r="U21" i="11"/>
  <c r="T19" i="11"/>
  <c r="R16" i="11"/>
  <c r="T32" i="11"/>
  <c r="R29" i="11"/>
  <c r="Q27" i="11"/>
  <c r="S27" i="11" s="1"/>
  <c r="V27" i="11" s="1"/>
  <c r="U22" i="11"/>
  <c r="T20" i="11"/>
  <c r="R17" i="11"/>
  <c r="R40" i="11"/>
  <c r="Q38" i="11"/>
  <c r="U33" i="11"/>
  <c r="U46" i="11"/>
  <c r="R41" i="11"/>
  <c r="Q39" i="11"/>
  <c r="U34" i="11"/>
  <c r="Q52" i="11"/>
  <c r="S52" i="11" s="1"/>
  <c r="U47" i="11"/>
  <c r="T45" i="11"/>
  <c r="R42" i="11"/>
  <c r="Q40" i="11"/>
  <c r="S40" i="11" s="1"/>
  <c r="U35" i="11"/>
  <c r="T33" i="11"/>
  <c r="R30" i="11"/>
  <c r="Q28" i="11"/>
  <c r="S28" i="11" s="1"/>
  <c r="V28" i="11" s="1"/>
  <c r="U23" i="11"/>
  <c r="T21" i="11"/>
  <c r="R18" i="11"/>
  <c r="Q16" i="11"/>
  <c r="S16" i="11" s="1"/>
  <c r="T43" i="11"/>
  <c r="U48" i="11"/>
  <c r="T46" i="11"/>
  <c r="R43" i="11"/>
  <c r="Q41" i="11"/>
  <c r="U36" i="11"/>
  <c r="T34" i="11"/>
  <c r="R31" i="11"/>
  <c r="Q29" i="11"/>
  <c r="S29" i="11" s="1"/>
  <c r="U24" i="11"/>
  <c r="T22" i="11"/>
  <c r="R19" i="11"/>
  <c r="Q17" i="11"/>
  <c r="S17" i="11" s="1"/>
  <c r="Q9" i="11"/>
  <c r="U8" i="11"/>
  <c r="T10" i="11"/>
  <c r="Q15" i="11"/>
  <c r="S15" i="11" s="1"/>
  <c r="U11" i="11"/>
  <c r="Q6" i="11"/>
  <c r="S6" i="11" s="1"/>
  <c r="U10" i="11"/>
  <c r="U4" i="11"/>
  <c r="T12" i="11"/>
  <c r="T6" i="11"/>
  <c r="R15" i="11"/>
  <c r="R9" i="11"/>
  <c r="R3" i="11"/>
  <c r="Q11" i="11"/>
  <c r="Q5" i="11"/>
  <c r="U5" i="11"/>
  <c r="T13" i="11"/>
  <c r="T7" i="11"/>
  <c r="R10" i="11"/>
  <c r="R4" i="11"/>
  <c r="Q12" i="11"/>
  <c r="U14" i="11"/>
  <c r="U2" i="11"/>
  <c r="R13" i="11"/>
  <c r="U15" i="11"/>
  <c r="U9" i="11"/>
  <c r="U3" i="11"/>
  <c r="T11" i="11"/>
  <c r="T5" i="11"/>
  <c r="R14" i="11"/>
  <c r="R8" i="11"/>
  <c r="R2" i="11"/>
  <c r="Q10" i="11"/>
  <c r="S10" i="11" s="1"/>
  <c r="V10" i="11" s="1"/>
  <c r="Q4" i="11"/>
  <c r="S4" i="11" s="1"/>
  <c r="V4" i="11" s="1"/>
  <c r="T4" i="11"/>
  <c r="R7" i="11"/>
  <c r="Q3" i="11"/>
  <c r="S3" i="11" s="1"/>
  <c r="U13" i="11"/>
  <c r="U7" i="11"/>
  <c r="T15" i="11"/>
  <c r="Q8" i="11"/>
  <c r="S8" i="11" s="1"/>
  <c r="V8" i="11" s="1"/>
  <c r="Q2" i="11"/>
  <c r="T9" i="11"/>
  <c r="Q14" i="11"/>
  <c r="S14" i="11" s="1"/>
  <c r="T3" i="11"/>
  <c r="R12" i="11"/>
  <c r="R6" i="11"/>
  <c r="U12" i="11"/>
  <c r="U6" i="11"/>
  <c r="T14" i="11"/>
  <c r="T8" i="11"/>
  <c r="T2" i="11"/>
  <c r="R11" i="11"/>
  <c r="R5" i="11"/>
  <c r="Q13" i="11"/>
  <c r="Q7" i="11"/>
  <c r="S7" i="11" s="1"/>
  <c r="V7" i="11" s="1"/>
  <c r="R26" i="10"/>
  <c r="Q24" i="10"/>
  <c r="U19" i="10"/>
  <c r="T17" i="10"/>
  <c r="R14" i="10"/>
  <c r="Q12" i="10"/>
  <c r="S12" i="10" s="1"/>
  <c r="Q37" i="10"/>
  <c r="T30" i="10"/>
  <c r="R27" i="10"/>
  <c r="Q25" i="10"/>
  <c r="S25" i="10" s="1"/>
  <c r="U20" i="10"/>
  <c r="R15" i="10"/>
  <c r="Q13" i="10"/>
  <c r="T18" i="10"/>
  <c r="R52" i="10"/>
  <c r="Q50" i="10"/>
  <c r="S50" i="10" s="1"/>
  <c r="U45" i="10"/>
  <c r="T43" i="10"/>
  <c r="R40" i="10"/>
  <c r="Q38" i="10"/>
  <c r="U33" i="10"/>
  <c r="T31" i="10"/>
  <c r="R28" i="10"/>
  <c r="Q26" i="10"/>
  <c r="S26" i="10" s="1"/>
  <c r="V26" i="10" s="1"/>
  <c r="U21" i="10"/>
  <c r="T19" i="10"/>
  <c r="R16" i="10"/>
  <c r="Q14" i="10"/>
  <c r="S14" i="10" s="1"/>
  <c r="T53" i="10"/>
  <c r="R50" i="10"/>
  <c r="T41" i="10"/>
  <c r="R38" i="10"/>
  <c r="U31" i="10"/>
  <c r="R41" i="10"/>
  <c r="Q39" i="10"/>
  <c r="S39" i="10" s="1"/>
  <c r="V39" i="10" s="1"/>
  <c r="U34" i="10"/>
  <c r="T32" i="10"/>
  <c r="R29" i="10"/>
  <c r="Q27" i="10"/>
  <c r="U22" i="10"/>
  <c r="T20" i="10"/>
  <c r="R17" i="10"/>
  <c r="Q15" i="10"/>
  <c r="U10" i="10"/>
  <c r="Q48" i="10"/>
  <c r="S48" i="10" s="1"/>
  <c r="U43" i="10"/>
  <c r="Q36" i="10"/>
  <c r="S36" i="10" s="1"/>
  <c r="V36" i="10" s="1"/>
  <c r="U46" i="10"/>
  <c r="T44" i="10"/>
  <c r="Q52" i="10"/>
  <c r="S52" i="10" s="1"/>
  <c r="U47" i="10"/>
  <c r="T45" i="10"/>
  <c r="R42" i="10"/>
  <c r="Q40" i="10"/>
  <c r="U35" i="10"/>
  <c r="T33" i="10"/>
  <c r="R30" i="10"/>
  <c r="Q28" i="10"/>
  <c r="U23" i="10"/>
  <c r="T21" i="10"/>
  <c r="R18" i="10"/>
  <c r="Q16" i="10"/>
  <c r="S16" i="10" s="1"/>
  <c r="U11" i="10"/>
  <c r="T29" i="10"/>
  <c r="Q49" i="10"/>
  <c r="U44" i="10"/>
  <c r="R39" i="10"/>
  <c r="U32" i="10"/>
  <c r="R53" i="10"/>
  <c r="Q53" i="10"/>
  <c r="S53" i="10" s="1"/>
  <c r="V53" i="10" s="1"/>
  <c r="U48" i="10"/>
  <c r="T46" i="10"/>
  <c r="R43" i="10"/>
  <c r="Q41" i="10"/>
  <c r="U36" i="10"/>
  <c r="T34" i="10"/>
  <c r="R31" i="10"/>
  <c r="Q29" i="10"/>
  <c r="S29" i="10" s="1"/>
  <c r="U24" i="10"/>
  <c r="T22" i="10"/>
  <c r="R19" i="10"/>
  <c r="Q17" i="10"/>
  <c r="S17" i="10" s="1"/>
  <c r="V17" i="10" s="1"/>
  <c r="U12" i="10"/>
  <c r="T10" i="10"/>
  <c r="Q51" i="10"/>
  <c r="U49" i="10"/>
  <c r="T47" i="10"/>
  <c r="R44" i="10"/>
  <c r="Q42" i="10"/>
  <c r="S42" i="10" s="1"/>
  <c r="U37" i="10"/>
  <c r="T35" i="10"/>
  <c r="R32" i="10"/>
  <c r="Q30" i="10"/>
  <c r="S30" i="10" s="1"/>
  <c r="V30" i="10" s="1"/>
  <c r="U25" i="10"/>
  <c r="T23" i="10"/>
  <c r="R20" i="10"/>
  <c r="Q18" i="10"/>
  <c r="S18" i="10" s="1"/>
  <c r="U13" i="10"/>
  <c r="T11" i="10"/>
  <c r="R45" i="10"/>
  <c r="T36" i="10"/>
  <c r="R33" i="10"/>
  <c r="Q31" i="10"/>
  <c r="S31" i="10" s="1"/>
  <c r="U26" i="10"/>
  <c r="T24" i="10"/>
  <c r="R21" i="10"/>
  <c r="Q19" i="10"/>
  <c r="S19" i="10" s="1"/>
  <c r="V19" i="10" s="1"/>
  <c r="U14" i="10"/>
  <c r="T12" i="10"/>
  <c r="R51" i="10"/>
  <c r="T42" i="10"/>
  <c r="U50" i="10"/>
  <c r="Q43" i="10"/>
  <c r="S43" i="10" s="1"/>
  <c r="U38" i="10"/>
  <c r="T49" i="10"/>
  <c r="R46" i="10"/>
  <c r="U39" i="10"/>
  <c r="U27" i="10"/>
  <c r="T25" i="10"/>
  <c r="R22" i="10"/>
  <c r="Q20" i="10"/>
  <c r="U15" i="10"/>
  <c r="T13" i="10"/>
  <c r="R10" i="10"/>
  <c r="Q44" i="10"/>
  <c r="R34" i="10"/>
  <c r="U52" i="10"/>
  <c r="T50" i="10"/>
  <c r="R47" i="10"/>
  <c r="Q45" i="10"/>
  <c r="S45" i="10" s="1"/>
  <c r="V45" i="10" s="1"/>
  <c r="U40" i="10"/>
  <c r="T38" i="10"/>
  <c r="R35" i="10"/>
  <c r="Q33" i="10"/>
  <c r="U28" i="10"/>
  <c r="T26" i="10"/>
  <c r="R23" i="10"/>
  <c r="Q21" i="10"/>
  <c r="U16" i="10"/>
  <c r="T14" i="10"/>
  <c r="R11" i="10"/>
  <c r="T48" i="10"/>
  <c r="U51" i="10"/>
  <c r="T37" i="10"/>
  <c r="U53" i="10"/>
  <c r="T51" i="10"/>
  <c r="R48" i="10"/>
  <c r="Q46" i="10"/>
  <c r="S46" i="10" s="1"/>
  <c r="U41" i="10"/>
  <c r="T39" i="10"/>
  <c r="R36" i="10"/>
  <c r="Q34" i="10"/>
  <c r="U29" i="10"/>
  <c r="T27" i="10"/>
  <c r="R24" i="10"/>
  <c r="Q22" i="10"/>
  <c r="S22" i="10" s="1"/>
  <c r="V22" i="10" s="1"/>
  <c r="U17" i="10"/>
  <c r="T15" i="10"/>
  <c r="R12" i="10"/>
  <c r="Q10" i="10"/>
  <c r="S10" i="10" s="1"/>
  <c r="Q32" i="10"/>
  <c r="S32" i="10" s="1"/>
  <c r="V32" i="10" s="1"/>
  <c r="T52" i="10"/>
  <c r="R49" i="10"/>
  <c r="Q47" i="10"/>
  <c r="U42" i="10"/>
  <c r="T40" i="10"/>
  <c r="R37" i="10"/>
  <c r="Q35" i="10"/>
  <c r="S35" i="10" s="1"/>
  <c r="V35" i="10" s="1"/>
  <c r="U30" i="10"/>
  <c r="T28" i="10"/>
  <c r="R25" i="10"/>
  <c r="Q23" i="10"/>
  <c r="S23" i="10" s="1"/>
  <c r="U18" i="10"/>
  <c r="T16" i="10"/>
  <c r="R13" i="10"/>
  <c r="Q11" i="10"/>
  <c r="T7" i="10"/>
  <c r="Q3" i="10"/>
  <c r="U4" i="10"/>
  <c r="T6" i="10"/>
  <c r="R6" i="10"/>
  <c r="Q8" i="10"/>
  <c r="Q2" i="10"/>
  <c r="U9" i="10"/>
  <c r="U3" i="10"/>
  <c r="T5" i="10"/>
  <c r="R5" i="10"/>
  <c r="Q7" i="10"/>
  <c r="T4" i="10"/>
  <c r="U2" i="10"/>
  <c r="U7" i="10"/>
  <c r="T9" i="10"/>
  <c r="T3" i="10"/>
  <c r="R9" i="10"/>
  <c r="R3" i="10"/>
  <c r="Q5" i="10"/>
  <c r="Q9" i="10"/>
  <c r="R4" i="10"/>
  <c r="U5" i="10"/>
  <c r="R7" i="10"/>
  <c r="U8" i="10"/>
  <c r="Q6" i="10"/>
  <c r="U6" i="10"/>
  <c r="T8" i="10"/>
  <c r="T2" i="10"/>
  <c r="R8" i="10"/>
  <c r="R2" i="10"/>
  <c r="Q4" i="10"/>
  <c r="R80" i="9"/>
  <c r="U73" i="9"/>
  <c r="R68" i="9"/>
  <c r="Q54" i="9"/>
  <c r="T35" i="9"/>
  <c r="Q30" i="9"/>
  <c r="Q79" i="9"/>
  <c r="S79" i="9" s="1"/>
  <c r="U74" i="9"/>
  <c r="R69" i="9"/>
  <c r="R57" i="9"/>
  <c r="U50" i="9"/>
  <c r="R45" i="9"/>
  <c r="Q43" i="9"/>
  <c r="U38" i="9"/>
  <c r="R82" i="9"/>
  <c r="Q82" i="9"/>
  <c r="S82" i="9" s="1"/>
  <c r="U77" i="9"/>
  <c r="T75" i="9"/>
  <c r="R72" i="9"/>
  <c r="Q70" i="9"/>
  <c r="S70" i="9" s="1"/>
  <c r="U65" i="9"/>
  <c r="T63" i="9"/>
  <c r="R60" i="9"/>
  <c r="Q58" i="9"/>
  <c r="S58" i="9" s="1"/>
  <c r="V58" i="9" s="1"/>
  <c r="U53" i="9"/>
  <c r="T51" i="9"/>
  <c r="R48" i="9"/>
  <c r="Q46" i="9"/>
  <c r="U41" i="9"/>
  <c r="T39" i="9"/>
  <c r="R36" i="9"/>
  <c r="Q34" i="9"/>
  <c r="S34" i="9" s="1"/>
  <c r="U29" i="9"/>
  <c r="T27" i="9"/>
  <c r="R24" i="9"/>
  <c r="Q22" i="9"/>
  <c r="S22" i="9" s="1"/>
  <c r="V22" i="9" s="1"/>
  <c r="U17" i="9"/>
  <c r="T15" i="9"/>
  <c r="R12" i="9"/>
  <c r="Q10" i="9"/>
  <c r="Q83" i="9"/>
  <c r="S83" i="9" s="1"/>
  <c r="U78" i="9"/>
  <c r="T76" i="9"/>
  <c r="R73" i="9"/>
  <c r="Q71" i="9"/>
  <c r="U66" i="9"/>
  <c r="T64" i="9"/>
  <c r="R61" i="9"/>
  <c r="Q59" i="9"/>
  <c r="U54" i="9"/>
  <c r="T52" i="9"/>
  <c r="R49" i="9"/>
  <c r="Q47" i="9"/>
  <c r="S47" i="9" s="1"/>
  <c r="U42" i="9"/>
  <c r="T40" i="9"/>
  <c r="R37" i="9"/>
  <c r="Q35" i="9"/>
  <c r="U30" i="9"/>
  <c r="T28" i="9"/>
  <c r="R25" i="9"/>
  <c r="Q23" i="9"/>
  <c r="U18" i="9"/>
  <c r="T16" i="9"/>
  <c r="R13" i="9"/>
  <c r="Q11" i="9"/>
  <c r="S11" i="9" s="1"/>
  <c r="U55" i="9"/>
  <c r="T53" i="9"/>
  <c r="R50" i="9"/>
  <c r="Q48" i="9"/>
  <c r="S48" i="9" s="1"/>
  <c r="U43" i="9"/>
  <c r="T41" i="9"/>
  <c r="R38" i="9"/>
  <c r="Q36" i="9"/>
  <c r="U31" i="9"/>
  <c r="T29" i="9"/>
  <c r="R26" i="9"/>
  <c r="Q24" i="9"/>
  <c r="U19" i="9"/>
  <c r="T17" i="9"/>
  <c r="R14" i="9"/>
  <c r="Q12" i="9"/>
  <c r="S12" i="9" s="1"/>
  <c r="Q78" i="9"/>
  <c r="S78" i="9" s="1"/>
  <c r="V78" i="9" s="1"/>
  <c r="U79" i="9"/>
  <c r="T65" i="9"/>
  <c r="U80" i="9"/>
  <c r="T78" i="9"/>
  <c r="R75" i="9"/>
  <c r="Q73" i="9"/>
  <c r="S73" i="9" s="1"/>
  <c r="U68" i="9"/>
  <c r="T66" i="9"/>
  <c r="R63" i="9"/>
  <c r="Q61" i="9"/>
  <c r="U56" i="9"/>
  <c r="T54" i="9"/>
  <c r="R51" i="9"/>
  <c r="Q49" i="9"/>
  <c r="S49" i="9" s="1"/>
  <c r="V49" i="9" s="1"/>
  <c r="U44" i="9"/>
  <c r="T42" i="9"/>
  <c r="R39" i="9"/>
  <c r="Q37" i="9"/>
  <c r="S37" i="9" s="1"/>
  <c r="U32" i="9"/>
  <c r="T30" i="9"/>
  <c r="R27" i="9"/>
  <c r="Q25" i="9"/>
  <c r="U20" i="9"/>
  <c r="T18" i="9"/>
  <c r="R15" i="9"/>
  <c r="Q13" i="9"/>
  <c r="S13" i="9" s="1"/>
  <c r="V13" i="9" s="1"/>
  <c r="U8" i="9"/>
  <c r="R62" i="9"/>
  <c r="U81" i="9"/>
  <c r="T79" i="9"/>
  <c r="R76" i="9"/>
  <c r="Q74" i="9"/>
  <c r="U69" i="9"/>
  <c r="T67" i="9"/>
  <c r="R64" i="9"/>
  <c r="Q62" i="9"/>
  <c r="S62" i="9" s="1"/>
  <c r="U57" i="9"/>
  <c r="T55" i="9"/>
  <c r="R52" i="9"/>
  <c r="Q50" i="9"/>
  <c r="U45" i="9"/>
  <c r="T43" i="9"/>
  <c r="R40" i="9"/>
  <c r="Q38" i="9"/>
  <c r="U33" i="9"/>
  <c r="T31" i="9"/>
  <c r="R28" i="9"/>
  <c r="Q26" i="9"/>
  <c r="S26" i="9" s="1"/>
  <c r="U21" i="9"/>
  <c r="T19" i="9"/>
  <c r="R16" i="9"/>
  <c r="Q14" i="9"/>
  <c r="U9" i="9"/>
  <c r="Q60" i="9"/>
  <c r="U82" i="9"/>
  <c r="T80" i="9"/>
  <c r="R77" i="9"/>
  <c r="Q75" i="9"/>
  <c r="S75" i="9" s="1"/>
  <c r="U70" i="9"/>
  <c r="T68" i="9"/>
  <c r="R65" i="9"/>
  <c r="Q63" i="9"/>
  <c r="S63" i="9" s="1"/>
  <c r="V63" i="9" s="1"/>
  <c r="U58" i="9"/>
  <c r="T56" i="9"/>
  <c r="R53" i="9"/>
  <c r="Q51" i="9"/>
  <c r="U46" i="9"/>
  <c r="T44" i="9"/>
  <c r="R41" i="9"/>
  <c r="Q39" i="9"/>
  <c r="S39" i="9" s="1"/>
  <c r="U34" i="9"/>
  <c r="T32" i="9"/>
  <c r="R29" i="9"/>
  <c r="Q27" i="9"/>
  <c r="S27" i="9" s="1"/>
  <c r="V27" i="9" s="1"/>
  <c r="U22" i="9"/>
  <c r="T20" i="9"/>
  <c r="R17" i="9"/>
  <c r="Q15" i="9"/>
  <c r="U10" i="9"/>
  <c r="T8" i="9"/>
  <c r="T83" i="9"/>
  <c r="T71" i="9"/>
  <c r="T77" i="9"/>
  <c r="R74" i="9"/>
  <c r="Q72" i="9"/>
  <c r="S72" i="9" s="1"/>
  <c r="V72" i="9" s="1"/>
  <c r="U67" i="9"/>
  <c r="T81" i="9"/>
  <c r="R78" i="9"/>
  <c r="Q76" i="9"/>
  <c r="U71" i="9"/>
  <c r="T69" i="9"/>
  <c r="R66" i="9"/>
  <c r="Q64" i="9"/>
  <c r="S64" i="9" s="1"/>
  <c r="U59" i="9"/>
  <c r="T57" i="9"/>
  <c r="R54" i="9"/>
  <c r="Q52" i="9"/>
  <c r="S52" i="9" s="1"/>
  <c r="V52" i="9" s="1"/>
  <c r="U47" i="9"/>
  <c r="T45" i="9"/>
  <c r="R42" i="9"/>
  <c r="Q40" i="9"/>
  <c r="U35" i="9"/>
  <c r="T33" i="9"/>
  <c r="R30" i="9"/>
  <c r="Q28" i="9"/>
  <c r="S28" i="9" s="1"/>
  <c r="U23" i="9"/>
  <c r="T21" i="9"/>
  <c r="R18" i="9"/>
  <c r="Q16" i="9"/>
  <c r="S16" i="9" s="1"/>
  <c r="V16" i="9" s="1"/>
  <c r="U11" i="9"/>
  <c r="T9" i="9"/>
  <c r="U83" i="9"/>
  <c r="T82" i="9"/>
  <c r="R79" i="9"/>
  <c r="Q77" i="9"/>
  <c r="U72" i="9"/>
  <c r="T70" i="9"/>
  <c r="R67" i="9"/>
  <c r="Q65" i="9"/>
  <c r="U60" i="9"/>
  <c r="T58" i="9"/>
  <c r="R55" i="9"/>
  <c r="Q53" i="9"/>
  <c r="S53" i="9" s="1"/>
  <c r="U48" i="9"/>
  <c r="T46" i="9"/>
  <c r="R43" i="9"/>
  <c r="Q41" i="9"/>
  <c r="S41" i="9" s="1"/>
  <c r="U36" i="9"/>
  <c r="T34" i="9"/>
  <c r="R31" i="9"/>
  <c r="Q29" i="9"/>
  <c r="U24" i="9"/>
  <c r="T22" i="9"/>
  <c r="R19" i="9"/>
  <c r="Q17" i="9"/>
  <c r="S17" i="9" s="1"/>
  <c r="U12" i="9"/>
  <c r="T10" i="9"/>
  <c r="T23" i="9"/>
  <c r="R20" i="9"/>
  <c r="Q18" i="9"/>
  <c r="U13" i="9"/>
  <c r="T11" i="9"/>
  <c r="R8" i="9"/>
  <c r="U49" i="9"/>
  <c r="R44" i="9"/>
  <c r="Q42" i="9"/>
  <c r="S42" i="9" s="1"/>
  <c r="V42" i="9" s="1"/>
  <c r="R32" i="9"/>
  <c r="Q67" i="9"/>
  <c r="T36" i="9"/>
  <c r="R33" i="9"/>
  <c r="Q31" i="9"/>
  <c r="S31" i="9" s="1"/>
  <c r="V31" i="9" s="1"/>
  <c r="U26" i="9"/>
  <c r="T24" i="9"/>
  <c r="R21" i="9"/>
  <c r="Q19" i="9"/>
  <c r="U14" i="9"/>
  <c r="T12" i="9"/>
  <c r="R9" i="9"/>
  <c r="T47" i="9"/>
  <c r="U37" i="9"/>
  <c r="U25" i="9"/>
  <c r="R81" i="9"/>
  <c r="T72" i="9"/>
  <c r="U62" i="9"/>
  <c r="T60" i="9"/>
  <c r="Q55" i="9"/>
  <c r="T48" i="9"/>
  <c r="Q80" i="9"/>
  <c r="S80" i="9" s="1"/>
  <c r="V80" i="9" s="1"/>
  <c r="U75" i="9"/>
  <c r="T73" i="9"/>
  <c r="R70" i="9"/>
  <c r="Q68" i="9"/>
  <c r="S68" i="9" s="1"/>
  <c r="U63" i="9"/>
  <c r="T61" i="9"/>
  <c r="R58" i="9"/>
  <c r="Q56" i="9"/>
  <c r="S56" i="9" s="1"/>
  <c r="V56" i="9" s="1"/>
  <c r="U51" i="9"/>
  <c r="T49" i="9"/>
  <c r="R46" i="9"/>
  <c r="Q44" i="9"/>
  <c r="U39" i="9"/>
  <c r="T37" i="9"/>
  <c r="R34" i="9"/>
  <c r="Q32" i="9"/>
  <c r="U27" i="9"/>
  <c r="T25" i="9"/>
  <c r="R22" i="9"/>
  <c r="Q20" i="9"/>
  <c r="S20" i="9" s="1"/>
  <c r="V20" i="9" s="1"/>
  <c r="U15" i="9"/>
  <c r="T13" i="9"/>
  <c r="R10" i="9"/>
  <c r="Q8" i="9"/>
  <c r="S8" i="9" s="1"/>
  <c r="V8" i="9" s="1"/>
  <c r="Q66" i="9"/>
  <c r="S66" i="9" s="1"/>
  <c r="V66" i="9" s="1"/>
  <c r="U61" i="9"/>
  <c r="T59" i="9"/>
  <c r="R56" i="9"/>
  <c r="R83" i="9"/>
  <c r="Q81" i="9"/>
  <c r="S81" i="9" s="1"/>
  <c r="V81" i="9" s="1"/>
  <c r="U76" i="9"/>
  <c r="T74" i="9"/>
  <c r="R71" i="9"/>
  <c r="Q69" i="9"/>
  <c r="U64" i="9"/>
  <c r="T62" i="9"/>
  <c r="R59" i="9"/>
  <c r="Q57" i="9"/>
  <c r="S57" i="9" s="1"/>
  <c r="V57" i="9" s="1"/>
  <c r="U52" i="9"/>
  <c r="T50" i="9"/>
  <c r="R47" i="9"/>
  <c r="Q45" i="9"/>
  <c r="U40" i="9"/>
  <c r="T38" i="9"/>
  <c r="R35" i="9"/>
  <c r="Q33" i="9"/>
  <c r="U28" i="9"/>
  <c r="T26" i="9"/>
  <c r="R23" i="9"/>
  <c r="Q21" i="9"/>
  <c r="S21" i="9" s="1"/>
  <c r="V21" i="9" s="1"/>
  <c r="U16" i="9"/>
  <c r="T14" i="9"/>
  <c r="R11" i="9"/>
  <c r="Q9" i="9"/>
  <c r="Q4" i="9"/>
  <c r="T5" i="9"/>
  <c r="U4" i="9"/>
  <c r="T4" i="9"/>
  <c r="R7" i="9"/>
  <c r="Q7" i="9"/>
  <c r="S7" i="9" s="1"/>
  <c r="V7" i="9" s="1"/>
  <c r="T7" i="9"/>
  <c r="U6" i="9"/>
  <c r="R3" i="9"/>
  <c r="Q3" i="9"/>
  <c r="S3" i="9" s="1"/>
  <c r="V3" i="9" s="1"/>
  <c r="U5" i="9"/>
  <c r="U3" i="9"/>
  <c r="T3" i="9"/>
  <c r="R6" i="9"/>
  <c r="Q6" i="9"/>
  <c r="S6" i="9" s="1"/>
  <c r="U7" i="9"/>
  <c r="R2" i="9"/>
  <c r="R4" i="9"/>
  <c r="T6" i="9"/>
  <c r="Q2" i="9"/>
  <c r="S2" i="9" s="1"/>
  <c r="U2" i="9"/>
  <c r="T2" i="9"/>
  <c r="R5" i="9"/>
  <c r="Q5" i="9"/>
  <c r="S5" i="9" s="1"/>
  <c r="V5" i="9" s="1"/>
  <c r="R52" i="8"/>
  <c r="T43" i="8"/>
  <c r="R40" i="8"/>
  <c r="Q38" i="8"/>
  <c r="R16" i="8"/>
  <c r="Q14" i="8"/>
  <c r="S14" i="8" s="1"/>
  <c r="T55" i="8"/>
  <c r="U45" i="8"/>
  <c r="T31" i="8"/>
  <c r="T56" i="8"/>
  <c r="R53" i="8"/>
  <c r="Q51" i="8"/>
  <c r="S51" i="8" s="1"/>
  <c r="U46" i="8"/>
  <c r="T44" i="8"/>
  <c r="R41" i="8"/>
  <c r="Q39" i="8"/>
  <c r="U34" i="8"/>
  <c r="T32" i="8"/>
  <c r="R29" i="8"/>
  <c r="Q27" i="8"/>
  <c r="U22" i="8"/>
  <c r="T20" i="8"/>
  <c r="R17" i="8"/>
  <c r="Q15" i="8"/>
  <c r="S15" i="8" s="1"/>
  <c r="V15" i="8" s="1"/>
  <c r="U33" i="8"/>
  <c r="R28" i="8"/>
  <c r="Q26" i="8"/>
  <c r="U21" i="8"/>
  <c r="T19" i="8"/>
  <c r="T57" i="8"/>
  <c r="R54" i="8"/>
  <c r="Q52" i="8"/>
  <c r="S52" i="8" s="1"/>
  <c r="U47" i="8"/>
  <c r="T45" i="8"/>
  <c r="R42" i="8"/>
  <c r="Q40" i="8"/>
  <c r="S40" i="8" s="1"/>
  <c r="U35" i="8"/>
  <c r="T33" i="8"/>
  <c r="R30" i="8"/>
  <c r="Q28" i="8"/>
  <c r="S28" i="8" s="1"/>
  <c r="U23" i="8"/>
  <c r="T21" i="8"/>
  <c r="R18" i="8"/>
  <c r="Q16" i="8"/>
  <c r="S16" i="8" s="1"/>
  <c r="T54" i="8"/>
  <c r="R51" i="8"/>
  <c r="Q49" i="8"/>
  <c r="S49" i="8" s="1"/>
  <c r="V49" i="8" s="1"/>
  <c r="U57" i="8"/>
  <c r="R55" i="8"/>
  <c r="Q53" i="8"/>
  <c r="U48" i="8"/>
  <c r="T46" i="8"/>
  <c r="R43" i="8"/>
  <c r="Q41" i="8"/>
  <c r="S41" i="8" s="1"/>
  <c r="U36" i="8"/>
  <c r="T34" i="8"/>
  <c r="R31" i="8"/>
  <c r="Q29" i="8"/>
  <c r="S29" i="8" s="1"/>
  <c r="U24" i="8"/>
  <c r="T22" i="8"/>
  <c r="R19" i="8"/>
  <c r="Q17" i="8"/>
  <c r="U12" i="8"/>
  <c r="R32" i="8"/>
  <c r="Q30" i="8"/>
  <c r="S30" i="8" s="1"/>
  <c r="U25" i="8"/>
  <c r="T23" i="8"/>
  <c r="R20" i="8"/>
  <c r="Q18" i="8"/>
  <c r="S18" i="8" s="1"/>
  <c r="V18" i="8" s="1"/>
  <c r="U13" i="8"/>
  <c r="Q50" i="8"/>
  <c r="S50" i="8" s="1"/>
  <c r="V50" i="8" s="1"/>
  <c r="R56" i="8"/>
  <c r="Q54" i="8"/>
  <c r="U49" i="8"/>
  <c r="T47" i="8"/>
  <c r="R44" i="8"/>
  <c r="Q42" i="8"/>
  <c r="U37" i="8"/>
  <c r="T35" i="8"/>
  <c r="R57" i="8"/>
  <c r="Q55" i="8"/>
  <c r="S55" i="8" s="1"/>
  <c r="V55" i="8" s="1"/>
  <c r="U50" i="8"/>
  <c r="T48" i="8"/>
  <c r="R45" i="8"/>
  <c r="Q43" i="8"/>
  <c r="U38" i="8"/>
  <c r="T36" i="8"/>
  <c r="R33" i="8"/>
  <c r="Q31" i="8"/>
  <c r="U26" i="8"/>
  <c r="T24" i="8"/>
  <c r="R21" i="8"/>
  <c r="Q19" i="8"/>
  <c r="S19" i="8" s="1"/>
  <c r="V19" i="8" s="1"/>
  <c r="U14" i="8"/>
  <c r="T12" i="8"/>
  <c r="R46" i="8"/>
  <c r="Q44" i="8"/>
  <c r="U39" i="8"/>
  <c r="T37" i="8"/>
  <c r="R34" i="8"/>
  <c r="Q32" i="8"/>
  <c r="U27" i="8"/>
  <c r="T25" i="8"/>
  <c r="R22" i="8"/>
  <c r="Q20" i="8"/>
  <c r="S20" i="8" s="1"/>
  <c r="U15" i="8"/>
  <c r="T13" i="8"/>
  <c r="R47" i="8"/>
  <c r="Q45" i="8"/>
  <c r="U40" i="8"/>
  <c r="T38" i="8"/>
  <c r="R35" i="8"/>
  <c r="Q33" i="8"/>
  <c r="U28" i="8"/>
  <c r="T26" i="8"/>
  <c r="R23" i="8"/>
  <c r="Q21" i="8"/>
  <c r="S21" i="8" s="1"/>
  <c r="V21" i="8" s="1"/>
  <c r="U16" i="8"/>
  <c r="T14" i="8"/>
  <c r="U56" i="8"/>
  <c r="Q56" i="8"/>
  <c r="U51" i="8"/>
  <c r="T49" i="8"/>
  <c r="Q57" i="8"/>
  <c r="U52" i="8"/>
  <c r="Q46" i="8"/>
  <c r="U41" i="8"/>
  <c r="T39" i="8"/>
  <c r="R36" i="8"/>
  <c r="Q34" i="8"/>
  <c r="S34" i="8" s="1"/>
  <c r="V34" i="8" s="1"/>
  <c r="U29" i="8"/>
  <c r="T27" i="8"/>
  <c r="R24" i="8"/>
  <c r="Q22" i="8"/>
  <c r="U17" i="8"/>
  <c r="T15" i="8"/>
  <c r="R12" i="8"/>
  <c r="R48" i="8"/>
  <c r="U54" i="8"/>
  <c r="T52" i="8"/>
  <c r="R49" i="8"/>
  <c r="Q47" i="8"/>
  <c r="U42" i="8"/>
  <c r="T40" i="8"/>
  <c r="R37" i="8"/>
  <c r="Q35" i="8"/>
  <c r="U30" i="8"/>
  <c r="T28" i="8"/>
  <c r="R25" i="8"/>
  <c r="Q23" i="8"/>
  <c r="U18" i="8"/>
  <c r="T16" i="8"/>
  <c r="R13" i="8"/>
  <c r="T50" i="8"/>
  <c r="U53" i="8"/>
  <c r="T51" i="8"/>
  <c r="U55" i="8"/>
  <c r="T53" i="8"/>
  <c r="R50" i="8"/>
  <c r="Q48" i="8"/>
  <c r="U43" i="8"/>
  <c r="T41" i="8"/>
  <c r="R38" i="8"/>
  <c r="Q36" i="8"/>
  <c r="U31" i="8"/>
  <c r="T29" i="8"/>
  <c r="R26" i="8"/>
  <c r="Q24" i="8"/>
  <c r="S24" i="8" s="1"/>
  <c r="V24" i="8" s="1"/>
  <c r="U19" i="8"/>
  <c r="T17" i="8"/>
  <c r="R14" i="8"/>
  <c r="Q12" i="8"/>
  <c r="S12" i="8" s="1"/>
  <c r="U44" i="8"/>
  <c r="T42" i="8"/>
  <c r="R39" i="8"/>
  <c r="Q37" i="8"/>
  <c r="S37" i="8" s="1"/>
  <c r="V37" i="8" s="1"/>
  <c r="U32" i="8"/>
  <c r="T30" i="8"/>
  <c r="R27" i="8"/>
  <c r="Q25" i="8"/>
  <c r="S25" i="8" s="1"/>
  <c r="V25" i="8" s="1"/>
  <c r="U20" i="8"/>
  <c r="T18" i="8"/>
  <c r="R15" i="8"/>
  <c r="Q13" i="8"/>
  <c r="T7" i="8"/>
  <c r="R10" i="8"/>
  <c r="Q8" i="8"/>
  <c r="Q2" i="8"/>
  <c r="S2" i="8" s="1"/>
  <c r="U3" i="8"/>
  <c r="U8" i="8"/>
  <c r="T6" i="8"/>
  <c r="R9" i="8"/>
  <c r="R4" i="8"/>
  <c r="U2" i="8"/>
  <c r="R3" i="8"/>
  <c r="Q7" i="8"/>
  <c r="S7" i="8" s="1"/>
  <c r="V7" i="8" s="1"/>
  <c r="U7" i="8"/>
  <c r="T11" i="8"/>
  <c r="T5" i="8"/>
  <c r="R8" i="8"/>
  <c r="R2" i="8"/>
  <c r="Q6" i="8"/>
  <c r="S6" i="8" s="1"/>
  <c r="V6" i="8" s="1"/>
  <c r="T10" i="8"/>
  <c r="R7" i="8"/>
  <c r="U11" i="8"/>
  <c r="U5" i="8"/>
  <c r="T9" i="8"/>
  <c r="T3" i="8"/>
  <c r="R6" i="8"/>
  <c r="Q10" i="8"/>
  <c r="S10" i="8" s="1"/>
  <c r="Q4" i="8"/>
  <c r="U9" i="8"/>
  <c r="U6" i="8"/>
  <c r="Q11" i="8"/>
  <c r="S11" i="8" s="1"/>
  <c r="V11" i="8" s="1"/>
  <c r="T4" i="8"/>
  <c r="Q5" i="8"/>
  <c r="S5" i="8" s="1"/>
  <c r="V5" i="8" s="1"/>
  <c r="U10" i="8"/>
  <c r="U4" i="8"/>
  <c r="T8" i="8"/>
  <c r="T2" i="8"/>
  <c r="R11" i="8"/>
  <c r="R5" i="8"/>
  <c r="Q9" i="8"/>
  <c r="Q3" i="8"/>
  <c r="Q67" i="7"/>
  <c r="T60" i="7"/>
  <c r="T48" i="7"/>
  <c r="R45" i="7"/>
  <c r="T62" i="7"/>
  <c r="R59" i="7"/>
  <c r="U52" i="7"/>
  <c r="R47" i="7"/>
  <c r="U40" i="7"/>
  <c r="R72" i="7"/>
  <c r="Q70" i="7"/>
  <c r="S70" i="7" s="1"/>
  <c r="U65" i="7"/>
  <c r="T63" i="7"/>
  <c r="R60" i="7"/>
  <c r="Q58" i="7"/>
  <c r="U53" i="7"/>
  <c r="T66" i="7"/>
  <c r="R63" i="7"/>
  <c r="Q61" i="7"/>
  <c r="S61" i="7" s="1"/>
  <c r="U56" i="7"/>
  <c r="Q74" i="7"/>
  <c r="U69" i="7"/>
  <c r="T67" i="7"/>
  <c r="R64" i="7"/>
  <c r="Q62" i="7"/>
  <c r="U57" i="7"/>
  <c r="T55" i="7"/>
  <c r="R52" i="7"/>
  <c r="Q50" i="7"/>
  <c r="S50" i="7" s="1"/>
  <c r="U45" i="7"/>
  <c r="T43" i="7"/>
  <c r="R40" i="7"/>
  <c r="Q38" i="7"/>
  <c r="U33" i="7"/>
  <c r="T31" i="7"/>
  <c r="R28" i="7"/>
  <c r="Q26" i="7"/>
  <c r="U21" i="7"/>
  <c r="T19" i="7"/>
  <c r="R16" i="7"/>
  <c r="Q14" i="7"/>
  <c r="S14" i="7" s="1"/>
  <c r="U74" i="7"/>
  <c r="U62" i="7"/>
  <c r="Q55" i="7"/>
  <c r="T51" i="7"/>
  <c r="T68" i="7"/>
  <c r="R65" i="7"/>
  <c r="Q63" i="7"/>
  <c r="S63" i="7" s="1"/>
  <c r="V63" i="7" s="1"/>
  <c r="U58" i="7"/>
  <c r="T56" i="7"/>
  <c r="R53" i="7"/>
  <c r="R41" i="7"/>
  <c r="Q39" i="7"/>
  <c r="S39" i="7" s="1"/>
  <c r="U34" i="7"/>
  <c r="T32" i="7"/>
  <c r="R29" i="7"/>
  <c r="Q27" i="7"/>
  <c r="S27" i="7" s="1"/>
  <c r="U22" i="7"/>
  <c r="T20" i="7"/>
  <c r="R17" i="7"/>
  <c r="Q15" i="7"/>
  <c r="U71" i="7"/>
  <c r="T69" i="7"/>
  <c r="R66" i="7"/>
  <c r="Q64" i="7"/>
  <c r="U59" i="7"/>
  <c r="T57" i="7"/>
  <c r="R54" i="7"/>
  <c r="Q52" i="7"/>
  <c r="S52" i="7" s="1"/>
  <c r="V52" i="7" s="1"/>
  <c r="U47" i="7"/>
  <c r="T45" i="7"/>
  <c r="R42" i="7"/>
  <c r="Q40" i="7"/>
  <c r="U35" i="7"/>
  <c r="T33" i="7"/>
  <c r="R30" i="7"/>
  <c r="Q28" i="7"/>
  <c r="U23" i="7"/>
  <c r="T21" i="7"/>
  <c r="R18" i="7"/>
  <c r="Q16" i="7"/>
  <c r="S16" i="7" s="1"/>
  <c r="T72" i="7"/>
  <c r="U50" i="7"/>
  <c r="T74" i="7"/>
  <c r="R71" i="7"/>
  <c r="Q69" i="7"/>
  <c r="U64" i="7"/>
  <c r="Q57" i="7"/>
  <c r="T50" i="7"/>
  <c r="Q45" i="7"/>
  <c r="T38" i="7"/>
  <c r="U48" i="7"/>
  <c r="T46" i="7"/>
  <c r="R43" i="7"/>
  <c r="Q41" i="7"/>
  <c r="S41" i="7" s="1"/>
  <c r="U36" i="7"/>
  <c r="T34" i="7"/>
  <c r="R31" i="7"/>
  <c r="Q29" i="7"/>
  <c r="U24" i="7"/>
  <c r="T22" i="7"/>
  <c r="R19" i="7"/>
  <c r="Q17" i="7"/>
  <c r="U12" i="7"/>
  <c r="Q73" i="7"/>
  <c r="U68" i="7"/>
  <c r="U70" i="7"/>
  <c r="Q51" i="7"/>
  <c r="S51" i="7" s="1"/>
  <c r="V51" i="7" s="1"/>
  <c r="U46" i="7"/>
  <c r="T44" i="7"/>
  <c r="U72" i="7"/>
  <c r="T70" i="7"/>
  <c r="R67" i="7"/>
  <c r="Q65" i="7"/>
  <c r="U60" i="7"/>
  <c r="T58" i="7"/>
  <c r="R55" i="7"/>
  <c r="Q53" i="7"/>
  <c r="S53" i="7" s="1"/>
  <c r="V53" i="7" s="1"/>
  <c r="U73" i="7"/>
  <c r="T71" i="7"/>
  <c r="R68" i="7"/>
  <c r="Q66" i="7"/>
  <c r="U61" i="7"/>
  <c r="T59" i="7"/>
  <c r="R56" i="7"/>
  <c r="Q54" i="7"/>
  <c r="S54" i="7" s="1"/>
  <c r="U49" i="7"/>
  <c r="T47" i="7"/>
  <c r="R44" i="7"/>
  <c r="Q42" i="7"/>
  <c r="U37" i="7"/>
  <c r="T35" i="7"/>
  <c r="R32" i="7"/>
  <c r="Q30" i="7"/>
  <c r="U25" i="7"/>
  <c r="T23" i="7"/>
  <c r="R20" i="7"/>
  <c r="Q18" i="7"/>
  <c r="S18" i="7" s="1"/>
  <c r="U13" i="7"/>
  <c r="U38" i="7"/>
  <c r="T36" i="7"/>
  <c r="R33" i="7"/>
  <c r="Q31" i="7"/>
  <c r="S31" i="7" s="1"/>
  <c r="V31" i="7" s="1"/>
  <c r="U26" i="7"/>
  <c r="T24" i="7"/>
  <c r="R21" i="7"/>
  <c r="Q19" i="7"/>
  <c r="U14" i="7"/>
  <c r="T12" i="7"/>
  <c r="T73" i="7"/>
  <c r="R70" i="7"/>
  <c r="Q68" i="7"/>
  <c r="S68" i="7" s="1"/>
  <c r="U63" i="7"/>
  <c r="T61" i="7"/>
  <c r="R58" i="7"/>
  <c r="Q56" i="7"/>
  <c r="S56" i="7" s="1"/>
  <c r="V56" i="7" s="1"/>
  <c r="U51" i="7"/>
  <c r="T49" i="7"/>
  <c r="R46" i="7"/>
  <c r="Q44" i="7"/>
  <c r="U39" i="7"/>
  <c r="T37" i="7"/>
  <c r="R34" i="7"/>
  <c r="Q32" i="7"/>
  <c r="S32" i="7" s="1"/>
  <c r="U27" i="7"/>
  <c r="T25" i="7"/>
  <c r="R22" i="7"/>
  <c r="Q20" i="7"/>
  <c r="S20" i="7" s="1"/>
  <c r="V20" i="7" s="1"/>
  <c r="U15" i="7"/>
  <c r="T13" i="7"/>
  <c r="R35" i="7"/>
  <c r="Q33" i="7"/>
  <c r="U28" i="7"/>
  <c r="T26" i="7"/>
  <c r="R23" i="7"/>
  <c r="Q21" i="7"/>
  <c r="S21" i="7" s="1"/>
  <c r="U16" i="7"/>
  <c r="T14" i="7"/>
  <c r="Q46" i="7"/>
  <c r="S46" i="7" s="1"/>
  <c r="V46" i="7" s="1"/>
  <c r="T27" i="7"/>
  <c r="U17" i="7"/>
  <c r="T15" i="7"/>
  <c r="R12" i="7"/>
  <c r="R69" i="7"/>
  <c r="R57" i="7"/>
  <c r="Q43" i="7"/>
  <c r="T39" i="7"/>
  <c r="R36" i="7"/>
  <c r="Q34" i="7"/>
  <c r="S34" i="7" s="1"/>
  <c r="V34" i="7" s="1"/>
  <c r="U29" i="7"/>
  <c r="R73" i="7"/>
  <c r="Q71" i="7"/>
  <c r="S71" i="7" s="1"/>
  <c r="V71" i="7" s="1"/>
  <c r="U66" i="7"/>
  <c r="T64" i="7"/>
  <c r="R61" i="7"/>
  <c r="Q59" i="7"/>
  <c r="S59" i="7" s="1"/>
  <c r="V59" i="7" s="1"/>
  <c r="U54" i="7"/>
  <c r="T52" i="7"/>
  <c r="R49" i="7"/>
  <c r="Q47" i="7"/>
  <c r="S47" i="7" s="1"/>
  <c r="U42" i="7"/>
  <c r="T40" i="7"/>
  <c r="R37" i="7"/>
  <c r="Q35" i="7"/>
  <c r="S35" i="7" s="1"/>
  <c r="V35" i="7" s="1"/>
  <c r="U30" i="7"/>
  <c r="T28" i="7"/>
  <c r="R25" i="7"/>
  <c r="Q23" i="7"/>
  <c r="S23" i="7" s="1"/>
  <c r="V23" i="7" s="1"/>
  <c r="U18" i="7"/>
  <c r="T16" i="7"/>
  <c r="R13" i="7"/>
  <c r="R48" i="7"/>
  <c r="U41" i="7"/>
  <c r="R24" i="7"/>
  <c r="Q22" i="7"/>
  <c r="S22" i="7" s="1"/>
  <c r="V22" i="7" s="1"/>
  <c r="R74" i="7"/>
  <c r="Q72" i="7"/>
  <c r="U67" i="7"/>
  <c r="T65" i="7"/>
  <c r="R62" i="7"/>
  <c r="Q60" i="7"/>
  <c r="S60" i="7" s="1"/>
  <c r="V60" i="7" s="1"/>
  <c r="U55" i="7"/>
  <c r="T53" i="7"/>
  <c r="R50" i="7"/>
  <c r="Q48" i="7"/>
  <c r="S48" i="7" s="1"/>
  <c r="V48" i="7" s="1"/>
  <c r="U43" i="7"/>
  <c r="T41" i="7"/>
  <c r="R38" i="7"/>
  <c r="Q36" i="7"/>
  <c r="U31" i="7"/>
  <c r="T29" i="7"/>
  <c r="R26" i="7"/>
  <c r="Q24" i="7"/>
  <c r="U19" i="7"/>
  <c r="T17" i="7"/>
  <c r="R14" i="7"/>
  <c r="Q12" i="7"/>
  <c r="S12" i="7" s="1"/>
  <c r="V12" i="7" s="1"/>
  <c r="T54" i="7"/>
  <c r="R51" i="7"/>
  <c r="Q49" i="7"/>
  <c r="S49" i="7" s="1"/>
  <c r="V49" i="7" s="1"/>
  <c r="U44" i="7"/>
  <c r="T42" i="7"/>
  <c r="R39" i="7"/>
  <c r="Q37" i="7"/>
  <c r="U32" i="7"/>
  <c r="T30" i="7"/>
  <c r="R27" i="7"/>
  <c r="Q25" i="7"/>
  <c r="S25" i="7" s="1"/>
  <c r="U20" i="7"/>
  <c r="T18" i="7"/>
  <c r="R15" i="7"/>
  <c r="Q13" i="7"/>
  <c r="S13" i="7" s="1"/>
  <c r="V13" i="7" s="1"/>
  <c r="U9" i="7"/>
  <c r="R10" i="7"/>
  <c r="Q8" i="7"/>
  <c r="T6" i="7"/>
  <c r="Q7" i="7"/>
  <c r="U7" i="7"/>
  <c r="T11" i="7"/>
  <c r="T5" i="7"/>
  <c r="R8" i="7"/>
  <c r="R2" i="7"/>
  <c r="Q6" i="7"/>
  <c r="S6" i="7" s="1"/>
  <c r="V6" i="7" s="1"/>
  <c r="U6" i="7"/>
  <c r="T10" i="7"/>
  <c r="T4" i="7"/>
  <c r="R7" i="7"/>
  <c r="Q11" i="7"/>
  <c r="S11" i="7" s="1"/>
  <c r="V11" i="7" s="1"/>
  <c r="Q5" i="7"/>
  <c r="S5" i="7" s="1"/>
  <c r="T7" i="7"/>
  <c r="Q2" i="7"/>
  <c r="S2" i="7" s="1"/>
  <c r="U2" i="7"/>
  <c r="R3" i="7"/>
  <c r="Q10" i="7"/>
  <c r="S10" i="7" s="1"/>
  <c r="U3" i="7"/>
  <c r="R4" i="7"/>
  <c r="U8" i="7"/>
  <c r="R9" i="7"/>
  <c r="U11" i="7"/>
  <c r="U5" i="7"/>
  <c r="T9" i="7"/>
  <c r="T3" i="7"/>
  <c r="R6" i="7"/>
  <c r="Q4" i="7"/>
  <c r="S4" i="7" s="1"/>
  <c r="V4" i="7" s="1"/>
  <c r="U10" i="7"/>
  <c r="U4" i="7"/>
  <c r="T8" i="7"/>
  <c r="T2" i="7"/>
  <c r="R11" i="7"/>
  <c r="R5" i="7"/>
  <c r="Q9" i="7"/>
  <c r="S9" i="7" s="1"/>
  <c r="V9" i="7" s="1"/>
  <c r="Q3" i="7"/>
  <c r="Q62" i="5"/>
  <c r="R88" i="5"/>
  <c r="U69" i="5"/>
  <c r="U70" i="5"/>
  <c r="R65" i="5"/>
  <c r="R40" i="5"/>
  <c r="U33" i="5"/>
  <c r="Q96" i="5"/>
  <c r="T93" i="5"/>
  <c r="T56" i="5"/>
  <c r="Q88" i="5"/>
  <c r="S88" i="5" s="1"/>
  <c r="Q74" i="5"/>
  <c r="S74" i="5" s="1"/>
  <c r="V74" i="5" s="1"/>
  <c r="U81" i="5"/>
  <c r="T55" i="5"/>
  <c r="R98" i="5"/>
  <c r="T68" i="5"/>
  <c r="T31" i="5"/>
  <c r="R53" i="5"/>
  <c r="U93" i="5"/>
  <c r="U82" i="5"/>
  <c r="T79" i="5"/>
  <c r="Q75" i="5"/>
  <c r="R52" i="5"/>
  <c r="Q99" i="5"/>
  <c r="S99" i="5" s="1"/>
  <c r="V99" i="5" s="1"/>
  <c r="U95" i="5"/>
  <c r="R90" i="5"/>
  <c r="Q84" i="5"/>
  <c r="S84" i="5" s="1"/>
  <c r="R64" i="5"/>
  <c r="Q51" i="5"/>
  <c r="Q98" i="5"/>
  <c r="S98" i="5" s="1"/>
  <c r="V98" i="5" s="1"/>
  <c r="T92" i="5"/>
  <c r="R77" i="5"/>
  <c r="U94" i="5"/>
  <c r="T67" i="5"/>
  <c r="U58" i="5"/>
  <c r="U45" i="5"/>
  <c r="Q87" i="5"/>
  <c r="U91" i="5"/>
  <c r="R89" i="5"/>
  <c r="R86" i="5"/>
  <c r="U83" i="5"/>
  <c r="T80" i="5"/>
  <c r="R76" i="5"/>
  <c r="Q63" i="5"/>
  <c r="S63" i="5" s="1"/>
  <c r="T43" i="5"/>
  <c r="T89" i="5"/>
  <c r="Q50" i="5"/>
  <c r="Q38" i="5"/>
  <c r="S38" i="5" s="1"/>
  <c r="V38" i="5" s="1"/>
  <c r="T91" i="5"/>
  <c r="Q86" i="5"/>
  <c r="U57" i="5"/>
  <c r="U96" i="5"/>
  <c r="R95" i="5"/>
  <c r="Q93" i="5"/>
  <c r="T86" i="5"/>
  <c r="R83" i="5"/>
  <c r="Q81" i="5"/>
  <c r="S81" i="5" s="1"/>
  <c r="V81" i="5" s="1"/>
  <c r="U76" i="5"/>
  <c r="T74" i="5"/>
  <c r="R71" i="5"/>
  <c r="Q69" i="5"/>
  <c r="U64" i="5"/>
  <c r="T62" i="5"/>
  <c r="R59" i="5"/>
  <c r="Q57" i="5"/>
  <c r="S57" i="5" s="1"/>
  <c r="U52" i="5"/>
  <c r="T50" i="5"/>
  <c r="R47" i="5"/>
  <c r="Q45" i="5"/>
  <c r="U40" i="5"/>
  <c r="T38" i="5"/>
  <c r="R35" i="5"/>
  <c r="Q33" i="5"/>
  <c r="U28" i="5"/>
  <c r="T26" i="5"/>
  <c r="R23" i="5"/>
  <c r="Q21" i="5"/>
  <c r="S21" i="5" s="1"/>
  <c r="U16" i="5"/>
  <c r="T14" i="5"/>
  <c r="R11" i="5"/>
  <c r="Q9" i="5"/>
  <c r="T99" i="5"/>
  <c r="R96" i="5"/>
  <c r="U89" i="5"/>
  <c r="T87" i="5"/>
  <c r="R84" i="5"/>
  <c r="Q82" i="5"/>
  <c r="U77" i="5"/>
  <c r="T75" i="5"/>
  <c r="R72" i="5"/>
  <c r="Q70" i="5"/>
  <c r="S70" i="5" s="1"/>
  <c r="U65" i="5"/>
  <c r="T63" i="5"/>
  <c r="R60" i="5"/>
  <c r="Q58" i="5"/>
  <c r="S58" i="5" s="1"/>
  <c r="V58" i="5" s="1"/>
  <c r="U53" i="5"/>
  <c r="T51" i="5"/>
  <c r="R48" i="5"/>
  <c r="Q46" i="5"/>
  <c r="U41" i="5"/>
  <c r="T39" i="5"/>
  <c r="R36" i="5"/>
  <c r="Q34" i="5"/>
  <c r="S34" i="5" s="1"/>
  <c r="U29" i="5"/>
  <c r="T27" i="5"/>
  <c r="R24" i="5"/>
  <c r="Q22" i="5"/>
  <c r="S22" i="5" s="1"/>
  <c r="V22" i="5" s="1"/>
  <c r="U17" i="5"/>
  <c r="T15" i="5"/>
  <c r="R12" i="5"/>
  <c r="Q10" i="5"/>
  <c r="U97" i="5"/>
  <c r="T98" i="5"/>
  <c r="U88" i="5"/>
  <c r="Q94" i="5"/>
  <c r="R97" i="5"/>
  <c r="Q95" i="5"/>
  <c r="U90" i="5"/>
  <c r="T88" i="5"/>
  <c r="R85" i="5"/>
  <c r="Q83" i="5"/>
  <c r="U78" i="5"/>
  <c r="T76" i="5"/>
  <c r="R73" i="5"/>
  <c r="Q71" i="5"/>
  <c r="U66" i="5"/>
  <c r="T64" i="5"/>
  <c r="R61" i="5"/>
  <c r="Q59" i="5"/>
  <c r="S59" i="5" s="1"/>
  <c r="U54" i="5"/>
  <c r="T52" i="5"/>
  <c r="R49" i="5"/>
  <c r="Q47" i="5"/>
  <c r="U42" i="5"/>
  <c r="T40" i="5"/>
  <c r="R37" i="5"/>
  <c r="Q35" i="5"/>
  <c r="U30" i="5"/>
  <c r="T28" i="5"/>
  <c r="R25" i="5"/>
  <c r="Q23" i="5"/>
  <c r="S23" i="5" s="1"/>
  <c r="U18" i="5"/>
  <c r="T16" i="5"/>
  <c r="R13" i="5"/>
  <c r="Q11" i="5"/>
  <c r="U79" i="5"/>
  <c r="T77" i="5"/>
  <c r="R74" i="5"/>
  <c r="R62" i="5"/>
  <c r="Q60" i="5"/>
  <c r="T53" i="5"/>
  <c r="Q48" i="5"/>
  <c r="S48" i="5" s="1"/>
  <c r="U43" i="5"/>
  <c r="U31" i="5"/>
  <c r="T29" i="5"/>
  <c r="R26" i="5"/>
  <c r="Q24" i="5"/>
  <c r="U19" i="5"/>
  <c r="T17" i="5"/>
  <c r="R14" i="5"/>
  <c r="Q12" i="5"/>
  <c r="S12" i="5" s="1"/>
  <c r="U7" i="5"/>
  <c r="Q72" i="5"/>
  <c r="S72" i="5" s="1"/>
  <c r="U67" i="5"/>
  <c r="T65" i="5"/>
  <c r="U55" i="5"/>
  <c r="R50" i="5"/>
  <c r="T41" i="5"/>
  <c r="R38" i="5"/>
  <c r="Q36" i="5"/>
  <c r="R99" i="5"/>
  <c r="Q97" i="5"/>
  <c r="S97" i="5" s="1"/>
  <c r="U92" i="5"/>
  <c r="T90" i="5"/>
  <c r="R87" i="5"/>
  <c r="Q85" i="5"/>
  <c r="U80" i="5"/>
  <c r="T78" i="5"/>
  <c r="R75" i="5"/>
  <c r="Q73" i="5"/>
  <c r="S73" i="5" s="1"/>
  <c r="V73" i="5" s="1"/>
  <c r="U68" i="5"/>
  <c r="T66" i="5"/>
  <c r="R63" i="5"/>
  <c r="Q61" i="5"/>
  <c r="S61" i="5" s="1"/>
  <c r="V61" i="5" s="1"/>
  <c r="U56" i="5"/>
  <c r="T54" i="5"/>
  <c r="R51" i="5"/>
  <c r="Q49" i="5"/>
  <c r="U44" i="5"/>
  <c r="T42" i="5"/>
  <c r="R39" i="5"/>
  <c r="Q37" i="5"/>
  <c r="S37" i="5" s="1"/>
  <c r="V37" i="5" s="1"/>
  <c r="U32" i="5"/>
  <c r="T30" i="5"/>
  <c r="R27" i="5"/>
  <c r="Q25" i="5"/>
  <c r="S25" i="5" s="1"/>
  <c r="U20" i="5"/>
  <c r="T18" i="5"/>
  <c r="R15" i="5"/>
  <c r="Q13" i="5"/>
  <c r="U8" i="5"/>
  <c r="R28" i="5"/>
  <c r="Q26" i="5"/>
  <c r="U21" i="5"/>
  <c r="T19" i="5"/>
  <c r="R16" i="5"/>
  <c r="Q14" i="5"/>
  <c r="U9" i="5"/>
  <c r="T7" i="5"/>
  <c r="U46" i="5"/>
  <c r="T44" i="5"/>
  <c r="R41" i="5"/>
  <c r="Q39" i="5"/>
  <c r="U34" i="5"/>
  <c r="T32" i="5"/>
  <c r="R29" i="5"/>
  <c r="Q27" i="5"/>
  <c r="U22" i="5"/>
  <c r="T20" i="5"/>
  <c r="R17" i="5"/>
  <c r="Q15" i="5"/>
  <c r="U10" i="5"/>
  <c r="T8" i="5"/>
  <c r="R66" i="5"/>
  <c r="Q64" i="5"/>
  <c r="S64" i="5" s="1"/>
  <c r="U59" i="5"/>
  <c r="T57" i="5"/>
  <c r="R54" i="5"/>
  <c r="Q52" i="5"/>
  <c r="U47" i="5"/>
  <c r="T45" i="5"/>
  <c r="R42" i="5"/>
  <c r="Q40" i="5"/>
  <c r="U35" i="5"/>
  <c r="T33" i="5"/>
  <c r="R30" i="5"/>
  <c r="Q28" i="5"/>
  <c r="U23" i="5"/>
  <c r="T21" i="5"/>
  <c r="R18" i="5"/>
  <c r="Q16" i="5"/>
  <c r="S16" i="5" s="1"/>
  <c r="U11" i="5"/>
  <c r="T9" i="5"/>
  <c r="T81" i="5"/>
  <c r="R91" i="5"/>
  <c r="Q89" i="5"/>
  <c r="S89" i="5" s="1"/>
  <c r="U84" i="5"/>
  <c r="T82" i="5"/>
  <c r="R79" i="5"/>
  <c r="Q77" i="5"/>
  <c r="S77" i="5" s="1"/>
  <c r="V77" i="5" s="1"/>
  <c r="U72" i="5"/>
  <c r="T70" i="5"/>
  <c r="R67" i="5"/>
  <c r="Q65" i="5"/>
  <c r="U60" i="5"/>
  <c r="T58" i="5"/>
  <c r="R55" i="5"/>
  <c r="Q53" i="5"/>
  <c r="S53" i="5" s="1"/>
  <c r="U48" i="5"/>
  <c r="T46" i="5"/>
  <c r="R43" i="5"/>
  <c r="Q41" i="5"/>
  <c r="S41" i="5" s="1"/>
  <c r="U36" i="5"/>
  <c r="T34" i="5"/>
  <c r="R31" i="5"/>
  <c r="Q29" i="5"/>
  <c r="U24" i="5"/>
  <c r="T22" i="5"/>
  <c r="R19" i="5"/>
  <c r="Q17" i="5"/>
  <c r="S17" i="5" s="1"/>
  <c r="U12" i="5"/>
  <c r="T10" i="5"/>
  <c r="R7" i="5"/>
  <c r="T95" i="5"/>
  <c r="R92" i="5"/>
  <c r="Q90" i="5"/>
  <c r="S90" i="5" s="1"/>
  <c r="V90" i="5" s="1"/>
  <c r="U85" i="5"/>
  <c r="T83" i="5"/>
  <c r="R80" i="5"/>
  <c r="Q78" i="5"/>
  <c r="U73" i="5"/>
  <c r="T71" i="5"/>
  <c r="R68" i="5"/>
  <c r="Q66" i="5"/>
  <c r="S66" i="5" s="1"/>
  <c r="U61" i="5"/>
  <c r="T59" i="5"/>
  <c r="R56" i="5"/>
  <c r="Q54" i="5"/>
  <c r="S54" i="5" s="1"/>
  <c r="V54" i="5" s="1"/>
  <c r="U49" i="5"/>
  <c r="T47" i="5"/>
  <c r="R44" i="5"/>
  <c r="Q42" i="5"/>
  <c r="S42" i="5" s="1"/>
  <c r="U37" i="5"/>
  <c r="T35" i="5"/>
  <c r="R32" i="5"/>
  <c r="Q30" i="5"/>
  <c r="S30" i="5" s="1"/>
  <c r="U25" i="5"/>
  <c r="T23" i="5"/>
  <c r="R20" i="5"/>
  <c r="Q18" i="5"/>
  <c r="S18" i="5" s="1"/>
  <c r="V18" i="5" s="1"/>
  <c r="U13" i="5"/>
  <c r="T11" i="5"/>
  <c r="R8" i="5"/>
  <c r="T94" i="5"/>
  <c r="U98" i="5"/>
  <c r="T96" i="5"/>
  <c r="R93" i="5"/>
  <c r="Q91" i="5"/>
  <c r="Q79" i="5"/>
  <c r="S79" i="5" s="1"/>
  <c r="V79" i="5" s="1"/>
  <c r="U74" i="5"/>
  <c r="R69" i="5"/>
  <c r="Q67" i="5"/>
  <c r="S67" i="5" s="1"/>
  <c r="V67" i="5" s="1"/>
  <c r="U62" i="5"/>
  <c r="T60" i="5"/>
  <c r="R57" i="5"/>
  <c r="Q55" i="5"/>
  <c r="U50" i="5"/>
  <c r="T48" i="5"/>
  <c r="R45" i="5"/>
  <c r="Q43" i="5"/>
  <c r="U38" i="5"/>
  <c r="T36" i="5"/>
  <c r="R33" i="5"/>
  <c r="Q31" i="5"/>
  <c r="S31" i="5" s="1"/>
  <c r="V31" i="5" s="1"/>
  <c r="U26" i="5"/>
  <c r="T24" i="5"/>
  <c r="R21" i="5"/>
  <c r="Q19" i="5"/>
  <c r="U14" i="5"/>
  <c r="T12" i="5"/>
  <c r="R9" i="5"/>
  <c r="Q7" i="5"/>
  <c r="R78" i="5"/>
  <c r="Q76" i="5"/>
  <c r="S76" i="5" s="1"/>
  <c r="V76" i="5" s="1"/>
  <c r="U71" i="5"/>
  <c r="T69" i="5"/>
  <c r="U86" i="5"/>
  <c r="T84" i="5"/>
  <c r="R81" i="5"/>
  <c r="T72" i="5"/>
  <c r="U99" i="5"/>
  <c r="T97" i="5"/>
  <c r="R94" i="5"/>
  <c r="Q92" i="5"/>
  <c r="U87" i="5"/>
  <c r="T85" i="5"/>
  <c r="R82" i="5"/>
  <c r="Q80" i="5"/>
  <c r="S80" i="5" s="1"/>
  <c r="V80" i="5" s="1"/>
  <c r="U75" i="5"/>
  <c r="T73" i="5"/>
  <c r="R70" i="5"/>
  <c r="Q68" i="5"/>
  <c r="U63" i="5"/>
  <c r="T61" i="5"/>
  <c r="R58" i="5"/>
  <c r="Q56" i="5"/>
  <c r="U51" i="5"/>
  <c r="T49" i="5"/>
  <c r="R46" i="5"/>
  <c r="Q44" i="5"/>
  <c r="S44" i="5" s="1"/>
  <c r="V44" i="5" s="1"/>
  <c r="U39" i="5"/>
  <c r="T37" i="5"/>
  <c r="R34" i="5"/>
  <c r="Q32" i="5"/>
  <c r="U27" i="5"/>
  <c r="T25" i="5"/>
  <c r="R22" i="5"/>
  <c r="Q20" i="5"/>
  <c r="U15" i="5"/>
  <c r="T13" i="5"/>
  <c r="R10" i="5"/>
  <c r="Q8" i="5"/>
  <c r="S8" i="5" s="1"/>
  <c r="V8" i="5" s="1"/>
  <c r="Q5" i="5"/>
  <c r="U4" i="5"/>
  <c r="T3" i="5"/>
  <c r="R4" i="5"/>
  <c r="Q3" i="5"/>
  <c r="S3" i="5" s="1"/>
  <c r="V3" i="5" s="1"/>
  <c r="U3" i="5"/>
  <c r="T2" i="5"/>
  <c r="T4" i="5"/>
  <c r="R3" i="5"/>
  <c r="T6" i="5"/>
  <c r="U5" i="5"/>
  <c r="Q4" i="5"/>
  <c r="S4" i="5" s="1"/>
  <c r="U2" i="5"/>
  <c r="R2" i="5"/>
  <c r="Q6" i="5"/>
  <c r="R6" i="5"/>
  <c r="R5" i="5"/>
  <c r="Q2" i="5"/>
  <c r="S2" i="5" s="1"/>
  <c r="V2" i="5" s="1"/>
  <c r="U6" i="5"/>
  <c r="T5" i="5"/>
  <c r="R69" i="4"/>
  <c r="R68" i="4"/>
  <c r="U48" i="4"/>
  <c r="U74" i="4"/>
  <c r="U61" i="4"/>
  <c r="U60" i="4"/>
  <c r="Q53" i="4"/>
  <c r="S53" i="4" s="1"/>
  <c r="T73" i="4"/>
  <c r="T58" i="4"/>
  <c r="T71" i="4"/>
  <c r="U49" i="4"/>
  <c r="Q54" i="4"/>
  <c r="S54" i="4" s="1"/>
  <c r="V54" i="4" s="1"/>
  <c r="T70" i="4"/>
  <c r="Q67" i="4"/>
  <c r="T46" i="4"/>
  <c r="R67" i="4"/>
  <c r="U72" i="4"/>
  <c r="T72" i="4"/>
  <c r="T59" i="4"/>
  <c r="Q66" i="4"/>
  <c r="S66" i="4" s="1"/>
  <c r="Q65" i="4"/>
  <c r="S65" i="4" s="1"/>
  <c r="U73" i="4"/>
  <c r="T60" i="4"/>
  <c r="U75" i="4"/>
  <c r="R56" i="4"/>
  <c r="U62" i="4"/>
  <c r="R55" i="4"/>
  <c r="Q68" i="4"/>
  <c r="S68" i="4" s="1"/>
  <c r="T62" i="4"/>
  <c r="U56" i="4"/>
  <c r="T54" i="4"/>
  <c r="R51" i="4"/>
  <c r="Q49" i="4"/>
  <c r="S49" i="4" s="1"/>
  <c r="U44" i="4"/>
  <c r="T42" i="4"/>
  <c r="R39" i="4"/>
  <c r="Q37" i="4"/>
  <c r="U32" i="4"/>
  <c r="T30" i="4"/>
  <c r="R27" i="4"/>
  <c r="Q25" i="4"/>
  <c r="S25" i="4" s="1"/>
  <c r="U20" i="4"/>
  <c r="T18" i="4"/>
  <c r="R15" i="4"/>
  <c r="Q13" i="4"/>
  <c r="S13" i="4" s="1"/>
  <c r="Q57" i="4"/>
  <c r="S57" i="4" s="1"/>
  <c r="Q50" i="4"/>
  <c r="U45" i="4"/>
  <c r="T43" i="4"/>
  <c r="R40" i="4"/>
  <c r="Q38" i="4"/>
  <c r="U33" i="4"/>
  <c r="T31" i="4"/>
  <c r="R28" i="4"/>
  <c r="Q26" i="4"/>
  <c r="U21" i="4"/>
  <c r="T19" i="4"/>
  <c r="R16" i="4"/>
  <c r="Q14" i="4"/>
  <c r="R70" i="4"/>
  <c r="T74" i="4"/>
  <c r="R59" i="4"/>
  <c r="T50" i="4"/>
  <c r="R75" i="4"/>
  <c r="Q73" i="4"/>
  <c r="U68" i="4"/>
  <c r="T66" i="4"/>
  <c r="U69" i="4"/>
  <c r="Q62" i="4"/>
  <c r="U57" i="4"/>
  <c r="T55" i="4"/>
  <c r="R52" i="4"/>
  <c r="Q75" i="4"/>
  <c r="U70" i="4"/>
  <c r="Q63" i="4"/>
  <c r="T56" i="4"/>
  <c r="R41" i="4"/>
  <c r="Q39" i="4"/>
  <c r="U34" i="4"/>
  <c r="T32" i="4"/>
  <c r="R29" i="4"/>
  <c r="Q27" i="4"/>
  <c r="S27" i="4" s="1"/>
  <c r="U22" i="4"/>
  <c r="T20" i="4"/>
  <c r="R17" i="4"/>
  <c r="Q15" i="4"/>
  <c r="U76" i="4"/>
  <c r="Q69" i="4"/>
  <c r="S69" i="4" s="1"/>
  <c r="U52" i="4"/>
  <c r="T75" i="4"/>
  <c r="R72" i="4"/>
  <c r="Q70" i="4"/>
  <c r="R63" i="4"/>
  <c r="Q61" i="4"/>
  <c r="S61" i="4" s="1"/>
  <c r="R76" i="4"/>
  <c r="Q74" i="4"/>
  <c r="S74" i="4" s="1"/>
  <c r="V74" i="4" s="1"/>
  <c r="T67" i="4"/>
  <c r="R64" i="4"/>
  <c r="T68" i="4"/>
  <c r="R65" i="4"/>
  <c r="U58" i="4"/>
  <c r="R53" i="4"/>
  <c r="Q51" i="4"/>
  <c r="S51" i="4" s="1"/>
  <c r="V51" i="4" s="1"/>
  <c r="U46" i="4"/>
  <c r="T44" i="4"/>
  <c r="Q76" i="4"/>
  <c r="U71" i="4"/>
  <c r="T69" i="4"/>
  <c r="R66" i="4"/>
  <c r="Q64" i="4"/>
  <c r="S64" i="4" s="1"/>
  <c r="U59" i="4"/>
  <c r="T57" i="4"/>
  <c r="R54" i="4"/>
  <c r="Q52" i="4"/>
  <c r="U47" i="4"/>
  <c r="T45" i="4"/>
  <c r="R42" i="4"/>
  <c r="Q40" i="4"/>
  <c r="S40" i="4" s="1"/>
  <c r="U35" i="4"/>
  <c r="T33" i="4"/>
  <c r="R30" i="4"/>
  <c r="Q28" i="4"/>
  <c r="U23" i="4"/>
  <c r="T21" i="4"/>
  <c r="R18" i="4"/>
  <c r="Q16" i="4"/>
  <c r="U11" i="4"/>
  <c r="R43" i="4"/>
  <c r="Q41" i="4"/>
  <c r="S41" i="4" s="1"/>
  <c r="U36" i="4"/>
  <c r="T34" i="4"/>
  <c r="R31" i="4"/>
  <c r="Q29" i="4"/>
  <c r="U24" i="4"/>
  <c r="T22" i="4"/>
  <c r="R19" i="4"/>
  <c r="Q17" i="4"/>
  <c r="S17" i="4" s="1"/>
  <c r="U12" i="4"/>
  <c r="T47" i="4"/>
  <c r="R44" i="4"/>
  <c r="Q42" i="4"/>
  <c r="S42" i="4" s="1"/>
  <c r="U37" i="4"/>
  <c r="T35" i="4"/>
  <c r="R32" i="4"/>
  <c r="Q30" i="4"/>
  <c r="S30" i="4" s="1"/>
  <c r="U25" i="4"/>
  <c r="T23" i="4"/>
  <c r="R20" i="4"/>
  <c r="Q18" i="4"/>
  <c r="S18" i="4" s="1"/>
  <c r="U13" i="4"/>
  <c r="T11" i="4"/>
  <c r="R57" i="4"/>
  <c r="Q55" i="4"/>
  <c r="S55" i="4" s="1"/>
  <c r="U50" i="4"/>
  <c r="T48" i="4"/>
  <c r="R45" i="4"/>
  <c r="Q43" i="4"/>
  <c r="U38" i="4"/>
  <c r="T36" i="4"/>
  <c r="R33" i="4"/>
  <c r="Q31" i="4"/>
  <c r="U26" i="4"/>
  <c r="T24" i="4"/>
  <c r="R21" i="4"/>
  <c r="Q19" i="4"/>
  <c r="S19" i="4" s="1"/>
  <c r="U14" i="4"/>
  <c r="T12" i="4"/>
  <c r="T61" i="4"/>
  <c r="R58" i="4"/>
  <c r="Q56" i="4"/>
  <c r="S56" i="4" s="1"/>
  <c r="U51" i="4"/>
  <c r="T49" i="4"/>
  <c r="R46" i="4"/>
  <c r="Q44" i="4"/>
  <c r="S44" i="4" s="1"/>
  <c r="U39" i="4"/>
  <c r="T37" i="4"/>
  <c r="R34" i="4"/>
  <c r="Q32" i="4"/>
  <c r="U27" i="4"/>
  <c r="T25" i="4"/>
  <c r="R22" i="4"/>
  <c r="Q20" i="4"/>
  <c r="U15" i="4"/>
  <c r="T13" i="4"/>
  <c r="R47" i="4"/>
  <c r="Q45" i="4"/>
  <c r="U40" i="4"/>
  <c r="T38" i="4"/>
  <c r="R35" i="4"/>
  <c r="Q33" i="4"/>
  <c r="S33" i="4" s="1"/>
  <c r="U28" i="4"/>
  <c r="T26" i="4"/>
  <c r="R23" i="4"/>
  <c r="Q21" i="4"/>
  <c r="U16" i="4"/>
  <c r="T14" i="4"/>
  <c r="R11" i="4"/>
  <c r="R36" i="4"/>
  <c r="Q34" i="4"/>
  <c r="S34" i="4" s="1"/>
  <c r="U29" i="4"/>
  <c r="T27" i="4"/>
  <c r="R24" i="4"/>
  <c r="Q22" i="4"/>
  <c r="S22" i="4" s="1"/>
  <c r="V22" i="4" s="1"/>
  <c r="U17" i="4"/>
  <c r="T15" i="4"/>
  <c r="R12" i="4"/>
  <c r="U65" i="4"/>
  <c r="T63" i="4"/>
  <c r="R60" i="4"/>
  <c r="Q58" i="4"/>
  <c r="S58" i="4" s="1"/>
  <c r="V58" i="4" s="1"/>
  <c r="U53" i="4"/>
  <c r="R48" i="4"/>
  <c r="U41" i="4"/>
  <c r="T39" i="4"/>
  <c r="T76" i="4"/>
  <c r="R73" i="4"/>
  <c r="Q71" i="4"/>
  <c r="U66" i="4"/>
  <c r="T64" i="4"/>
  <c r="R61" i="4"/>
  <c r="Q59" i="4"/>
  <c r="S59" i="4" s="1"/>
  <c r="U54" i="4"/>
  <c r="T52" i="4"/>
  <c r="R49" i="4"/>
  <c r="Q47" i="4"/>
  <c r="S47" i="4" s="1"/>
  <c r="U42" i="4"/>
  <c r="T40" i="4"/>
  <c r="R37" i="4"/>
  <c r="Q35" i="4"/>
  <c r="U30" i="4"/>
  <c r="T28" i="4"/>
  <c r="R25" i="4"/>
  <c r="Q23" i="4"/>
  <c r="S23" i="4" s="1"/>
  <c r="V23" i="4" s="1"/>
  <c r="U18" i="4"/>
  <c r="T16" i="4"/>
  <c r="R13" i="4"/>
  <c r="Q11" i="4"/>
  <c r="S11" i="4" s="1"/>
  <c r="U63" i="4"/>
  <c r="R71" i="4"/>
  <c r="U64" i="4"/>
  <c r="T51" i="4"/>
  <c r="Q46" i="4"/>
  <c r="R74" i="4"/>
  <c r="Q72" i="4"/>
  <c r="U67" i="4"/>
  <c r="T65" i="4"/>
  <c r="R62" i="4"/>
  <c r="Q60" i="4"/>
  <c r="U55" i="4"/>
  <c r="T53" i="4"/>
  <c r="R50" i="4"/>
  <c r="Q48" i="4"/>
  <c r="S48" i="4" s="1"/>
  <c r="V48" i="4" s="1"/>
  <c r="U43" i="4"/>
  <c r="T41" i="4"/>
  <c r="R38" i="4"/>
  <c r="Q36" i="4"/>
  <c r="U31" i="4"/>
  <c r="T29" i="4"/>
  <c r="R26" i="4"/>
  <c r="Q24" i="4"/>
  <c r="U19" i="4"/>
  <c r="T17" i="4"/>
  <c r="R14" i="4"/>
  <c r="Q12" i="4"/>
  <c r="S12" i="4" s="1"/>
  <c r="V12" i="4" s="1"/>
  <c r="R6" i="4"/>
  <c r="T10" i="4"/>
  <c r="Q8" i="4"/>
  <c r="T3" i="4"/>
  <c r="R10" i="4"/>
  <c r="R4" i="4"/>
  <c r="Q7" i="4"/>
  <c r="S7" i="4" s="1"/>
  <c r="V7" i="4" s="1"/>
  <c r="U5" i="4"/>
  <c r="T8" i="4"/>
  <c r="T2" i="4"/>
  <c r="R9" i="4"/>
  <c r="R3" i="4"/>
  <c r="Q6" i="4"/>
  <c r="S6" i="4" s="1"/>
  <c r="U7" i="4"/>
  <c r="Q9" i="4"/>
  <c r="R7" i="4"/>
  <c r="Q10" i="4"/>
  <c r="S10" i="4" s="1"/>
  <c r="V10" i="4" s="1"/>
  <c r="Q4" i="4"/>
  <c r="S4" i="4" s="1"/>
  <c r="Q3" i="4"/>
  <c r="T4" i="4"/>
  <c r="R5" i="4"/>
  <c r="Q2" i="4"/>
  <c r="S2" i="4" s="1"/>
  <c r="U6" i="4"/>
  <c r="T9" i="4"/>
  <c r="U10" i="4"/>
  <c r="U4" i="4"/>
  <c r="T7" i="4"/>
  <c r="R8" i="4"/>
  <c r="R2" i="4"/>
  <c r="Q5" i="4"/>
  <c r="U9" i="4"/>
  <c r="U3" i="4"/>
  <c r="T6" i="4"/>
  <c r="U8" i="4"/>
  <c r="U2" i="4"/>
  <c r="T5" i="4"/>
  <c r="U35" i="3"/>
  <c r="T33" i="3"/>
  <c r="R30" i="3"/>
  <c r="Q28" i="3"/>
  <c r="U23" i="3"/>
  <c r="T21" i="3"/>
  <c r="R18" i="3"/>
  <c r="Q16" i="3"/>
  <c r="S16" i="3" s="1"/>
  <c r="U53" i="3"/>
  <c r="U54" i="3"/>
  <c r="Q47" i="3"/>
  <c r="S47" i="3" s="1"/>
  <c r="V47" i="3" s="1"/>
  <c r="R31" i="3"/>
  <c r="Q29" i="3"/>
  <c r="U24" i="3"/>
  <c r="T22" i="3"/>
  <c r="R19" i="3"/>
  <c r="Q17" i="3"/>
  <c r="Q52" i="3"/>
  <c r="U47" i="3"/>
  <c r="T45" i="3"/>
  <c r="Q40" i="3"/>
  <c r="R55" i="3"/>
  <c r="Q53" i="3"/>
  <c r="T46" i="3"/>
  <c r="T34" i="3"/>
  <c r="Q54" i="3"/>
  <c r="T47" i="3"/>
  <c r="R44" i="3"/>
  <c r="Q42" i="3"/>
  <c r="U37" i="3"/>
  <c r="T35" i="3"/>
  <c r="R32" i="3"/>
  <c r="Q30" i="3"/>
  <c r="S30" i="3" s="1"/>
  <c r="U25" i="3"/>
  <c r="T23" i="3"/>
  <c r="R20" i="3"/>
  <c r="Q18" i="3"/>
  <c r="U36" i="3"/>
  <c r="T48" i="3"/>
  <c r="R45" i="3"/>
  <c r="Q19" i="3"/>
  <c r="S19" i="3" s="1"/>
  <c r="V19" i="3" s="1"/>
  <c r="U14" i="3"/>
  <c r="U42" i="3"/>
  <c r="U48" i="3"/>
  <c r="R43" i="3"/>
  <c r="U49" i="3"/>
  <c r="U38" i="3"/>
  <c r="T36" i="3"/>
  <c r="R33" i="3"/>
  <c r="Q31" i="3"/>
  <c r="U26" i="3"/>
  <c r="T24" i="3"/>
  <c r="R21" i="3"/>
  <c r="U51" i="3"/>
  <c r="T49" i="3"/>
  <c r="R46" i="3"/>
  <c r="Q44" i="3"/>
  <c r="S44" i="3" s="1"/>
  <c r="U39" i="3"/>
  <c r="T37" i="3"/>
  <c r="R34" i="3"/>
  <c r="Q32" i="3"/>
  <c r="U27" i="3"/>
  <c r="T25" i="3"/>
  <c r="R22" i="3"/>
  <c r="Q20" i="3"/>
  <c r="U15" i="3"/>
  <c r="T52" i="3"/>
  <c r="R54" i="3"/>
  <c r="R42" i="3"/>
  <c r="Q41" i="3"/>
  <c r="S41" i="3" s="1"/>
  <c r="V41" i="3" s="1"/>
  <c r="Q55" i="3"/>
  <c r="S55" i="3" s="1"/>
  <c r="V55" i="3" s="1"/>
  <c r="U50" i="3"/>
  <c r="Q43" i="3"/>
  <c r="U52" i="3"/>
  <c r="T50" i="3"/>
  <c r="R47" i="3"/>
  <c r="Q45" i="3"/>
  <c r="S45" i="3" s="1"/>
  <c r="U40" i="3"/>
  <c r="T38" i="3"/>
  <c r="R35" i="3"/>
  <c r="Q33" i="3"/>
  <c r="S33" i="3" s="1"/>
  <c r="V33" i="3" s="1"/>
  <c r="U28" i="3"/>
  <c r="T26" i="3"/>
  <c r="R23" i="3"/>
  <c r="Q21" i="3"/>
  <c r="U16" i="3"/>
  <c r="T14" i="3"/>
  <c r="T51" i="3"/>
  <c r="R48" i="3"/>
  <c r="Q46" i="3"/>
  <c r="S46" i="3" s="1"/>
  <c r="U41" i="3"/>
  <c r="T39" i="3"/>
  <c r="R36" i="3"/>
  <c r="Q34" i="3"/>
  <c r="U29" i="3"/>
  <c r="T27" i="3"/>
  <c r="R24" i="3"/>
  <c r="Q22" i="3"/>
  <c r="U17" i="3"/>
  <c r="T15" i="3"/>
  <c r="U30" i="3"/>
  <c r="T28" i="3"/>
  <c r="R25" i="3"/>
  <c r="Q23" i="3"/>
  <c r="U18" i="3"/>
  <c r="T16" i="3"/>
  <c r="R37" i="3"/>
  <c r="Q35" i="3"/>
  <c r="S35" i="3" s="1"/>
  <c r="V35" i="3" s="1"/>
  <c r="U55" i="3"/>
  <c r="T53" i="3"/>
  <c r="R50" i="3"/>
  <c r="Q48" i="3"/>
  <c r="U43" i="3"/>
  <c r="T41" i="3"/>
  <c r="R38" i="3"/>
  <c r="Q36" i="3"/>
  <c r="U31" i="3"/>
  <c r="T29" i="3"/>
  <c r="R26" i="3"/>
  <c r="Q24" i="3"/>
  <c r="S24" i="3" s="1"/>
  <c r="V24" i="3" s="1"/>
  <c r="U19" i="3"/>
  <c r="T17" i="3"/>
  <c r="R14" i="3"/>
  <c r="T54" i="3"/>
  <c r="R51" i="3"/>
  <c r="Q49" i="3"/>
  <c r="S49" i="3" s="1"/>
  <c r="U44" i="3"/>
  <c r="T42" i="3"/>
  <c r="R39" i="3"/>
  <c r="Q37" i="3"/>
  <c r="U32" i="3"/>
  <c r="T30" i="3"/>
  <c r="R27" i="3"/>
  <c r="Q25" i="3"/>
  <c r="U20" i="3"/>
  <c r="T18" i="3"/>
  <c r="R15" i="3"/>
  <c r="T40" i="3"/>
  <c r="U45" i="3"/>
  <c r="U33" i="3"/>
  <c r="T31" i="3"/>
  <c r="R28" i="3"/>
  <c r="Q26" i="3"/>
  <c r="S26" i="3" s="1"/>
  <c r="V26" i="3" s="1"/>
  <c r="U21" i="3"/>
  <c r="T19" i="3"/>
  <c r="R16" i="3"/>
  <c r="Q14" i="3"/>
  <c r="S14" i="3" s="1"/>
  <c r="R49" i="3"/>
  <c r="T55" i="3"/>
  <c r="R52" i="3"/>
  <c r="Q50" i="3"/>
  <c r="S50" i="3" s="1"/>
  <c r="T43" i="3"/>
  <c r="R40" i="3"/>
  <c r="Q38" i="3"/>
  <c r="S38" i="3" s="1"/>
  <c r="R53" i="3"/>
  <c r="Q51" i="3"/>
  <c r="S51" i="3" s="1"/>
  <c r="V51" i="3" s="1"/>
  <c r="U46" i="3"/>
  <c r="T44" i="3"/>
  <c r="R41" i="3"/>
  <c r="Q39" i="3"/>
  <c r="U34" i="3"/>
  <c r="T32" i="3"/>
  <c r="R29" i="3"/>
  <c r="Q27" i="3"/>
  <c r="S27" i="3" s="1"/>
  <c r="U22" i="3"/>
  <c r="T20" i="3"/>
  <c r="R17" i="3"/>
  <c r="Q15" i="3"/>
  <c r="S15" i="3" s="1"/>
  <c r="V15" i="3" s="1"/>
  <c r="U7" i="3"/>
  <c r="T13" i="3"/>
  <c r="Q13" i="3"/>
  <c r="R7" i="3"/>
  <c r="U12" i="3"/>
  <c r="U6" i="3"/>
  <c r="T12" i="3"/>
  <c r="T6" i="3"/>
  <c r="R12" i="3"/>
  <c r="R6" i="3"/>
  <c r="Q12" i="3"/>
  <c r="S12" i="3" s="1"/>
  <c r="V12" i="3" s="1"/>
  <c r="Q6" i="3"/>
  <c r="U11" i="3"/>
  <c r="U5" i="3"/>
  <c r="T11" i="3"/>
  <c r="T5" i="3"/>
  <c r="R11" i="3"/>
  <c r="R5" i="3"/>
  <c r="Q11" i="3"/>
  <c r="S11" i="3" s="1"/>
  <c r="V11" i="3" s="1"/>
  <c r="Q5" i="3"/>
  <c r="S5" i="3" s="1"/>
  <c r="V5" i="3" s="1"/>
  <c r="U13" i="3"/>
  <c r="R4" i="3"/>
  <c r="U3" i="3"/>
  <c r="T9" i="3"/>
  <c r="T3" i="3"/>
  <c r="R9" i="3"/>
  <c r="R3" i="3"/>
  <c r="Q9" i="3"/>
  <c r="S9" i="3" s="1"/>
  <c r="Q3" i="3"/>
  <c r="S3" i="3" s="1"/>
  <c r="Q4" i="3"/>
  <c r="U9" i="3"/>
  <c r="T7" i="3"/>
  <c r="R13" i="3"/>
  <c r="Q7" i="3"/>
  <c r="S7" i="3" s="1"/>
  <c r="V7" i="3" s="1"/>
  <c r="U10" i="3"/>
  <c r="U4" i="3"/>
  <c r="T10" i="3"/>
  <c r="T4" i="3"/>
  <c r="R10" i="3"/>
  <c r="Q10" i="3"/>
  <c r="S10" i="3" s="1"/>
  <c r="U8" i="3"/>
  <c r="U2" i="3"/>
  <c r="T8" i="3"/>
  <c r="T2" i="3"/>
  <c r="R8" i="3"/>
  <c r="R2" i="3"/>
  <c r="Q8" i="3"/>
  <c r="S8" i="3" s="1"/>
  <c r="V8" i="3" s="1"/>
  <c r="Q2" i="3"/>
  <c r="S41" i="11" l="1"/>
  <c r="V41" i="11" s="1"/>
  <c r="S35" i="11"/>
  <c r="V35" i="11" s="1"/>
  <c r="S44" i="11"/>
  <c r="V44" i="11" s="1"/>
  <c r="V18" i="11"/>
  <c r="V40" i="11"/>
  <c r="V47" i="11"/>
  <c r="S31" i="11"/>
  <c r="V31" i="11" s="1"/>
  <c r="V29" i="11"/>
  <c r="S38" i="11"/>
  <c r="V38" i="11" s="1"/>
  <c r="S25" i="11"/>
  <c r="V25" i="11" s="1"/>
  <c r="V24" i="11"/>
  <c r="S21" i="11"/>
  <c r="V21" i="11" s="1"/>
  <c r="V17" i="11"/>
  <c r="V46" i="11"/>
  <c r="S30" i="11"/>
  <c r="V30" i="11" s="1"/>
  <c r="V16" i="11"/>
  <c r="V52" i="11"/>
  <c r="V22" i="11"/>
  <c r="S42" i="11"/>
  <c r="V42" i="11" s="1"/>
  <c r="S43" i="11"/>
  <c r="V43" i="11" s="1"/>
  <c r="S50" i="11"/>
  <c r="V50" i="11" s="1"/>
  <c r="V19" i="11"/>
  <c r="S39" i="11"/>
  <c r="V39" i="11" s="1"/>
  <c r="S37" i="11"/>
  <c r="V37" i="11" s="1"/>
  <c r="S36" i="11"/>
  <c r="V36" i="11" s="1"/>
  <c r="S33" i="11"/>
  <c r="V33" i="11" s="1"/>
  <c r="V14" i="11"/>
  <c r="S12" i="11"/>
  <c r="V12" i="11" s="1"/>
  <c r="S13" i="11"/>
  <c r="V13" i="11" s="1"/>
  <c r="S2" i="11"/>
  <c r="V2" i="11" s="1"/>
  <c r="V6" i="11"/>
  <c r="V15" i="11"/>
  <c r="S5" i="11"/>
  <c r="V5" i="11" s="1"/>
  <c r="S11" i="11"/>
  <c r="V11" i="11" s="1"/>
  <c r="V3" i="11"/>
  <c r="S9" i="11"/>
  <c r="V9" i="11" s="1"/>
  <c r="S28" i="10"/>
  <c r="V28" i="10" s="1"/>
  <c r="V25" i="10"/>
  <c r="V48" i="10"/>
  <c r="S11" i="10"/>
  <c r="V11" i="10" s="1"/>
  <c r="S47" i="10"/>
  <c r="V47" i="10" s="1"/>
  <c r="S34" i="10"/>
  <c r="V34" i="10" s="1"/>
  <c r="S38" i="10"/>
  <c r="V38" i="10" s="1"/>
  <c r="V31" i="10"/>
  <c r="S15" i="10"/>
  <c r="V15" i="10" s="1"/>
  <c r="S37" i="10"/>
  <c r="V37" i="10" s="1"/>
  <c r="S21" i="10"/>
  <c r="V21" i="10" s="1"/>
  <c r="V29" i="10"/>
  <c r="S40" i="10"/>
  <c r="V40" i="10" s="1"/>
  <c r="V12" i="10"/>
  <c r="S44" i="10"/>
  <c r="V44" i="10" s="1"/>
  <c r="V43" i="10"/>
  <c r="V42" i="10"/>
  <c r="S49" i="10"/>
  <c r="V49" i="10" s="1"/>
  <c r="V10" i="10"/>
  <c r="V46" i="10"/>
  <c r="V14" i="10"/>
  <c r="V50" i="10"/>
  <c r="S27" i="10"/>
  <c r="V27" i="10" s="1"/>
  <c r="V23" i="10"/>
  <c r="S33" i="10"/>
  <c r="V33" i="10" s="1"/>
  <c r="S41" i="10"/>
  <c r="V41" i="10" s="1"/>
  <c r="V16" i="10"/>
  <c r="V52" i="10"/>
  <c r="S24" i="10"/>
  <c r="V24" i="10" s="1"/>
  <c r="S20" i="10"/>
  <c r="V20" i="10" s="1"/>
  <c r="V18" i="10"/>
  <c r="S51" i="10"/>
  <c r="V51" i="10" s="1"/>
  <c r="S13" i="10"/>
  <c r="V13" i="10" s="1"/>
  <c r="S7" i="10"/>
  <c r="V7" i="10" s="1"/>
  <c r="S9" i="10"/>
  <c r="V9" i="10" s="1"/>
  <c r="S4" i="10"/>
  <c r="V4" i="10" s="1"/>
  <c r="S5" i="10"/>
  <c r="V5" i="10" s="1"/>
  <c r="S2" i="10"/>
  <c r="V2" i="10" s="1"/>
  <c r="S8" i="10"/>
  <c r="V8" i="10" s="1"/>
  <c r="S6" i="10"/>
  <c r="V6" i="10" s="1"/>
  <c r="S3" i="10"/>
  <c r="V3" i="10" s="1"/>
  <c r="S44" i="9"/>
  <c r="V44" i="9" s="1"/>
  <c r="V26" i="9"/>
  <c r="V62" i="9"/>
  <c r="S19" i="9"/>
  <c r="V19" i="9" s="1"/>
  <c r="S29" i="9"/>
  <c r="V29" i="9" s="1"/>
  <c r="S65" i="9"/>
  <c r="V65" i="9" s="1"/>
  <c r="V12" i="9"/>
  <c r="V48" i="9"/>
  <c r="S35" i="9"/>
  <c r="V35" i="9" s="1"/>
  <c r="S71" i="9"/>
  <c r="V71" i="9" s="1"/>
  <c r="S33" i="9"/>
  <c r="V33" i="9" s="1"/>
  <c r="S69" i="9"/>
  <c r="V69" i="9" s="1"/>
  <c r="S55" i="9"/>
  <c r="V55" i="9" s="1"/>
  <c r="V39" i="9"/>
  <c r="V75" i="9"/>
  <c r="S25" i="9"/>
  <c r="V25" i="9" s="1"/>
  <c r="S61" i="9"/>
  <c r="V61" i="9" s="1"/>
  <c r="V34" i="9"/>
  <c r="V70" i="9"/>
  <c r="V28" i="9"/>
  <c r="V64" i="9"/>
  <c r="V79" i="9"/>
  <c r="S18" i="9"/>
  <c r="V18" i="9" s="1"/>
  <c r="S38" i="9"/>
  <c r="V38" i="9" s="1"/>
  <c r="S74" i="9"/>
  <c r="V74" i="9" s="1"/>
  <c r="S30" i="9"/>
  <c r="V30" i="9" s="1"/>
  <c r="V41" i="9"/>
  <c r="S77" i="9"/>
  <c r="V77" i="9" s="1"/>
  <c r="V11" i="9"/>
  <c r="V83" i="9"/>
  <c r="S51" i="9"/>
  <c r="V51" i="9" s="1"/>
  <c r="V82" i="9"/>
  <c r="S54" i="9"/>
  <c r="V54" i="9" s="1"/>
  <c r="S24" i="9"/>
  <c r="V24" i="9" s="1"/>
  <c r="S10" i="9"/>
  <c r="V10" i="9" s="1"/>
  <c r="S40" i="9"/>
  <c r="V40" i="9" s="1"/>
  <c r="S76" i="9"/>
  <c r="V76" i="9" s="1"/>
  <c r="V47" i="9"/>
  <c r="S9" i="9"/>
  <c r="V9" i="9" s="1"/>
  <c r="S45" i="9"/>
  <c r="V45" i="9" s="1"/>
  <c r="S15" i="9"/>
  <c r="V15" i="9" s="1"/>
  <c r="S60" i="9"/>
  <c r="V60" i="9" s="1"/>
  <c r="V37" i="9"/>
  <c r="V73" i="9"/>
  <c r="S46" i="9"/>
  <c r="V46" i="9" s="1"/>
  <c r="S32" i="9"/>
  <c r="V32" i="9" s="1"/>
  <c r="V68" i="9"/>
  <c r="S67" i="9"/>
  <c r="V67" i="9" s="1"/>
  <c r="S14" i="9"/>
  <c r="V14" i="9" s="1"/>
  <c r="S50" i="9"/>
  <c r="V50" i="9" s="1"/>
  <c r="V17" i="9"/>
  <c r="V53" i="9"/>
  <c r="S36" i="9"/>
  <c r="V36" i="9" s="1"/>
  <c r="S23" i="9"/>
  <c r="V23" i="9" s="1"/>
  <c r="S59" i="9"/>
  <c r="V59" i="9" s="1"/>
  <c r="S43" i="9"/>
  <c r="V43" i="9" s="1"/>
  <c r="V2" i="9"/>
  <c r="V6" i="9"/>
  <c r="S4" i="9"/>
  <c r="V4" i="9" s="1"/>
  <c r="S36" i="8"/>
  <c r="V36" i="8" s="1"/>
  <c r="V16" i="8"/>
  <c r="V52" i="8"/>
  <c r="S27" i="8"/>
  <c r="V27" i="8" s="1"/>
  <c r="S23" i="8"/>
  <c r="V23" i="8" s="1"/>
  <c r="S46" i="8"/>
  <c r="V46" i="8" s="1"/>
  <c r="V41" i="8"/>
  <c r="V14" i="8"/>
  <c r="V40" i="8"/>
  <c r="V20" i="8"/>
  <c r="S33" i="8"/>
  <c r="V33" i="8" s="1"/>
  <c r="S32" i="8"/>
  <c r="V32" i="8" s="1"/>
  <c r="S31" i="8"/>
  <c r="V31" i="8" s="1"/>
  <c r="S42" i="8"/>
  <c r="V42" i="8" s="1"/>
  <c r="V30" i="8"/>
  <c r="S13" i="8"/>
  <c r="V13" i="8" s="1"/>
  <c r="V12" i="8"/>
  <c r="S48" i="8"/>
  <c r="V48" i="8" s="1"/>
  <c r="S57" i="8"/>
  <c r="V57" i="8" s="1"/>
  <c r="V28" i="8"/>
  <c r="S39" i="8"/>
  <c r="V39" i="8" s="1"/>
  <c r="S38" i="8"/>
  <c r="V38" i="8" s="1"/>
  <c r="V29" i="8"/>
  <c r="S26" i="8"/>
  <c r="V26" i="8" s="1"/>
  <c r="S47" i="8"/>
  <c r="V47" i="8" s="1"/>
  <c r="S35" i="8"/>
  <c r="V35" i="8" s="1"/>
  <c r="S22" i="8"/>
  <c r="V22" i="8" s="1"/>
  <c r="S17" i="8"/>
  <c r="V17" i="8" s="1"/>
  <c r="S53" i="8"/>
  <c r="V53" i="8" s="1"/>
  <c r="V51" i="8"/>
  <c r="S56" i="8"/>
  <c r="V56" i="8" s="1"/>
  <c r="S45" i="8"/>
  <c r="V45" i="8" s="1"/>
  <c r="S44" i="8"/>
  <c r="V44" i="8" s="1"/>
  <c r="S43" i="8"/>
  <c r="V43" i="8" s="1"/>
  <c r="S54" i="8"/>
  <c r="V54" i="8" s="1"/>
  <c r="V2" i="8"/>
  <c r="S3" i="8"/>
  <c r="V3" i="8" s="1"/>
  <c r="S9" i="8"/>
  <c r="V9" i="8" s="1"/>
  <c r="S4" i="8"/>
  <c r="V4" i="8" s="1"/>
  <c r="S8" i="8"/>
  <c r="V8" i="8" s="1"/>
  <c r="V10" i="8"/>
  <c r="V70" i="7"/>
  <c r="S42" i="7"/>
  <c r="V42" i="7" s="1"/>
  <c r="S73" i="7"/>
  <c r="V73" i="7" s="1"/>
  <c r="V16" i="7"/>
  <c r="V27" i="7"/>
  <c r="S38" i="7"/>
  <c r="V38" i="7" s="1"/>
  <c r="S74" i="7"/>
  <c r="V74" i="7" s="1"/>
  <c r="V25" i="7"/>
  <c r="V47" i="7"/>
  <c r="V21" i="7"/>
  <c r="V32" i="7"/>
  <c r="V68" i="7"/>
  <c r="S55" i="7"/>
  <c r="V55" i="7" s="1"/>
  <c r="S17" i="7"/>
  <c r="V17" i="7" s="1"/>
  <c r="V61" i="7"/>
  <c r="S43" i="7"/>
  <c r="V43" i="7" s="1"/>
  <c r="V18" i="7"/>
  <c r="V54" i="7"/>
  <c r="S65" i="7"/>
  <c r="V65" i="7" s="1"/>
  <c r="S45" i="7"/>
  <c r="V45" i="7" s="1"/>
  <c r="S24" i="7"/>
  <c r="V24" i="7" s="1"/>
  <c r="S28" i="7"/>
  <c r="V28" i="7" s="1"/>
  <c r="S64" i="7"/>
  <c r="V64" i="7" s="1"/>
  <c r="V39" i="7"/>
  <c r="V14" i="7"/>
  <c r="V50" i="7"/>
  <c r="S44" i="7"/>
  <c r="V44" i="7" s="1"/>
  <c r="S57" i="7"/>
  <c r="V57" i="7" s="1"/>
  <c r="V41" i="7"/>
  <c r="S19" i="7"/>
  <c r="V19" i="7" s="1"/>
  <c r="S29" i="7"/>
  <c r="V29" i="7" s="1"/>
  <c r="S58" i="7"/>
  <c r="V58" i="7" s="1"/>
  <c r="S33" i="7"/>
  <c r="V33" i="7" s="1"/>
  <c r="S30" i="7"/>
  <c r="V30" i="7" s="1"/>
  <c r="S66" i="7"/>
  <c r="V66" i="7" s="1"/>
  <c r="S69" i="7"/>
  <c r="V69" i="7" s="1"/>
  <c r="S37" i="7"/>
  <c r="V37" i="7" s="1"/>
  <c r="S36" i="7"/>
  <c r="V36" i="7" s="1"/>
  <c r="S72" i="7"/>
  <c r="V72" i="7" s="1"/>
  <c r="S40" i="7"/>
  <c r="V40" i="7" s="1"/>
  <c r="S15" i="7"/>
  <c r="V15" i="7" s="1"/>
  <c r="S26" i="7"/>
  <c r="V26" i="7" s="1"/>
  <c r="S62" i="7"/>
  <c r="V62" i="7" s="1"/>
  <c r="S67" i="7"/>
  <c r="V67" i="7" s="1"/>
  <c r="V10" i="7"/>
  <c r="V2" i="7"/>
  <c r="V5" i="7"/>
  <c r="S7" i="7"/>
  <c r="V7" i="7" s="1"/>
  <c r="S8" i="7"/>
  <c r="V8" i="7" s="1"/>
  <c r="S3" i="7"/>
  <c r="V3" i="7" s="1"/>
  <c r="V88" i="5"/>
  <c r="V41" i="5"/>
  <c r="S75" i="5"/>
  <c r="V75" i="5" s="1"/>
  <c r="S28" i="5"/>
  <c r="V28" i="5" s="1"/>
  <c r="V64" i="5"/>
  <c r="S39" i="5"/>
  <c r="V39" i="5" s="1"/>
  <c r="V23" i="5"/>
  <c r="V59" i="5"/>
  <c r="S95" i="5"/>
  <c r="V95" i="5" s="1"/>
  <c r="S9" i="5"/>
  <c r="V9" i="5" s="1"/>
  <c r="S45" i="5"/>
  <c r="V45" i="5" s="1"/>
  <c r="S20" i="5"/>
  <c r="V20" i="5" s="1"/>
  <c r="S56" i="5"/>
  <c r="V56" i="5" s="1"/>
  <c r="S92" i="5"/>
  <c r="V92" i="5" s="1"/>
  <c r="S7" i="5"/>
  <c r="V7" i="5" s="1"/>
  <c r="S43" i="5"/>
  <c r="V43" i="5" s="1"/>
  <c r="S91" i="5"/>
  <c r="V91" i="5" s="1"/>
  <c r="V30" i="5"/>
  <c r="V66" i="5"/>
  <c r="S13" i="5"/>
  <c r="V13" i="5" s="1"/>
  <c r="S49" i="5"/>
  <c r="V49" i="5" s="1"/>
  <c r="S85" i="5"/>
  <c r="V85" i="5" s="1"/>
  <c r="V48" i="5"/>
  <c r="V63" i="5"/>
  <c r="S96" i="5"/>
  <c r="V96" i="5" s="1"/>
  <c r="S26" i="5"/>
  <c r="V26" i="5" s="1"/>
  <c r="S50" i="5"/>
  <c r="V50" i="5" s="1"/>
  <c r="V72" i="5"/>
  <c r="S94" i="5"/>
  <c r="V94" i="5" s="1"/>
  <c r="V17" i="5"/>
  <c r="V12" i="5"/>
  <c r="S71" i="5"/>
  <c r="V71" i="5" s="1"/>
  <c r="V57" i="5"/>
  <c r="S51" i="5"/>
  <c r="V51" i="5" s="1"/>
  <c r="S14" i="5"/>
  <c r="V14" i="5" s="1"/>
  <c r="S10" i="5"/>
  <c r="V10" i="5" s="1"/>
  <c r="S46" i="5"/>
  <c r="V46" i="5" s="1"/>
  <c r="S82" i="5"/>
  <c r="V82" i="5" s="1"/>
  <c r="V84" i="5"/>
  <c r="V70" i="5"/>
  <c r="V53" i="5"/>
  <c r="S40" i="5"/>
  <c r="V40" i="5" s="1"/>
  <c r="S32" i="5"/>
  <c r="V32" i="5" s="1"/>
  <c r="S68" i="5"/>
  <c r="V68" i="5" s="1"/>
  <c r="S19" i="5"/>
  <c r="V19" i="5" s="1"/>
  <c r="S55" i="5"/>
  <c r="V55" i="5" s="1"/>
  <c r="V42" i="5"/>
  <c r="S78" i="5"/>
  <c r="V78" i="5" s="1"/>
  <c r="V25" i="5"/>
  <c r="V97" i="5"/>
  <c r="S29" i="5"/>
  <c r="V29" i="5" s="1"/>
  <c r="S65" i="5"/>
  <c r="V65" i="5" s="1"/>
  <c r="S36" i="5"/>
  <c r="V36" i="5" s="1"/>
  <c r="S86" i="5"/>
  <c r="V86" i="5" s="1"/>
  <c r="V34" i="5"/>
  <c r="V89" i="5"/>
  <c r="S60" i="5"/>
  <c r="V60" i="5" s="1"/>
  <c r="S93" i="5"/>
  <c r="V93" i="5" s="1"/>
  <c r="S15" i="5"/>
  <c r="V15" i="5" s="1"/>
  <c r="S35" i="5"/>
  <c r="V35" i="5" s="1"/>
  <c r="V21" i="5"/>
  <c r="V16" i="5"/>
  <c r="S52" i="5"/>
  <c r="V52" i="5" s="1"/>
  <c r="S27" i="5"/>
  <c r="V27" i="5" s="1"/>
  <c r="S24" i="5"/>
  <c r="V24" i="5" s="1"/>
  <c r="S11" i="5"/>
  <c r="V11" i="5" s="1"/>
  <c r="S47" i="5"/>
  <c r="V47" i="5" s="1"/>
  <c r="S83" i="5"/>
  <c r="V83" i="5" s="1"/>
  <c r="S33" i="5"/>
  <c r="V33" i="5" s="1"/>
  <c r="S69" i="5"/>
  <c r="V69" i="5" s="1"/>
  <c r="S87" i="5"/>
  <c r="V87" i="5" s="1"/>
  <c r="S62" i="5"/>
  <c r="V62" i="5" s="1"/>
  <c r="V4" i="5"/>
  <c r="S6" i="5"/>
  <c r="V6" i="5" s="1"/>
  <c r="S5" i="5"/>
  <c r="V5" i="5" s="1"/>
  <c r="S14" i="4"/>
  <c r="V14" i="4" s="1"/>
  <c r="V33" i="4"/>
  <c r="S32" i="4"/>
  <c r="V32" i="4" s="1"/>
  <c r="V40" i="4"/>
  <c r="S76" i="4"/>
  <c r="V76" i="4" s="1"/>
  <c r="V61" i="4"/>
  <c r="V27" i="4"/>
  <c r="V57" i="4"/>
  <c r="V11" i="4"/>
  <c r="V47" i="4"/>
  <c r="V19" i="4"/>
  <c r="V55" i="4"/>
  <c r="V42" i="4"/>
  <c r="V41" i="4"/>
  <c r="S62" i="4"/>
  <c r="V62" i="4" s="1"/>
  <c r="V13" i="4"/>
  <c r="V49" i="4"/>
  <c r="V65" i="4"/>
  <c r="S24" i="4"/>
  <c r="V24" i="4" s="1"/>
  <c r="S60" i="4"/>
  <c r="V60" i="4" s="1"/>
  <c r="S70" i="4"/>
  <c r="V70" i="4" s="1"/>
  <c r="V66" i="4"/>
  <c r="S72" i="4"/>
  <c r="V72" i="4" s="1"/>
  <c r="V69" i="4"/>
  <c r="V68" i="4"/>
  <c r="V53" i="4"/>
  <c r="V44" i="4"/>
  <c r="S52" i="4"/>
  <c r="V52" i="4" s="1"/>
  <c r="V59" i="4"/>
  <c r="S31" i="4"/>
  <c r="V31" i="4" s="1"/>
  <c r="S73" i="4"/>
  <c r="V73" i="4" s="1"/>
  <c r="S63" i="4"/>
  <c r="V63" i="4" s="1"/>
  <c r="S38" i="4"/>
  <c r="V38" i="4" s="1"/>
  <c r="S50" i="4"/>
  <c r="V50" i="4" s="1"/>
  <c r="V34" i="4"/>
  <c r="S26" i="4"/>
  <c r="V26" i="4" s="1"/>
  <c r="S45" i="4"/>
  <c r="V45" i="4" s="1"/>
  <c r="S16" i="4"/>
  <c r="V16" i="4" s="1"/>
  <c r="V17" i="4"/>
  <c r="V25" i="4"/>
  <c r="S46" i="4"/>
  <c r="V46" i="4" s="1"/>
  <c r="S21" i="4"/>
  <c r="V21" i="4" s="1"/>
  <c r="S20" i="4"/>
  <c r="V20" i="4" s="1"/>
  <c r="V56" i="4"/>
  <c r="S28" i="4"/>
  <c r="V28" i="4" s="1"/>
  <c r="V64" i="4"/>
  <c r="S15" i="4"/>
  <c r="V15" i="4" s="1"/>
  <c r="S67" i="4"/>
  <c r="V67" i="4" s="1"/>
  <c r="S39" i="4"/>
  <c r="V39" i="4" s="1"/>
  <c r="V18" i="4"/>
  <c r="S36" i="4"/>
  <c r="V36" i="4" s="1"/>
  <c r="S35" i="4"/>
  <c r="V35" i="4" s="1"/>
  <c r="S71" i="4"/>
  <c r="V71" i="4" s="1"/>
  <c r="S43" i="4"/>
  <c r="V43" i="4" s="1"/>
  <c r="V30" i="4"/>
  <c r="S29" i="4"/>
  <c r="V29" i="4" s="1"/>
  <c r="S75" i="4"/>
  <c r="V75" i="4" s="1"/>
  <c r="S37" i="4"/>
  <c r="V37" i="4" s="1"/>
  <c r="V2" i="4"/>
  <c r="S5" i="4"/>
  <c r="V5" i="4" s="1"/>
  <c r="V4" i="4"/>
  <c r="S9" i="4"/>
  <c r="V9" i="4" s="1"/>
  <c r="S8" i="4"/>
  <c r="V8" i="4" s="1"/>
  <c r="S3" i="4"/>
  <c r="V3" i="4" s="1"/>
  <c r="V6" i="4"/>
  <c r="S34" i="3"/>
  <c r="V34" i="3" s="1"/>
  <c r="V44" i="3"/>
  <c r="V30" i="3"/>
  <c r="S40" i="3"/>
  <c r="V40" i="3" s="1"/>
  <c r="V27" i="3"/>
  <c r="S36" i="3"/>
  <c r="V36" i="3" s="1"/>
  <c r="S23" i="3"/>
  <c r="V23" i="3" s="1"/>
  <c r="V16" i="3"/>
  <c r="S37" i="3"/>
  <c r="V37" i="3" s="1"/>
  <c r="V50" i="3"/>
  <c r="V49" i="3"/>
  <c r="S52" i="3"/>
  <c r="V52" i="3" s="1"/>
  <c r="V45" i="3"/>
  <c r="S17" i="3"/>
  <c r="V17" i="3" s="1"/>
  <c r="V14" i="3"/>
  <c r="V38" i="3"/>
  <c r="S39" i="3"/>
  <c r="V39" i="3" s="1"/>
  <c r="S48" i="3"/>
  <c r="V48" i="3" s="1"/>
  <c r="S28" i="3"/>
  <c r="V28" i="3" s="1"/>
  <c r="S25" i="3"/>
  <c r="V25" i="3" s="1"/>
  <c r="S22" i="3"/>
  <c r="V22" i="3" s="1"/>
  <c r="S31" i="3"/>
  <c r="V31" i="3" s="1"/>
  <c r="S54" i="3"/>
  <c r="V54" i="3" s="1"/>
  <c r="S53" i="3"/>
  <c r="V53" i="3" s="1"/>
  <c r="V46" i="3"/>
  <c r="S20" i="3"/>
  <c r="V20" i="3" s="1"/>
  <c r="S42" i="3"/>
  <c r="V42" i="3" s="1"/>
  <c r="S21" i="3"/>
  <c r="V21" i="3" s="1"/>
  <c r="S43" i="3"/>
  <c r="V43" i="3" s="1"/>
  <c r="S32" i="3"/>
  <c r="V32" i="3" s="1"/>
  <c r="S18" i="3"/>
  <c r="V18" i="3" s="1"/>
  <c r="S29" i="3"/>
  <c r="V29" i="3" s="1"/>
  <c r="S4" i="3"/>
  <c r="V4" i="3" s="1"/>
  <c r="S2" i="3"/>
  <c r="V2" i="3" s="1"/>
  <c r="S6" i="3"/>
  <c r="V6" i="3" s="1"/>
  <c r="S13" i="3"/>
  <c r="V13" i="3" s="1"/>
  <c r="V10" i="3"/>
  <c r="V3" i="3"/>
  <c r="V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A4B9E7-FD9A-1541-B0CF-B7BE42601E2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DFB6647D-13AC-4C43-A34D-4790CE8B8F68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3" xr16:uid="{F4050D2C-97D3-4347-9758-D9FC2570E2ED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4" xr16:uid="{DA91DA3C-7A80-644D-A183-6545D1B8919A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5" xr16:uid="{55D8B792-0AD6-384F-B8E8-9C8493A653AF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6" xr16:uid="{1D6CB5D2-EA73-4B47-9AA4-66E429C92B24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7" xr16:uid="{B286FC63-BFF0-F342-B612-5F5AF12309FB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8" xr16:uid="{A5078362-0902-354D-8AA5-EED34D730484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<sst xmlns="http://schemas.openxmlformats.org/spreadsheetml/2006/main" count="194" uniqueCount="33">
  <si>
    <t>Velocity (m/s)</t>
  </si>
  <si>
    <t>Q_steady (W)</t>
  </si>
  <si>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</si>
  <si>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</si>
  <si>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</si>
  <si>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</si>
  <si>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</si>
  <si>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</si>
  <si>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</si>
  <si>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</si>
  <si>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</si>
  <si>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</si>
  <si>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</si>
  <si>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</si>
  <si>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</si>
  <si>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</si>
  <si>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</si>
  <si>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44660.6175451391</t>
  </si>
  <si>
    <t>44660.6217378474</t>
  </si>
  <si>
    <t>44660.6272112270</t>
  </si>
  <si>
    <t>44660.6344490742</t>
  </si>
  <si>
    <t>44660.6398703705</t>
  </si>
  <si>
    <t>44660.6441591437</t>
  </si>
  <si>
    <t>44660.6521834492</t>
  </si>
  <si>
    <t>44660.6561290511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</si>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</sst>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C920A1-A0F5-9E40-9A91-F17C12C21E6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83DBFFB-C2A0-0B4E-B21C-F4C5D974037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3D0233F-D8F6-6342-8A10-B49093F44D66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38E4FCC-DD6F-1847-A0F6-616DAABED730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BADCAAE-0D38-CC47-9FE4-488A1DDDB58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7CF5580-FB68-B644-97AF-DF3C31E25751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38D9144-0E3A-3D4F-A6CB-00B3CA571E2E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B26F9AF-9F54-BF48-9360-1A62902A5D74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D4088-D011-4C48-9DCE-371B3A411AE8}" name="sheet1" displayName="sheet1" ref="A1:O55" tableType="queryTable" totalsRowShown="0">
  <autoFilter ref="A1:O55" xr:uid="{C1BD4088-D011-4C48-9DCE-371B3A411AE8}"/>
  <tableColumns count="15">
    <tableColumn id="1" xr3:uid="{7C104B74-A9E6-A349-8510-496D2D50C9FD}" uniqueName="1" name="Time" queryTableFieldId="1"/>
    <tableColumn id="2" xr3:uid="{FE7E1452-41AE-1541-97AE-DFBB9A49B013}" uniqueName="2" name="T1" queryTableFieldId="2"/>
    <tableColumn id="3" xr3:uid="{48975B06-439F-BC4F-85B4-F4504CF8A19B}" uniqueName="3" name="T2" queryTableFieldId="3"/>
    <tableColumn id="4" xr3:uid="{158B183C-DB6C-714B-9014-5BEF7B179BEF}" uniqueName="4" name="T3" queryTableFieldId="4"/>
    <tableColumn id="5" xr3:uid="{961E9E2D-8094-D840-B8CB-FB543F9D1428}" uniqueName="5" name="T4" queryTableFieldId="5"/>
    <tableColumn id="6" xr3:uid="{41ECA94A-3A6D-B94F-858C-B27669E9BABF}" uniqueName="6" name="T5" queryTableFieldId="6"/>
    <tableColumn id="7" xr3:uid="{071ED521-2C2A-2A49-A999-71B1ED9059BD}" uniqueName="7" name="T6" queryTableFieldId="7"/>
    <tableColumn id="8" xr3:uid="{F50D8E77-5A3D-DF45-A4D6-6067A34B9641}" uniqueName="8" name="T7" queryTableFieldId="8"/>
    <tableColumn id="9" xr3:uid="{AD88725E-A54C-B046-890D-686922632CFB}" uniqueName="9" name="T8" queryTableFieldId="9"/>
    <tableColumn id="10" xr3:uid="{3A6AE4E7-7123-174D-A90A-1EE180F28CD2}" uniqueName="10" name="RTD_IN" queryTableFieldId="10"/>
    <tableColumn id="11" xr3:uid="{24B3C052-08E3-FC48-9327-BF46F610DF5B}" uniqueName="11" name="RTD_OUT" queryTableFieldId="11"/>
    <tableColumn id="12" xr3:uid="{CE6A4B56-7A51-9147-BF86-AD86786F1ECE}" uniqueName="12" name="DPT_TS" queryTableFieldId="12"/>
    <tableColumn id="13" xr3:uid="{6A27B9FD-C532-2F4C-834B-301A5FF0C0BA}" uniqueName="13" name="DPT_nozzle" queryTableFieldId="13"/>
    <tableColumn id="14" xr3:uid="{D46E6245-14D9-C04D-807E-BF67DC973C6D}" uniqueName="14" name="Flow_gps" queryTableFieldId="14"/>
    <tableColumn id="15" xr3:uid="{A83B5E4E-7D25-8A43-AFDB-3E9B23CAFE95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769DD8-EA60-A845-8858-8745CAF29CF8}" name="sheet1__2" displayName="sheet1__2" ref="A1:O76" tableType="queryTable" totalsRowShown="0">
  <autoFilter ref="A1:O76" xr:uid="{B2769DD8-EA60-A845-8858-8745CAF29CF8}"/>
  <tableColumns count="15">
    <tableColumn id="1" xr3:uid="{1A87DB51-CF50-6B4C-99C1-BEE2C14D11A9}" uniqueName="1" name="Time" queryTableFieldId="1"/>
    <tableColumn id="2" xr3:uid="{830AA0EA-3ECF-FF42-8513-8F8059CCB725}" uniqueName="2" name="T1" queryTableFieldId="2"/>
    <tableColumn id="3" xr3:uid="{7E706346-F615-884D-9A5C-29330A9FC730}" uniqueName="3" name="T2" queryTableFieldId="3"/>
    <tableColumn id="4" xr3:uid="{283C6C34-A497-7D4F-AE7F-0CD99E3FD37D}" uniqueName="4" name="T3" queryTableFieldId="4"/>
    <tableColumn id="5" xr3:uid="{4612C25B-3E3F-FA45-9A1C-02BCB6FB62CC}" uniqueName="5" name="T4" queryTableFieldId="5"/>
    <tableColumn id="6" xr3:uid="{DBF6B53C-4142-6642-9909-869FA920C748}" uniqueName="6" name="T5" queryTableFieldId="6"/>
    <tableColumn id="7" xr3:uid="{34BDC8D0-CC02-114B-B9D3-53106D2D63A2}" uniqueName="7" name="T6" queryTableFieldId="7"/>
    <tableColumn id="8" xr3:uid="{19BC87E9-CF49-F848-991C-2C3DD338C81E}" uniqueName="8" name="T7" queryTableFieldId="8"/>
    <tableColumn id="9" xr3:uid="{D9F523AE-1B0B-8344-A802-326B6A7E6D87}" uniqueName="9" name="T8" queryTableFieldId="9"/>
    <tableColumn id="10" xr3:uid="{41D26F9E-2CB3-A742-B180-55EA56B1C9CE}" uniqueName="10" name="RTD_IN" queryTableFieldId="10"/>
    <tableColumn id="11" xr3:uid="{C7040571-089C-2840-BB95-6236E3912834}" uniqueName="11" name="RTD_OUT" queryTableFieldId="11"/>
    <tableColumn id="12" xr3:uid="{89ADC431-04AB-0140-A4D6-1098F18591B3}" uniqueName="12" name="DPT_TS" queryTableFieldId="12"/>
    <tableColumn id="13" xr3:uid="{700FE49B-A57B-754B-8CA1-9D1215A3A3BA}" uniqueName="13" name="DPT_nozzle" queryTableFieldId="13"/>
    <tableColumn id="14" xr3:uid="{6C66AFFF-AE26-3941-8155-673EB97109F7}" uniqueName="14" name="Flow_gps" queryTableFieldId="14"/>
    <tableColumn id="15" xr3:uid="{6CFC8415-BA51-A04D-A7F6-387C53D0CB16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83966C-27D5-124E-B442-9ED596DEF687}" name="sheet1__3" displayName="sheet1__3" ref="A1:O99" tableType="queryTable" totalsRowShown="0">
  <autoFilter ref="A1:O99" xr:uid="{C983966C-27D5-124E-B442-9ED596DEF687}"/>
  <tableColumns count="15">
    <tableColumn id="1" xr3:uid="{1577B61D-7F27-DC42-B63E-65A975338E72}" uniqueName="1" name="Time" queryTableFieldId="1"/>
    <tableColumn id="2" xr3:uid="{2E532024-B1DB-FA4F-9D0F-9C9FC154F8D5}" uniqueName="2" name="T1" queryTableFieldId="2"/>
    <tableColumn id="3" xr3:uid="{5B1FD17E-3286-C046-99B8-8BE73DD0EFC3}" uniqueName="3" name="T2" queryTableFieldId="3"/>
    <tableColumn id="4" xr3:uid="{9D87E255-3026-D840-B6FC-F9D379113C32}" uniqueName="4" name="T3" queryTableFieldId="4"/>
    <tableColumn id="5" xr3:uid="{41F43F22-D918-0448-A88B-2288B8792DB5}" uniqueName="5" name="T4" queryTableFieldId="5"/>
    <tableColumn id="6" xr3:uid="{D8D5C00F-6753-8C4D-86FD-C4536648A402}" uniqueName="6" name="T5" queryTableFieldId="6"/>
    <tableColumn id="7" xr3:uid="{9A2D2117-B614-864D-AD77-93BE792E3682}" uniqueName="7" name="T6" queryTableFieldId="7"/>
    <tableColumn id="8" xr3:uid="{0F7D9DB1-FDA8-7541-BC05-96CEC20192F1}" uniqueName="8" name="T7" queryTableFieldId="8"/>
    <tableColumn id="9" xr3:uid="{C8BFCD15-F4CA-EE4C-B2D1-C30C1DDE02C7}" uniqueName="9" name="T8" queryTableFieldId="9"/>
    <tableColumn id="10" xr3:uid="{EB66E108-B182-6743-9F99-5810ACBF5C02}" uniqueName="10" name="RTD_IN" queryTableFieldId="10"/>
    <tableColumn id="11" xr3:uid="{66DEC33C-5EAB-9D4E-A081-C0348140AD1A}" uniqueName="11" name="RTD_OUT" queryTableFieldId="11"/>
    <tableColumn id="12" xr3:uid="{52504977-7A9C-C44E-A517-4B8B2B6801A3}" uniqueName="12" name="DPT_TS" queryTableFieldId="12"/>
    <tableColumn id="13" xr3:uid="{62F0DA49-74C0-D646-B586-46EC22D4AC9A}" uniqueName="13" name="DPT_nozzle" queryTableFieldId="13"/>
    <tableColumn id="14" xr3:uid="{1F5B2DFE-1BBD-1440-A9D5-A97C6C73F207}" uniqueName="14" name="Flow_gps" queryTableFieldId="14"/>
    <tableColumn id="15" xr3:uid="{510FF233-DE47-B048-BFF3-3B47F0D13D27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F946F3-99BF-DD44-B016-09D9D62C5E5A}" name="sheet1__4" displayName="sheet1__4" ref="A1:O74" tableType="queryTable" totalsRowShown="0">
  <autoFilter ref="A1:O74" xr:uid="{E4F946F3-99BF-DD44-B016-09D9D62C5E5A}"/>
  <tableColumns count="15">
    <tableColumn id="1" xr3:uid="{F4177A4B-8DE3-0C47-A26A-BC5FAFDCA744}" uniqueName="1" name="Time" queryTableFieldId="1"/>
    <tableColumn id="2" xr3:uid="{37952EDB-DB20-6545-9B2A-870619D023ED}" uniqueName="2" name="T1" queryTableFieldId="2"/>
    <tableColumn id="3" xr3:uid="{96604B64-EAEA-DD41-8A17-B150A27FE7A4}" uniqueName="3" name="T2" queryTableFieldId="3"/>
    <tableColumn id="4" xr3:uid="{855A5275-961B-164F-8438-ABB7B6E43664}" uniqueName="4" name="T3" queryTableFieldId="4"/>
    <tableColumn id="5" xr3:uid="{A3B28A0E-4B4D-7347-82EC-AA9B14D1094E}" uniqueName="5" name="T4" queryTableFieldId="5"/>
    <tableColumn id="6" xr3:uid="{235D12F4-EAA8-4747-BB8F-40AA232F086F}" uniqueName="6" name="T5" queryTableFieldId="6"/>
    <tableColumn id="7" xr3:uid="{FE76D672-2446-F248-9814-0EDE65B0C07A}" uniqueName="7" name="T6" queryTableFieldId="7"/>
    <tableColumn id="8" xr3:uid="{18B734C6-4D6F-704C-AE3B-450F0631EEDD}" uniqueName="8" name="T7" queryTableFieldId="8"/>
    <tableColumn id="9" xr3:uid="{07BB37AF-9E9D-F244-8F14-4DF99F2B4595}" uniqueName="9" name="T8" queryTableFieldId="9"/>
    <tableColumn id="10" xr3:uid="{B97A0731-C8B6-4649-A538-BB9C8DAAB505}" uniqueName="10" name="RTD_IN" queryTableFieldId="10"/>
    <tableColumn id="11" xr3:uid="{D1D497D9-2DB3-EA4C-ABE2-37815BF44AFC}" uniqueName="11" name="RTD_OUT" queryTableFieldId="11"/>
    <tableColumn id="12" xr3:uid="{4CF926D4-ACA3-694B-A3BC-68772F09EC8E}" uniqueName="12" name="DPT_TS" queryTableFieldId="12"/>
    <tableColumn id="13" xr3:uid="{B9A96C74-EF44-694E-9CE2-252A3BCD1FFA}" uniqueName="13" name="DPT_nozzle" queryTableFieldId="13"/>
    <tableColumn id="14" xr3:uid="{ED7FC63B-750D-AF48-92F3-9F6F7291A0D8}" uniqueName="14" name="Flow_gps" queryTableFieldId="14"/>
    <tableColumn id="15" xr3:uid="{CE7E8163-7081-BD4B-9F06-BAA9867D9B71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D07441-48C7-A64B-A1F2-C40617BBF12F}" name="sheet1__5" displayName="sheet1__5" ref="A1:O57" tableType="queryTable" totalsRowShown="0">
  <autoFilter ref="A1:O57" xr:uid="{25D07441-48C7-A64B-A1F2-C40617BBF12F}"/>
  <tableColumns count="15">
    <tableColumn id="1" xr3:uid="{34FA061B-E8F0-F842-A3AF-23E3C29CED61}" uniqueName="1" name="Time" queryTableFieldId="1"/>
    <tableColumn id="2" xr3:uid="{C5F922C8-9D93-6641-9B82-2F6A269F984A}" uniqueName="2" name="T1" queryTableFieldId="2"/>
    <tableColumn id="3" xr3:uid="{0EC44613-33B0-F347-A30D-EDD793894741}" uniqueName="3" name="T2" queryTableFieldId="3"/>
    <tableColumn id="4" xr3:uid="{AEC28ED9-212E-6245-91A2-398FAEF4BF1F}" uniqueName="4" name="T3" queryTableFieldId="4"/>
    <tableColumn id="5" xr3:uid="{470F0067-0638-4245-914A-FCC830F9738A}" uniqueName="5" name="T4" queryTableFieldId="5"/>
    <tableColumn id="6" xr3:uid="{1648A323-99A2-3642-933A-544071692715}" uniqueName="6" name="T5" queryTableFieldId="6"/>
    <tableColumn id="7" xr3:uid="{6CAD5354-D4F1-1D42-8345-F92AE0118156}" uniqueName="7" name="T6" queryTableFieldId="7"/>
    <tableColumn id="8" xr3:uid="{8E779D20-9D70-A24A-9208-62872438D4A4}" uniqueName="8" name="T7" queryTableFieldId="8"/>
    <tableColumn id="9" xr3:uid="{AB6459CE-A8AF-B44F-9957-777BAF7767C0}" uniqueName="9" name="T8" queryTableFieldId="9"/>
    <tableColumn id="10" xr3:uid="{2AFBC0F3-52F7-A44E-A5D7-A8936BA6B18C}" uniqueName="10" name="RTD_IN" queryTableFieldId="10"/>
    <tableColumn id="11" xr3:uid="{8BDB9ED2-DFC1-5C42-92B4-82F28A77E23C}" uniqueName="11" name="RTD_OUT" queryTableFieldId="11"/>
    <tableColumn id="12" xr3:uid="{4A37B649-4A8D-4F44-B5B9-867F53131C9A}" uniqueName="12" name="DPT_TS" queryTableFieldId="12"/>
    <tableColumn id="13" xr3:uid="{7C668337-5DCE-C74B-BE80-D2D24A0B25A7}" uniqueName="13" name="DPT_nozzle" queryTableFieldId="13"/>
    <tableColumn id="14" xr3:uid="{31ECC9C4-E9E9-F844-82A5-70879E1DB238}" uniqueName="14" name="Flow_gps" queryTableFieldId="14"/>
    <tableColumn id="15" xr3:uid="{8CCDEC4F-5B25-CC41-B381-31465327119B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687ED2C-CFCF-A84E-BD99-F96FB5F542F6}" name="sheet1__6" displayName="sheet1__6" ref="A1:O83" tableType="queryTable" totalsRowShown="0">
  <autoFilter ref="A1:O83" xr:uid="{B687ED2C-CFCF-A84E-BD99-F96FB5F542F6}"/>
  <tableColumns count="15">
    <tableColumn id="1" xr3:uid="{E1A0197E-D170-4848-B9D9-86B949D9CEA8}" uniqueName="1" name="Time" queryTableFieldId="1"/>
    <tableColumn id="2" xr3:uid="{CBA99CC0-E26B-5F4B-9824-37C8733948BF}" uniqueName="2" name="T1" queryTableFieldId="2"/>
    <tableColumn id="3" xr3:uid="{BF11C6E2-6C09-9047-8B86-52C3D5DF6B9D}" uniqueName="3" name="T2" queryTableFieldId="3"/>
    <tableColumn id="4" xr3:uid="{31FFEB73-8697-6E4A-84F7-95372A8A26E5}" uniqueName="4" name="T3" queryTableFieldId="4"/>
    <tableColumn id="5" xr3:uid="{BADDC7C6-6F99-D542-B113-2B63B4C29D34}" uniqueName="5" name="T4" queryTableFieldId="5"/>
    <tableColumn id="6" xr3:uid="{9AAFAD22-5CC6-B048-B8E1-77A8EC360CB1}" uniqueName="6" name="T5" queryTableFieldId="6"/>
    <tableColumn id="7" xr3:uid="{1FC39370-F47E-A24A-BC31-CA347F1A2659}" uniqueName="7" name="T6" queryTableFieldId="7"/>
    <tableColumn id="8" xr3:uid="{FF97A23A-B5B0-1243-AE0A-F28F5EAFB47D}" uniqueName="8" name="T7" queryTableFieldId="8"/>
    <tableColumn id="9" xr3:uid="{DAAC4885-6424-6D48-B642-ACA53E15C9F5}" uniqueName="9" name="T8" queryTableFieldId="9"/>
    <tableColumn id="10" xr3:uid="{173EA958-F36A-704C-B2D4-E688A4F0ACA0}" uniqueName="10" name="RTD_IN" queryTableFieldId="10"/>
    <tableColumn id="11" xr3:uid="{6DF6BF09-CAFC-6347-B514-96F3E35AEE55}" uniqueName="11" name="RTD_OUT" queryTableFieldId="11"/>
    <tableColumn id="12" xr3:uid="{643E1ACF-8DCA-0149-9654-490E05DD9B8C}" uniqueName="12" name="DPT_TS" queryTableFieldId="12"/>
    <tableColumn id="13" xr3:uid="{2C4BEEC7-E994-F944-AE80-981D845D7560}" uniqueName="13" name="DPT_nozzle" queryTableFieldId="13"/>
    <tableColumn id="14" xr3:uid="{C9204FB8-4208-6647-B741-2A7C950CBD57}" uniqueName="14" name="Flow_gps" queryTableFieldId="14"/>
    <tableColumn id="15" xr3:uid="{2D000EB6-20A8-4E47-9E48-FFAD0402E3A5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386174-ED59-BF41-85E5-8285182EA8F7}" name="sheet1__7" displayName="sheet1__7" ref="A1:O53" tableType="queryTable" totalsRowShown="0">
  <autoFilter ref="A1:O53" xr:uid="{C2386174-ED59-BF41-85E5-8285182EA8F7}"/>
  <tableColumns count="15">
    <tableColumn id="1" xr3:uid="{9E787CF7-C3A0-9643-AD99-63939AC4D65E}" uniqueName="1" name="Time" queryTableFieldId="1"/>
    <tableColumn id="2" xr3:uid="{502830AE-0D2D-0F42-83CF-A9D2B2453499}" uniqueName="2" name="T1" queryTableFieldId="2"/>
    <tableColumn id="3" xr3:uid="{1B3D6E38-6D61-AD47-B216-A4B5DB2C717A}" uniqueName="3" name="T2" queryTableFieldId="3"/>
    <tableColumn id="4" xr3:uid="{248A3E3E-F96C-9E43-9210-8DE3EF54B525}" uniqueName="4" name="T3" queryTableFieldId="4"/>
    <tableColumn id="5" xr3:uid="{3D155F26-6B80-4E44-A089-C009D7B5F913}" uniqueName="5" name="T4" queryTableFieldId="5"/>
    <tableColumn id="6" xr3:uid="{20FFD2D0-2921-4743-B681-6A8091581CCB}" uniqueName="6" name="T5" queryTableFieldId="6"/>
    <tableColumn id="7" xr3:uid="{4A94B1FE-88E5-8749-B2C6-F0D7B369AB3D}" uniqueName="7" name="T6" queryTableFieldId="7"/>
    <tableColumn id="8" xr3:uid="{3B87E96E-C1C1-6E4D-86F5-9E54DF4A9B41}" uniqueName="8" name="T7" queryTableFieldId="8"/>
    <tableColumn id="9" xr3:uid="{317B2122-AE71-604B-A318-24FE259F9465}" uniqueName="9" name="T8" queryTableFieldId="9"/>
    <tableColumn id="10" xr3:uid="{A1CB53CF-C0D4-6241-B283-AB5BBA2157E2}" uniqueName="10" name="RTD_IN" queryTableFieldId="10"/>
    <tableColumn id="11" xr3:uid="{7409406B-6E29-9045-A1A3-63DA77B61BDF}" uniqueName="11" name="RTD_OUT" queryTableFieldId="11"/>
    <tableColumn id="12" xr3:uid="{BF3604B9-CAAF-794A-BEBD-3A257FA29963}" uniqueName="12" name="DPT_TS" queryTableFieldId="12"/>
    <tableColumn id="13" xr3:uid="{F3FC265C-203E-6C43-A5A1-EF6709F208F5}" uniqueName="13" name="DPT_nozzle" queryTableFieldId="13"/>
    <tableColumn id="14" xr3:uid="{4BBE73FD-93D0-8842-A077-02AE70542A41}" uniqueName="14" name="Flow_gps" queryTableFieldId="14"/>
    <tableColumn id="15" xr3:uid="{89FC1D58-71A5-3742-8924-E5287DE4C240}" uniqueName="15" name="DP_liquid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1DA0E0-2FFB-EE4E-915C-59591F0E6B66}" name="sheet1__8" displayName="sheet1__8" ref="A1:O52" tableType="queryTable" totalsRowShown="0">
  <autoFilter ref="A1:O52" xr:uid="{C31DA0E0-2FFB-EE4E-915C-59591F0E6B66}"/>
  <tableColumns count="15">
    <tableColumn id="1" xr3:uid="{0F5F4333-FACD-354F-B013-8DE913BB3D24}" uniqueName="1" name="Time" queryTableFieldId="1"/>
    <tableColumn id="2" xr3:uid="{868926A5-8898-F245-9318-700E0885500E}" uniqueName="2" name="T1" queryTableFieldId="2"/>
    <tableColumn id="3" xr3:uid="{0E72EC2B-B69C-FA4E-AD88-1BE68495B70B}" uniqueName="3" name="T2" queryTableFieldId="3"/>
    <tableColumn id="4" xr3:uid="{62556053-1325-9449-A875-0E48A8BF17EA}" uniqueName="4" name="T3" queryTableFieldId="4"/>
    <tableColumn id="5" xr3:uid="{9AE66747-BCBC-F64C-A67A-542A2901801C}" uniqueName="5" name="T4" queryTableFieldId="5"/>
    <tableColumn id="6" xr3:uid="{9CA7E5FD-3026-E84F-B81A-2E4C5AAAECF8}" uniqueName="6" name="T5" queryTableFieldId="6"/>
    <tableColumn id="7" xr3:uid="{829EFAC6-36DB-9B4C-B0FB-7D28498407AA}" uniqueName="7" name="T6" queryTableFieldId="7"/>
    <tableColumn id="8" xr3:uid="{F60135E2-5635-E24B-9894-20655DA38453}" uniqueName="8" name="T7" queryTableFieldId="8"/>
    <tableColumn id="9" xr3:uid="{CC4044D3-D4C7-2E4A-8D5E-58788A590328}" uniqueName="9" name="T8" queryTableFieldId="9"/>
    <tableColumn id="10" xr3:uid="{242BF3E9-AC81-554E-9F35-07BF4A46D24B}" uniqueName="10" name="RTD_IN" queryTableFieldId="10"/>
    <tableColumn id="11" xr3:uid="{933A2D92-E346-5449-AA38-E37A24AD057B}" uniqueName="11" name="RTD_OUT" queryTableFieldId="11"/>
    <tableColumn id="12" xr3:uid="{222FD89C-6412-E940-9CA6-648A0F557219}" uniqueName="12" name="DPT_TS" queryTableFieldId="12"/>
    <tableColumn id="13" xr3:uid="{325B92F0-0EEB-BB4D-972A-AD84E4753F53}" uniqueName="13" name="DPT_nozzle" queryTableFieldId="13"/>
    <tableColumn id="14" xr3:uid="{E22C5BFF-81BA-864C-8AE5-F829DDAA5D80}" uniqueName="14" name="Flow_gps" queryTableFieldId="14"/>
    <tableColumn id="15" xr3:uid="{3AA5CDB8-AE67-1C43-A330-34BCE0F39F72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5760-6134-3B40-80D2-CA8C18C9A50B}">
  <dimension ref="A1:B9"/>
  <sheetViews>
    <sheetView tabSelected="1" workbookViewId="0">
      <selection activeCell="L19" sqref="L19"/>
    </sheetView>
  </sheetViews>
  <sheetFormatPr baseColWidth="10" defaultRowHeight="16" x14ac:dyDescent="0.2"/>
  <cols>
    <col min="1" max="1" width="17" customWidth="1"/>
    <col min="2" max="2" width="20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 s="2">
        <v>248.56316580977096</v>
      </c>
    </row>
    <row r="3" spans="1:2" x14ac:dyDescent="0.2">
      <c r="A3">
        <v>2</v>
      </c>
      <c r="B3">
        <v>362.07432955946223</v>
      </c>
    </row>
    <row r="4" spans="1:2" x14ac:dyDescent="0.2">
      <c r="A4">
        <v>3</v>
      </c>
      <c r="B4">
        <v>434.1378981693415</v>
      </c>
    </row>
    <row r="5" spans="1:2" x14ac:dyDescent="0.2">
      <c r="A5">
        <v>4</v>
      </c>
      <c r="B5">
        <v>482.65672646957887</v>
      </c>
    </row>
    <row r="6" spans="1:2" x14ac:dyDescent="0.2">
      <c r="A6">
        <v>5</v>
      </c>
      <c r="B6">
        <v>512.1015912955454</v>
      </c>
    </row>
    <row r="7" spans="1:2" x14ac:dyDescent="0.2">
      <c r="A7">
        <v>6</v>
      </c>
      <c r="B7">
        <v>537.91665514346687</v>
      </c>
    </row>
    <row r="8" spans="1:2" x14ac:dyDescent="0.2">
      <c r="A8">
        <v>7</v>
      </c>
      <c r="B8">
        <v>558.87860087298964</v>
      </c>
    </row>
    <row r="9" spans="1:2" x14ac:dyDescent="0.2">
      <c r="A9">
        <v>8</v>
      </c>
      <c r="B9">
        <v>578.78207851989066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719F-F758-524A-B3A5-9EE283AE2BB2}">
  <dimension ref="A1:W55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9.6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44660.614750578898</v>
      </c>
      <c r="B2">
        <v>20.172633999999999</v>
      </c>
      <c r="C2">
        <v>20.144476000000001</v>
      </c>
      <c r="D2">
        <v>20.132947000000001</v>
      </c>
      <c r="E2">
        <v>20.150452999999999</v>
      </c>
      <c r="F2">
        <v>45.219188000000003</v>
      </c>
      <c r="G2">
        <v>44.888199</v>
      </c>
      <c r="H2">
        <v>36.787063000000003</v>
      </c>
      <c r="I2">
        <v>29.721530999999999</v>
      </c>
      <c r="J2">
        <v>55.315092</v>
      </c>
      <c r="K2">
        <v>51.567320000000002</v>
      </c>
      <c r="L2">
        <v>4.1935190000000002</v>
      </c>
      <c r="M2">
        <v>-622.474695</v>
      </c>
      <c r="N2">
        <v>0.935867</v>
      </c>
      <c r="O2">
        <v>3.7680410000000002</v>
      </c>
      <c r="P2">
        <f t="shared" ref="P2:P13" si="0" xml:space="preserve"> N2*0.001/60</f>
        <v>1.5597783333333335E-5</v>
      </c>
      <c r="Q2" cm="1">
        <f t="array" ref="Q2">[1]!PropsSI("D","T",J2+273.15,"P",101325,"Water")</f>
        <v>985.540213402071</v>
      </c>
      <c r="R2" cm="1">
        <f t="array" ref="R2">[1]!PropsSI("D","T",K2+273.15,"P",101325,"Water")</f>
        <v>987.3181428938492</v>
      </c>
      <c r="S2">
        <f t="shared" ref="S2:S13" si="1">(Q2+R2)/2</f>
        <v>986.4291781479601</v>
      </c>
      <c r="T2" cm="1">
        <f t="array" ref="T2">[1]!PropsSI("H","T",J2+273.15,"P",101325,"Water")</f>
        <v>231647.10909490124</v>
      </c>
      <c r="U2" cm="1">
        <f t="array" ref="U2">[1]!PropsSI("H","T",K2+273.15,"P",101325,"Water")</f>
        <v>215972.35137725124</v>
      </c>
      <c r="V2">
        <f t="shared" ref="V2:V13" si="2">S2*P2*(T2-U2)</f>
        <v>241.17352443514196</v>
      </c>
      <c r="W2" s="2">
        <f>AVERAGE(V22:V55)</f>
        <v>248.56316580977096</v>
      </c>
    </row>
    <row r="3" spans="1:23" x14ac:dyDescent="0.2">
      <c r="A3">
        <v>44660.614809027997</v>
      </c>
      <c r="B3">
        <v>20.157164000000002</v>
      </c>
      <c r="C3">
        <v>20.136797999999999</v>
      </c>
      <c r="D3">
        <v>20.126664000000002</v>
      </c>
      <c r="E3">
        <v>20.149747999999999</v>
      </c>
      <c r="F3">
        <v>45.117181000000002</v>
      </c>
      <c r="G3">
        <v>44.809303999999997</v>
      </c>
      <c r="H3">
        <v>36.628802</v>
      </c>
      <c r="I3">
        <v>29.953942999999999</v>
      </c>
      <c r="J3">
        <v>55.311114000000003</v>
      </c>
      <c r="K3">
        <v>51.557147000000001</v>
      </c>
      <c r="L3">
        <v>3.6233439999999999</v>
      </c>
      <c r="M3">
        <v>-622.48122499999999</v>
      </c>
      <c r="N3">
        <v>0.939141</v>
      </c>
      <c r="O3">
        <v>3.3535629999999998</v>
      </c>
      <c r="P3">
        <f t="shared" si="0"/>
        <v>1.5652349999999999E-5</v>
      </c>
      <c r="Q3" cm="1">
        <f t="array" ref="Q3">[1]!PropsSI("D","T",J3+273.15,"P",101325,"Water")</f>
        <v>985.54214724401743</v>
      </c>
      <c r="R3" cm="1">
        <f t="array" ref="R3">[1]!PropsSI("D","T",K3+273.15,"P",101325,"Water")</f>
        <v>987.32284743564821</v>
      </c>
      <c r="S3">
        <f t="shared" si="1"/>
        <v>986.43249733983282</v>
      </c>
      <c r="T3" cm="1">
        <f t="array" ref="T3">[1]!PropsSI("H","T",J3+273.15,"P",101325,"Water")</f>
        <v>231630.46884038131</v>
      </c>
      <c r="U3" cm="1">
        <f t="array" ref="U3">[1]!PropsSI("H","T",K3+273.15,"P",101325,"Water")</f>
        <v>215929.80988360397</v>
      </c>
      <c r="V3">
        <f t="shared" si="2"/>
        <v>242.4179654697507</v>
      </c>
      <c r="W3" s="2"/>
    </row>
    <row r="4" spans="1:23" x14ac:dyDescent="0.2">
      <c r="A4">
        <v>44660.614866898301</v>
      </c>
      <c r="B4">
        <v>20.144898999999999</v>
      </c>
      <c r="C4">
        <v>20.122312999999998</v>
      </c>
      <c r="D4">
        <v>20.110790999999999</v>
      </c>
      <c r="E4">
        <v>20.130362000000002</v>
      </c>
      <c r="F4">
        <v>45.096237000000002</v>
      </c>
      <c r="G4">
        <v>44.724648999999999</v>
      </c>
      <c r="H4">
        <v>37.305608999999997</v>
      </c>
      <c r="I4">
        <v>30.359123</v>
      </c>
      <c r="J4">
        <v>55.302202999999999</v>
      </c>
      <c r="K4">
        <v>51.547291999999999</v>
      </c>
      <c r="L4">
        <v>2.5678860000000001</v>
      </c>
      <c r="M4">
        <v>-622.487348</v>
      </c>
      <c r="N4">
        <v>0.94246399999999997</v>
      </c>
      <c r="O4">
        <v>3.5668129999999998</v>
      </c>
      <c r="P4">
        <f t="shared" si="0"/>
        <v>1.5707733333333332E-5</v>
      </c>
      <c r="Q4" cm="1">
        <f t="array" ref="Q4">[1]!PropsSI("D","T",J4+273.15,"P",101325,"Water")</f>
        <v>985.54647883074642</v>
      </c>
      <c r="R4" cm="1">
        <f t="array" ref="R4">[1]!PropsSI("D","T",K4+273.15,"P",101325,"Water")</f>
        <v>987.32740428120667</v>
      </c>
      <c r="S4">
        <f t="shared" si="1"/>
        <v>986.43694155597655</v>
      </c>
      <c r="T4" cm="1">
        <f t="array" ref="T4">[1]!PropsSI("H","T",J4+273.15,"P",101325,"Water")</f>
        <v>231593.19352006933</v>
      </c>
      <c r="U4" cm="1">
        <f t="array" ref="U4">[1]!PropsSI("H","T",K4+273.15,"P",101325,"Water")</f>
        <v>215888.59823409014</v>
      </c>
      <c r="V4">
        <f t="shared" si="2"/>
        <v>243.33781084581565</v>
      </c>
      <c r="W4" s="2"/>
    </row>
    <row r="5" spans="1:23" x14ac:dyDescent="0.2">
      <c r="A5">
        <v>44660.6149253474</v>
      </c>
      <c r="B5">
        <v>20.135186000000001</v>
      </c>
      <c r="C5">
        <v>20.118254</v>
      </c>
      <c r="D5">
        <v>20.100000999999999</v>
      </c>
      <c r="E5">
        <v>20.127034999999999</v>
      </c>
      <c r="F5">
        <v>45.254499000000003</v>
      </c>
      <c r="G5">
        <v>44.388883999999997</v>
      </c>
      <c r="H5">
        <v>35.819436000000003</v>
      </c>
      <c r="I5">
        <v>29.688759999999998</v>
      </c>
      <c r="J5">
        <v>55.304907999999998</v>
      </c>
      <c r="K5">
        <v>51.538708999999997</v>
      </c>
      <c r="L5">
        <v>2.491155</v>
      </c>
      <c r="M5">
        <v>-622.468165</v>
      </c>
      <c r="N5">
        <v>0.94337000000000004</v>
      </c>
      <c r="O5">
        <v>3.797841</v>
      </c>
      <c r="P5">
        <f t="shared" si="0"/>
        <v>1.5722833333333335E-5</v>
      </c>
      <c r="Q5" cm="1">
        <f t="array" ref="Q5">[1]!PropsSI("D","T",J5+273.15,"P",101325,"Water")</f>
        <v>985.54516399748491</v>
      </c>
      <c r="R5" cm="1">
        <f t="array" ref="R5">[1]!PropsSI("D","T",K5+273.15,"P",101325,"Water")</f>
        <v>987.33137245775492</v>
      </c>
      <c r="S5">
        <f t="shared" si="1"/>
        <v>986.43826822761991</v>
      </c>
      <c r="T5" cm="1">
        <f t="array" ref="T5">[1]!PropsSI("H","T",J5+273.15,"P",101325,"Water")</f>
        <v>231604.50871634428</v>
      </c>
      <c r="U5" cm="1">
        <f t="array" ref="U5">[1]!PropsSI("H","T",K5+273.15,"P",101325,"Water")</f>
        <v>215852.70585991655</v>
      </c>
      <c r="V5">
        <f t="shared" si="2"/>
        <v>244.30423222833343</v>
      </c>
      <c r="W5" s="2"/>
    </row>
    <row r="6" spans="1:23" x14ac:dyDescent="0.2">
      <c r="A6">
        <v>46122.614983796295</v>
      </c>
      <c r="B6">
        <v>20.136575000000001</v>
      </c>
      <c r="C6">
        <v>20.103145000000001</v>
      </c>
      <c r="D6">
        <v>20.074914</v>
      </c>
      <c r="E6">
        <v>20.104963000000001</v>
      </c>
      <c r="F6">
        <v>45.604852000000001</v>
      </c>
      <c r="G6">
        <v>44.137117000000003</v>
      </c>
      <c r="H6">
        <v>37.08728</v>
      </c>
      <c r="I6">
        <v>28.584202000000001</v>
      </c>
      <c r="J6">
        <v>55.299339000000003</v>
      </c>
      <c r="K6">
        <v>51.532350999999998</v>
      </c>
      <c r="L6">
        <v>4.0290379999999999</v>
      </c>
      <c r="M6">
        <v>-622.51224400000001</v>
      </c>
      <c r="N6">
        <v>0.94056700000000004</v>
      </c>
      <c r="O6">
        <v>3.5497719999999999</v>
      </c>
      <c r="P6">
        <f t="shared" si="0"/>
        <v>1.5676116666666667E-5</v>
      </c>
      <c r="Q6" cm="1">
        <f t="array" ref="Q6">[1]!PropsSI("D","T",J6+273.15,"P",101325,"Water")</f>
        <v>985.54787090063837</v>
      </c>
      <c r="R6" cm="1">
        <f t="array" ref="R6">[1]!PropsSI("D","T",K6+273.15,"P",101325,"Water")</f>
        <v>987.33431164440276</v>
      </c>
      <c r="S6">
        <f t="shared" si="1"/>
        <v>986.44109127252057</v>
      </c>
      <c r="T6" cm="1">
        <f t="array" ref="T6">[1]!PropsSI("H","T",J6+273.15,"P",101325,"Water")</f>
        <v>231581.21321906493</v>
      </c>
      <c r="U6" cm="1">
        <f t="array" ref="U6">[1]!PropsSI("H","T",K6+273.15,"P",101325,"Water")</f>
        <v>215826.11800134787</v>
      </c>
      <c r="V6">
        <f t="shared" si="2"/>
        <v>243.62994893099162</v>
      </c>
      <c r="W6" s="2"/>
    </row>
    <row r="7" spans="1:23" x14ac:dyDescent="0.2">
      <c r="A7">
        <v>46122.615042245372</v>
      </c>
      <c r="B7">
        <v>20.129607</v>
      </c>
      <c r="C7">
        <v>20.109936000000001</v>
      </c>
      <c r="D7">
        <v>20.084025</v>
      </c>
      <c r="E7">
        <v>20.107545999999999</v>
      </c>
      <c r="F7">
        <v>45.127797999999999</v>
      </c>
      <c r="G7">
        <v>44.672063000000001</v>
      </c>
      <c r="H7">
        <v>35.735143999999998</v>
      </c>
      <c r="I7">
        <v>29.322085999999999</v>
      </c>
      <c r="J7">
        <v>55.297907000000002</v>
      </c>
      <c r="K7">
        <v>51.522177999999997</v>
      </c>
      <c r="L7">
        <v>3.9947539999999999</v>
      </c>
      <c r="M7">
        <v>-622.455512</v>
      </c>
      <c r="N7">
        <v>0.93752999999999997</v>
      </c>
      <c r="O7">
        <v>3.4745539999999999</v>
      </c>
      <c r="P7">
        <f t="shared" si="0"/>
        <v>1.5625500000000001E-5</v>
      </c>
      <c r="Q7" cm="1">
        <f t="array" ref="Q7">[1]!PropsSI("D","T",J7+273.15,"P",101325,"Water")</f>
        <v>985.54856691653185</v>
      </c>
      <c r="R7" cm="1">
        <f t="array" ref="R7">[1]!PropsSI("D","T",K7+273.15,"P",101325,"Water")</f>
        <v>987.33901389343782</v>
      </c>
      <c r="S7">
        <f t="shared" si="1"/>
        <v>986.44379040498484</v>
      </c>
      <c r="T7" cm="1">
        <f t="array" ref="T7">[1]!PropsSI("H","T",J7+273.15,"P",101325,"Water")</f>
        <v>231575.2230696503</v>
      </c>
      <c r="U7" cm="1">
        <f t="array" ref="U7">[1]!PropsSI("H","T",K7+273.15,"P",101325,"Water")</f>
        <v>215783.57661724457</v>
      </c>
      <c r="V7">
        <f t="shared" si="2"/>
        <v>243.40734477401875</v>
      </c>
      <c r="W7" s="2"/>
    </row>
    <row r="8" spans="1:23" x14ac:dyDescent="0.2">
      <c r="A8">
        <v>46122.615100694442</v>
      </c>
      <c r="B8">
        <v>20.126522999999999</v>
      </c>
      <c r="C8">
        <v>20.099215000000001</v>
      </c>
      <c r="D8">
        <v>20.070288999999999</v>
      </c>
      <c r="E8">
        <v>20.092801999999999</v>
      </c>
      <c r="F8">
        <v>44.955616999999997</v>
      </c>
      <c r="G8">
        <v>44.109234000000001</v>
      </c>
      <c r="H8">
        <v>37.793793000000001</v>
      </c>
      <c r="I8">
        <v>28.954910000000002</v>
      </c>
      <c r="J8">
        <v>55.295997</v>
      </c>
      <c r="K8">
        <v>51.513277000000002</v>
      </c>
      <c r="L8">
        <v>3.14296</v>
      </c>
      <c r="M8">
        <v>-622.47714399999995</v>
      </c>
      <c r="N8">
        <v>0.93809600000000004</v>
      </c>
      <c r="O8">
        <v>3.5578289999999999</v>
      </c>
      <c r="P8">
        <f t="shared" si="0"/>
        <v>1.5634933333333335E-5</v>
      </c>
      <c r="Q8" cm="1">
        <f t="array" ref="Q8">[1]!PropsSI("D","T",J8+273.15,"P",101325,"Water")</f>
        <v>985.54949524201038</v>
      </c>
      <c r="R8" cm="1">
        <f t="array" ref="R8">[1]!PropsSI("D","T",K8+273.15,"P",101325,"Water")</f>
        <v>987.34312764078072</v>
      </c>
      <c r="S8">
        <f t="shared" si="1"/>
        <v>986.44631144139555</v>
      </c>
      <c r="T8" cm="1">
        <f t="array" ref="T8">[1]!PropsSI("H","T",J8+273.15,"P",101325,"Water")</f>
        <v>231567.23341626581</v>
      </c>
      <c r="U8" cm="1">
        <f t="array" ref="U8">[1]!PropsSI("H","T",K8+273.15,"P",101325,"Water")</f>
        <v>215746.35450042327</v>
      </c>
      <c r="V8">
        <f t="shared" si="2"/>
        <v>244.00576858250048</v>
      </c>
      <c r="W8" s="2"/>
    </row>
    <row r="9" spans="1:23" x14ac:dyDescent="0.2">
      <c r="A9">
        <v>46122.615159143519</v>
      </c>
      <c r="B9">
        <v>20.114585999999999</v>
      </c>
      <c r="C9">
        <v>20.118493999999998</v>
      </c>
      <c r="D9">
        <v>20.070062</v>
      </c>
      <c r="E9">
        <v>20.11027</v>
      </c>
      <c r="F9">
        <v>45.012011999999999</v>
      </c>
      <c r="G9">
        <v>44.815026000000003</v>
      </c>
      <c r="H9">
        <v>36.653047999999998</v>
      </c>
      <c r="I9">
        <v>28.743793</v>
      </c>
      <c r="J9">
        <v>55.293610000000001</v>
      </c>
      <c r="K9">
        <v>51.507078</v>
      </c>
      <c r="L9">
        <v>3.8678210000000002</v>
      </c>
      <c r="M9">
        <v>-622.49306200000001</v>
      </c>
      <c r="N9">
        <v>0.94432899999999997</v>
      </c>
      <c r="O9">
        <v>3.8538700000000001</v>
      </c>
      <c r="P9">
        <f t="shared" si="0"/>
        <v>1.5738816666666666E-5</v>
      </c>
      <c r="Q9" cm="1">
        <f t="array" ref="Q9">[1]!PropsSI("D","T",J9+273.15,"P",101325,"Water")</f>
        <v>985.55065537409484</v>
      </c>
      <c r="R9" cm="1">
        <f t="array" ref="R9">[1]!PropsSI("D","T",K9+273.15,"P",101325,"Water")</f>
        <v>987.34599231147104</v>
      </c>
      <c r="S9">
        <f t="shared" si="1"/>
        <v>986.44832384278288</v>
      </c>
      <c r="T9" cm="1">
        <f t="array" ref="T9">[1]!PropsSI("H","T",J9+273.15,"P",101325,"Water")</f>
        <v>231557.24844297257</v>
      </c>
      <c r="U9" cm="1">
        <f t="array" ref="U9">[1]!PropsSI("H","T",K9+273.15,"P",101325,"Water")</f>
        <v>215720.43159583388</v>
      </c>
      <c r="V9">
        <f t="shared" si="2"/>
        <v>245.87496429734</v>
      </c>
      <c r="W9" s="2"/>
    </row>
    <row r="10" spans="1:23" x14ac:dyDescent="0.2">
      <c r="A10">
        <v>44660.615217014099</v>
      </c>
      <c r="B10">
        <v>20.119129000000001</v>
      </c>
      <c r="C10">
        <v>20.125088999999999</v>
      </c>
      <c r="D10">
        <v>20.055296999999999</v>
      </c>
      <c r="E10">
        <v>20.105307</v>
      </c>
      <c r="F10">
        <v>45.511941</v>
      </c>
      <c r="G10">
        <v>44.379230999999997</v>
      </c>
      <c r="H10">
        <v>37.266570999999999</v>
      </c>
      <c r="I10">
        <v>29.313247</v>
      </c>
      <c r="J10">
        <v>55.296793000000001</v>
      </c>
      <c r="K10">
        <v>51.500560999999998</v>
      </c>
      <c r="L10">
        <v>3.9865910000000002</v>
      </c>
      <c r="M10">
        <v>-622.48244999999997</v>
      </c>
      <c r="N10">
        <v>0.93883799999999995</v>
      </c>
      <c r="O10">
        <v>3.4744649999999999</v>
      </c>
      <c r="P10">
        <f t="shared" si="0"/>
        <v>1.5647299999999998E-5</v>
      </c>
      <c r="Q10" cm="1">
        <f t="array" ref="Q10">[1]!PropsSI("D","T",J10+273.15,"P",101325,"Water")</f>
        <v>985.54910836145905</v>
      </c>
      <c r="R10" cm="1">
        <f t="array" ref="R10">[1]!PropsSI("D","T",K10+273.15,"P",101325,"Water")</f>
        <v>987.34900366858835</v>
      </c>
      <c r="S10">
        <f t="shared" si="1"/>
        <v>986.44905601502364</v>
      </c>
      <c r="T10" cm="1">
        <f t="array" ref="T10">[1]!PropsSI("H","T",J10+273.15,"P",101325,"Water")</f>
        <v>231570.56313559331</v>
      </c>
      <c r="U10" cm="1">
        <f t="array" ref="U10">[1]!PropsSI("H","T",K10+273.15,"P",101325,"Water")</f>
        <v>215693.17889530916</v>
      </c>
      <c r="V10">
        <f t="shared" si="2"/>
        <v>245.07162236664351</v>
      </c>
      <c r="W10" s="2"/>
    </row>
    <row r="11" spans="1:23" x14ac:dyDescent="0.2">
      <c r="A11">
        <v>44660.615274884403</v>
      </c>
      <c r="B11">
        <v>20.133078999999999</v>
      </c>
      <c r="C11">
        <v>20.130098</v>
      </c>
      <c r="D11">
        <v>20.065877</v>
      </c>
      <c r="E11">
        <v>20.104519</v>
      </c>
      <c r="F11">
        <v>44.865524000000001</v>
      </c>
      <c r="G11">
        <v>44.333322000000003</v>
      </c>
      <c r="H11">
        <v>36.304737000000003</v>
      </c>
      <c r="I11">
        <v>28.669141</v>
      </c>
      <c r="J11">
        <v>55.298065999999999</v>
      </c>
      <c r="K11">
        <v>51.499608000000002</v>
      </c>
      <c r="L11">
        <v>2.7707329999999999</v>
      </c>
      <c r="M11">
        <v>-622.51428499999997</v>
      </c>
      <c r="N11">
        <v>0.94192699999999996</v>
      </c>
      <c r="O11">
        <v>3.5537749999999999</v>
      </c>
      <c r="P11">
        <f t="shared" si="0"/>
        <v>1.5698783333333333E-5</v>
      </c>
      <c r="Q11" cm="1">
        <f t="array" ref="Q11">[1]!PropsSI("D","T",J11+273.15,"P",101325,"Water")</f>
        <v>985.54848963605184</v>
      </c>
      <c r="R11" cm="1">
        <f t="array" ref="R11">[1]!PropsSI("D","T",K11+273.15,"P",101325,"Water")</f>
        <v>987.34944400521863</v>
      </c>
      <c r="S11">
        <f t="shared" si="1"/>
        <v>986.44896682063518</v>
      </c>
      <c r="T11" cm="1">
        <f t="array" ref="T11">[1]!PropsSI("H","T",J11+273.15,"P",101325,"Water")</f>
        <v>231575.88817699449</v>
      </c>
      <c r="U11" cm="1">
        <f t="array" ref="U11">[1]!PropsSI("H","T",K11+273.15,"P",101325,"Water")</f>
        <v>215689.19365417288</v>
      </c>
      <c r="V11">
        <f t="shared" si="2"/>
        <v>246.02212346594777</v>
      </c>
      <c r="W11" s="2"/>
    </row>
    <row r="12" spans="1:23" x14ac:dyDescent="0.2">
      <c r="A12">
        <v>44660.615332754802</v>
      </c>
      <c r="B12">
        <v>20.134702999999998</v>
      </c>
      <c r="C12">
        <v>20.113130999999999</v>
      </c>
      <c r="D12">
        <v>20.042878000000002</v>
      </c>
      <c r="E12">
        <v>20.116681</v>
      </c>
      <c r="F12">
        <v>45.294361000000002</v>
      </c>
      <c r="G12">
        <v>44.331719999999997</v>
      </c>
      <c r="H12">
        <v>36.403629000000002</v>
      </c>
      <c r="I12">
        <v>28.961967999999999</v>
      </c>
      <c r="J12">
        <v>55.295361</v>
      </c>
      <c r="K12">
        <v>51.500720000000001</v>
      </c>
      <c r="L12">
        <v>3.3694790000000001</v>
      </c>
      <c r="M12">
        <v>-622.461635</v>
      </c>
      <c r="N12">
        <v>0.93857900000000005</v>
      </c>
      <c r="O12">
        <v>3.8331819999999999</v>
      </c>
      <c r="P12">
        <f t="shared" si="0"/>
        <v>1.5642983333333332E-5</v>
      </c>
      <c r="Q12" cm="1">
        <f t="array" ref="Q12">[1]!PropsSI("D","T",J12+273.15,"P",101325,"Water")</f>
        <v>985.54980435480525</v>
      </c>
      <c r="R12" cm="1">
        <f t="array" ref="R12">[1]!PropsSI("D","T",K12+273.15,"P",101325,"Water")</f>
        <v>987.34893020157278</v>
      </c>
      <c r="S12">
        <f t="shared" si="1"/>
        <v>986.44936727818902</v>
      </c>
      <c r="T12" cm="1">
        <f t="array" ref="T12">[1]!PropsSI("H","T",J12+273.15,"P",101325,"Water")</f>
        <v>231564.5729874683</v>
      </c>
      <c r="U12" cm="1">
        <f t="array" ref="U12">[1]!PropsSI("H","T",K12+273.15,"P",101325,"Water")</f>
        <v>215693.84379914976</v>
      </c>
      <c r="V12">
        <f t="shared" si="2"/>
        <v>244.90139686563529</v>
      </c>
      <c r="W12" s="2"/>
    </row>
    <row r="13" spans="1:23" x14ac:dyDescent="0.2">
      <c r="A13">
        <v>44660.615391203901</v>
      </c>
      <c r="B13">
        <v>20.142696999999998</v>
      </c>
      <c r="C13">
        <v>20.122684</v>
      </c>
      <c r="D13">
        <v>20.048946999999998</v>
      </c>
      <c r="E13">
        <v>20.094657000000002</v>
      </c>
      <c r="F13">
        <v>45.497653999999997</v>
      </c>
      <c r="G13">
        <v>44.569178999999998</v>
      </c>
      <c r="H13">
        <v>36.645750999999997</v>
      </c>
      <c r="I13">
        <v>28.802693999999999</v>
      </c>
      <c r="J13">
        <v>55.294564999999999</v>
      </c>
      <c r="K13">
        <v>51.491024000000003</v>
      </c>
      <c r="L13">
        <v>3.6319149999999998</v>
      </c>
      <c r="M13">
        <v>-622.49265300000002</v>
      </c>
      <c r="N13">
        <v>0.94035000000000002</v>
      </c>
      <c r="O13">
        <v>3.3183750000000001</v>
      </c>
      <c r="P13">
        <f t="shared" si="0"/>
        <v>1.5672499999999999E-5</v>
      </c>
      <c r="Q13" cm="1">
        <f t="array" ref="Q13">[1]!PropsSI("D","T",J13+273.15,"P",101325,"Water")</f>
        <v>985.55019122827503</v>
      </c>
      <c r="R13" cm="1">
        <f t="array" ref="R13">[1]!PropsSI("D","T",K13+273.15,"P",101325,"Water")</f>
        <v>987.35341000521055</v>
      </c>
      <c r="S13">
        <f t="shared" si="1"/>
        <v>986.45180061674273</v>
      </c>
      <c r="T13" cm="1">
        <f t="array" ref="T13">[1]!PropsSI("H","T",J13+273.15,"P",101325,"Water")</f>
        <v>231561.24326870195</v>
      </c>
      <c r="U13" cm="1">
        <f t="array" ref="U13">[1]!PropsSI("H","T",K13+273.15,"P",101325,"Water")</f>
        <v>215653.29722408691</v>
      </c>
      <c r="V13">
        <f t="shared" si="2"/>
        <v>245.93948410569931</v>
      </c>
      <c r="W13" s="2"/>
    </row>
    <row r="14" spans="1:23" x14ac:dyDescent="0.2">
      <c r="A14">
        <v>44660.615449653</v>
      </c>
      <c r="B14">
        <v>20.129017999999999</v>
      </c>
      <c r="C14">
        <v>20.131644000000001</v>
      </c>
      <c r="D14">
        <v>20.053726000000001</v>
      </c>
      <c r="E14">
        <v>20.097548</v>
      </c>
      <c r="F14">
        <v>45.376569000000003</v>
      </c>
      <c r="G14">
        <v>44.633068000000002</v>
      </c>
      <c r="H14">
        <v>36.738138999999997</v>
      </c>
      <c r="I14">
        <v>28.714718999999999</v>
      </c>
      <c r="J14">
        <v>55.295520000000003</v>
      </c>
      <c r="K14">
        <v>51.482917999999998</v>
      </c>
      <c r="L14">
        <v>3.7355830000000001</v>
      </c>
      <c r="M14">
        <v>-622.50857099999996</v>
      </c>
      <c r="N14">
        <v>0.93768200000000002</v>
      </c>
      <c r="O14">
        <v>3.2766039999999998</v>
      </c>
      <c r="P14">
        <f t="shared" ref="P14:P55" si="3" xml:space="preserve"> N14*0.001/60</f>
        <v>1.5628033333333334E-5</v>
      </c>
      <c r="Q14" cm="1">
        <f t="array" ref="Q14">[1]!PropsSI("D","T",J14+273.15,"P",101325,"Water")</f>
        <v>985.54972707683123</v>
      </c>
      <c r="R14" cm="1">
        <f t="array" ref="R14">[1]!PropsSI("D","T",K14+273.15,"P",101325,"Water")</f>
        <v>987.35715472227616</v>
      </c>
      <c r="S14">
        <f t="shared" ref="S14:S55" si="4">(Q14+R14)/2</f>
        <v>986.4534408995537</v>
      </c>
      <c r="T14" cm="1">
        <f t="array" ref="T14">[1]!PropsSI("H","T",J14+273.15,"P",101325,"Water")</f>
        <v>231565.238094698</v>
      </c>
      <c r="U14" cm="1">
        <f t="array" ref="U14">[1]!PropsSI("H","T",K14+273.15,"P",101325,"Water")</f>
        <v>215619.39970731235</v>
      </c>
      <c r="V14">
        <f t="shared" ref="V14:V55" si="5">S14*P14*(T14-U14)</f>
        <v>245.82626295376929</v>
      </c>
    </row>
    <row r="15" spans="1:23" x14ac:dyDescent="0.2">
      <c r="A15">
        <v>46122.615507523151</v>
      </c>
      <c r="B15">
        <v>20.133427999999999</v>
      </c>
      <c r="C15">
        <v>20.115814</v>
      </c>
      <c r="D15">
        <v>20.047186</v>
      </c>
      <c r="E15">
        <v>20.099347000000002</v>
      </c>
      <c r="F15">
        <v>45.041687000000003</v>
      </c>
      <c r="G15">
        <v>45.145395000000001</v>
      </c>
      <c r="H15">
        <v>36.440300999999998</v>
      </c>
      <c r="I15">
        <v>28.529537000000001</v>
      </c>
      <c r="J15">
        <v>55.296315999999997</v>
      </c>
      <c r="K15">
        <v>51.483077000000002</v>
      </c>
      <c r="L15">
        <v>3.3135629999999998</v>
      </c>
      <c r="M15">
        <v>-622.46489999999994</v>
      </c>
      <c r="N15">
        <v>0.94003800000000004</v>
      </c>
      <c r="O15">
        <v>3.329151</v>
      </c>
      <c r="P15">
        <f t="shared" si="3"/>
        <v>1.5667300000000002E-5</v>
      </c>
      <c r="Q15" cm="1">
        <f t="array" ref="Q15">[1]!PropsSI("D","T",J15+273.15,"P",101325,"Water")</f>
        <v>985.54934019863254</v>
      </c>
      <c r="R15" cm="1">
        <f t="array" ref="R15">[1]!PropsSI("D","T",K15+273.15,"P",101325,"Water")</f>
        <v>987.35708127337011</v>
      </c>
      <c r="S15">
        <f t="shared" si="4"/>
        <v>986.45321073600132</v>
      </c>
      <c r="T15" cm="1">
        <f t="array" ref="T15">[1]!PropsSI("H","T",J15+273.15,"P",101325,"Water")</f>
        <v>231568.56781378458</v>
      </c>
      <c r="U15" cm="1">
        <f t="array" ref="U15">[1]!PropsSI("H","T",K15+273.15,"P",101325,"Water")</f>
        <v>215620.06461024127</v>
      </c>
      <c r="V15">
        <f t="shared" si="5"/>
        <v>246.48504822096436</v>
      </c>
    </row>
    <row r="16" spans="1:23" x14ac:dyDescent="0.2">
      <c r="A16">
        <v>46122.61556539352</v>
      </c>
      <c r="B16">
        <v>20.117936</v>
      </c>
      <c r="C16">
        <v>20.121583999999999</v>
      </c>
      <c r="D16">
        <v>20.038561000000001</v>
      </c>
      <c r="E16">
        <v>20.074497000000001</v>
      </c>
      <c r="F16">
        <v>45.011394000000003</v>
      </c>
      <c r="G16">
        <v>44.267626999999997</v>
      </c>
      <c r="H16">
        <v>35.751865000000002</v>
      </c>
      <c r="I16">
        <v>28.737698999999999</v>
      </c>
      <c r="J16">
        <v>55.290745999999999</v>
      </c>
      <c r="K16">
        <v>51.488481</v>
      </c>
      <c r="L16">
        <v>3.569061</v>
      </c>
      <c r="M16">
        <v>-622.49632699999995</v>
      </c>
      <c r="N16">
        <v>0.93789500000000003</v>
      </c>
      <c r="O16">
        <v>3.9742769999999998</v>
      </c>
      <c r="P16">
        <f t="shared" si="3"/>
        <v>1.5631583333333335E-5</v>
      </c>
      <c r="Q16" cm="1">
        <f t="array" ref="Q16">[1]!PropsSI("D","T",J16+273.15,"P",101325,"Water")</f>
        <v>985.55204729165666</v>
      </c>
      <c r="R16" cm="1">
        <f t="array" ref="R16">[1]!PropsSI("D","T",K16+273.15,"P",101325,"Water")</f>
        <v>987.35458483685898</v>
      </c>
      <c r="S16">
        <f t="shared" si="4"/>
        <v>986.45331606425782</v>
      </c>
      <c r="T16" cm="1">
        <f t="array" ref="T16">[1]!PropsSI("H","T",J16+273.15,"P",101325,"Water")</f>
        <v>231545.26815092182</v>
      </c>
      <c r="U16" cm="1">
        <f t="array" ref="U16">[1]!PropsSI("H","T",K16+273.15,"P",101325,"Water")</f>
        <v>215642.66295280927</v>
      </c>
      <c r="V16">
        <f t="shared" si="5"/>
        <v>245.21542441532813</v>
      </c>
    </row>
    <row r="17" spans="1:22" x14ac:dyDescent="0.2">
      <c r="A17">
        <v>46122.61562384259</v>
      </c>
      <c r="B17">
        <v>20.138110999999999</v>
      </c>
      <c r="C17">
        <v>20.130444000000001</v>
      </c>
      <c r="D17">
        <v>20.045560999999999</v>
      </c>
      <c r="E17">
        <v>20.091076000000001</v>
      </c>
      <c r="F17">
        <v>45.295864000000002</v>
      </c>
      <c r="G17">
        <v>44.720787000000001</v>
      </c>
      <c r="H17">
        <v>36.839936000000002</v>
      </c>
      <c r="I17">
        <v>29.425726999999998</v>
      </c>
      <c r="J17">
        <v>55.289631999999997</v>
      </c>
      <c r="K17">
        <v>51.482123000000001</v>
      </c>
      <c r="L17">
        <v>4.1980089999999999</v>
      </c>
      <c r="M17">
        <v>-622.50775499999997</v>
      </c>
      <c r="N17">
        <v>0.93570299999999995</v>
      </c>
      <c r="O17">
        <v>3.5551219999999999</v>
      </c>
      <c r="P17">
        <f t="shared" si="3"/>
        <v>1.5595049999999999E-5</v>
      </c>
      <c r="Q17" cm="1">
        <f t="array" ref="Q17">[1]!PropsSI("D","T",J17+273.15,"P",101325,"Water")</f>
        <v>985.55258868721546</v>
      </c>
      <c r="R17" cm="1">
        <f t="array" ref="R17">[1]!PropsSI("D","T",K17+273.15,"P",101325,"Water")</f>
        <v>987.35752196446003</v>
      </c>
      <c r="S17">
        <f t="shared" si="4"/>
        <v>986.45505532583775</v>
      </c>
      <c r="T17" cm="1">
        <f t="array" ref="T17">[1]!PropsSI("H","T",J17+273.15,"P",101325,"Water")</f>
        <v>231540.60821971751</v>
      </c>
      <c r="U17" cm="1">
        <f t="array" ref="U17">[1]!PropsSI("H","T",K17+273.15,"P",101325,"Water")</f>
        <v>215616.0751924768</v>
      </c>
      <c r="V17">
        <f t="shared" si="5"/>
        <v>244.98008455269127</v>
      </c>
    </row>
    <row r="18" spans="1:22" x14ac:dyDescent="0.2">
      <c r="A18">
        <v>46122.615682291667</v>
      </c>
      <c r="B18">
        <v>20.109123</v>
      </c>
      <c r="C18">
        <v>20.105412999999999</v>
      </c>
      <c r="D18">
        <v>20.045842</v>
      </c>
      <c r="E18">
        <v>20.074121000000002</v>
      </c>
      <c r="F18">
        <v>45.254660000000001</v>
      </c>
      <c r="G18">
        <v>44.530092000000003</v>
      </c>
      <c r="H18">
        <v>36.434182</v>
      </c>
      <c r="I18">
        <v>28.361307</v>
      </c>
      <c r="J18">
        <v>55.290109999999999</v>
      </c>
      <c r="K18">
        <v>51.476877999999999</v>
      </c>
      <c r="L18">
        <v>4.1771929999999999</v>
      </c>
      <c r="M18">
        <v>-622.47183800000005</v>
      </c>
      <c r="N18">
        <v>0.93223599999999995</v>
      </c>
      <c r="O18">
        <v>3.5559859999999999</v>
      </c>
      <c r="P18">
        <f t="shared" si="3"/>
        <v>1.5537266666666668E-5</v>
      </c>
      <c r="Q18" cm="1">
        <f t="array" ref="Q18">[1]!PropsSI("D","T",J18+273.15,"P",101325,"Water")</f>
        <v>985.55235638377474</v>
      </c>
      <c r="R18" cm="1">
        <f t="array" ref="R18">[1]!PropsSI("D","T",K18+273.15,"P",101325,"Water")</f>
        <v>987.35994473682274</v>
      </c>
      <c r="S18">
        <f t="shared" si="4"/>
        <v>986.45615056029874</v>
      </c>
      <c r="T18" cm="1">
        <f t="array" ref="T18">[1]!PropsSI("H","T",J18+273.15,"P",101325,"Water")</f>
        <v>231542.60772339979</v>
      </c>
      <c r="U18" cm="1">
        <f t="array" ref="U18">[1]!PropsSI("H","T",K18+273.15,"P",101325,"Water")</f>
        <v>215594.14176314362</v>
      </c>
      <c r="V18">
        <f t="shared" si="5"/>
        <v>244.43946267650671</v>
      </c>
    </row>
    <row r="19" spans="1:22" x14ac:dyDescent="0.2">
      <c r="A19">
        <v>46122.615740162037</v>
      </c>
      <c r="B19">
        <v>20.124856999999999</v>
      </c>
      <c r="C19">
        <v>20.112424000000001</v>
      </c>
      <c r="D19">
        <v>20.059583</v>
      </c>
      <c r="E19">
        <v>20.088640000000002</v>
      </c>
      <c r="F19">
        <v>44.959716999999998</v>
      </c>
      <c r="G19">
        <v>44.813175999999999</v>
      </c>
      <c r="H19">
        <v>36.545681999999999</v>
      </c>
      <c r="I19">
        <v>28.338743999999998</v>
      </c>
      <c r="J19">
        <v>55.288677999999997</v>
      </c>
      <c r="K19">
        <v>51.47052</v>
      </c>
      <c r="L19">
        <v>3.236424</v>
      </c>
      <c r="M19">
        <v>-622.51387699999998</v>
      </c>
      <c r="N19">
        <v>0.94146399999999997</v>
      </c>
      <c r="O19">
        <v>3.45933</v>
      </c>
      <c r="P19">
        <f t="shared" si="3"/>
        <v>1.5691066666666666E-5</v>
      </c>
      <c r="Q19" cm="1">
        <f t="array" ref="Q19">[1]!PropsSI("D","T",J19+273.15,"P",101325,"Water")</f>
        <v>985.55305231788088</v>
      </c>
      <c r="R19" cm="1">
        <f t="array" ref="R19">[1]!PropsSI("D","T",K19+273.15,"P",101325,"Water")</f>
        <v>987.3628813886296</v>
      </c>
      <c r="S19">
        <f t="shared" si="4"/>
        <v>986.45796685325524</v>
      </c>
      <c r="T19" cm="1">
        <f t="array" ref="T19">[1]!PropsSI("H","T",J19+273.15,"P",101325,"Water")</f>
        <v>231536.61757890575</v>
      </c>
      <c r="U19" cm="1">
        <f t="array" ref="U19">[1]!PropsSI("H","T",K19+273.15,"P",101325,"Water")</f>
        <v>215567.55402544807</v>
      </c>
      <c r="V19">
        <f t="shared" si="5"/>
        <v>247.17839135590168</v>
      </c>
    </row>
    <row r="20" spans="1:22" x14ac:dyDescent="0.2">
      <c r="A20">
        <v>46122.615798032406</v>
      </c>
      <c r="B20">
        <v>20.093478000000001</v>
      </c>
      <c r="C20">
        <v>20.085719000000001</v>
      </c>
      <c r="D20">
        <v>20.041243000000001</v>
      </c>
      <c r="E20">
        <v>20.083126</v>
      </c>
      <c r="F20">
        <v>45.396099999999997</v>
      </c>
      <c r="G20">
        <v>44.618341999999998</v>
      </c>
      <c r="H20">
        <v>36.238236000000001</v>
      </c>
      <c r="I20">
        <v>28.886644</v>
      </c>
      <c r="J20">
        <v>55.288519000000001</v>
      </c>
      <c r="K20">
        <v>51.467182000000001</v>
      </c>
      <c r="L20">
        <v>3.3956</v>
      </c>
      <c r="M20">
        <v>-622.50326500000006</v>
      </c>
      <c r="N20">
        <v>0.94219799999999998</v>
      </c>
      <c r="O20">
        <v>3.9967190000000001</v>
      </c>
      <c r="P20">
        <f t="shared" si="3"/>
        <v>1.5703299999999999E-5</v>
      </c>
      <c r="Q20" cm="1">
        <f t="array" ref="Q20">[1]!PropsSI("D","T",J20+273.15,"P",101325,"Water")</f>
        <v>985.55312958911657</v>
      </c>
      <c r="R20" cm="1">
        <f t="array" ref="R20">[1]!PropsSI("D","T",K20+273.15,"P",101325,"Water")</f>
        <v>987.36442304953096</v>
      </c>
      <c r="S20">
        <f t="shared" si="4"/>
        <v>986.45877631932376</v>
      </c>
      <c r="T20" cm="1">
        <f t="array" ref="T20">[1]!PropsSI("H","T",J20+273.15,"P",101325,"Water")</f>
        <v>231535.95247211109</v>
      </c>
      <c r="U20" cm="1">
        <f t="array" ref="U20">[1]!PropsSI("H","T",K20+273.15,"P",101325,"Water")</f>
        <v>215553.59525899027</v>
      </c>
      <c r="V20">
        <f t="shared" si="5"/>
        <v>247.57723125528886</v>
      </c>
    </row>
    <row r="21" spans="1:22" x14ac:dyDescent="0.2">
      <c r="A21">
        <v>46122.615856481483</v>
      </c>
      <c r="B21">
        <v>20.104240999999998</v>
      </c>
      <c r="C21">
        <v>20.083853000000001</v>
      </c>
      <c r="D21">
        <v>20.032181000000001</v>
      </c>
      <c r="E21">
        <v>20.082888000000001</v>
      </c>
      <c r="F21">
        <v>44.930365999999999</v>
      </c>
      <c r="G21">
        <v>44.648344999999999</v>
      </c>
      <c r="H21">
        <v>36.762616000000001</v>
      </c>
      <c r="I21">
        <v>27.984732000000001</v>
      </c>
      <c r="J21">
        <v>55.296315999999997</v>
      </c>
      <c r="K21">
        <v>51.467182000000001</v>
      </c>
      <c r="L21">
        <v>3.540899</v>
      </c>
      <c r="M21">
        <v>-622.49428599999999</v>
      </c>
      <c r="N21">
        <v>0.94186999999999999</v>
      </c>
      <c r="O21">
        <v>3.7848160000000002</v>
      </c>
      <c r="P21">
        <f t="shared" si="3"/>
        <v>1.5697833333333334E-5</v>
      </c>
      <c r="Q21" cm="1">
        <f t="array" ref="Q21">[1]!PropsSI("D","T",J21+273.15,"P",101325,"Water")</f>
        <v>985.54934019863254</v>
      </c>
      <c r="R21" cm="1">
        <f t="array" ref="R21">[1]!PropsSI("D","T",K21+273.15,"P",101325,"Water")</f>
        <v>987.36442304953096</v>
      </c>
      <c r="S21">
        <f t="shared" si="4"/>
        <v>986.45688162408169</v>
      </c>
      <c r="T21" cm="1">
        <f t="array" ref="T21">[1]!PropsSI("H","T",J21+273.15,"P",101325,"Water")</f>
        <v>231568.56781378458</v>
      </c>
      <c r="U21" cm="1">
        <f t="array" ref="U21">[1]!PropsSI("H","T",K21+273.15,"P",101325,"Water")</f>
        <v>215553.59525899027</v>
      </c>
      <c r="V21">
        <f t="shared" si="5"/>
        <v>247.9956250323674</v>
      </c>
    </row>
    <row r="22" spans="1:22" x14ac:dyDescent="0.2">
      <c r="A22">
        <v>46122.615914351853</v>
      </c>
      <c r="B22">
        <v>20.089749999999999</v>
      </c>
      <c r="C22">
        <v>20.073663</v>
      </c>
      <c r="D22">
        <v>20.03453</v>
      </c>
      <c r="E22">
        <v>20.063154999999998</v>
      </c>
      <c r="F22">
        <v>45.282223999999999</v>
      </c>
      <c r="G22">
        <v>44.894120999999998</v>
      </c>
      <c r="H22">
        <v>36.054110000000001</v>
      </c>
      <c r="I22">
        <v>30.445782999999999</v>
      </c>
      <c r="J22">
        <v>55.293292000000001</v>
      </c>
      <c r="K22">
        <v>51.469566</v>
      </c>
      <c r="L22">
        <v>3.5249809999999999</v>
      </c>
      <c r="M22">
        <v>-622.48938799999996</v>
      </c>
      <c r="N22">
        <v>0.944886</v>
      </c>
      <c r="O22">
        <v>3.0897739999999998</v>
      </c>
      <c r="P22">
        <f t="shared" si="3"/>
        <v>1.5748099999999999E-5</v>
      </c>
      <c r="Q22" cm="1">
        <f t="array" ref="Q22">[1]!PropsSI("D","T",J22+273.15,"P",101325,"Water")</f>
        <v>985.55080992608487</v>
      </c>
      <c r="R22" cm="1">
        <f t="array" ref="R22">[1]!PropsSI("D","T",K22+273.15,"P",101325,"Water")</f>
        <v>987.36332200246102</v>
      </c>
      <c r="S22">
        <f t="shared" si="4"/>
        <v>986.45706596427294</v>
      </c>
      <c r="T22" cm="1">
        <f t="array" ref="T22">[1]!PropsSI("H","T",J22+273.15,"P",101325,"Water")</f>
        <v>231555.91822881057</v>
      </c>
      <c r="U22" cm="1">
        <f t="array" ref="U22">[1]!PropsSI("H","T",K22+273.15,"P",101325,"Water")</f>
        <v>215563.56461134146</v>
      </c>
      <c r="V22">
        <f t="shared" si="5"/>
        <v>248.43840711735737</v>
      </c>
    </row>
    <row r="23" spans="1:22" x14ac:dyDescent="0.2">
      <c r="A23">
        <v>46122.615972800922</v>
      </c>
      <c r="B23">
        <v>20.116880999999999</v>
      </c>
      <c r="C23">
        <v>20.099174000000001</v>
      </c>
      <c r="D23">
        <v>20.047032999999999</v>
      </c>
      <c r="E23">
        <v>20.084949999999999</v>
      </c>
      <c r="F23">
        <v>45.005547999999997</v>
      </c>
      <c r="G23">
        <v>44.684033999999997</v>
      </c>
      <c r="H23">
        <v>36.582894000000003</v>
      </c>
      <c r="I23">
        <v>30.368241999999999</v>
      </c>
      <c r="J23">
        <v>55.283268</v>
      </c>
      <c r="K23">
        <v>51.462096000000003</v>
      </c>
      <c r="L23">
        <v>4.2702499999999999</v>
      </c>
      <c r="M23">
        <v>-622.48163399999999</v>
      </c>
      <c r="N23">
        <v>0.94242700000000001</v>
      </c>
      <c r="O23">
        <v>3.7794400000000001</v>
      </c>
      <c r="P23">
        <f t="shared" si="3"/>
        <v>1.5707116666666667E-5</v>
      </c>
      <c r="Q23" cm="1">
        <f t="array" ref="Q23">[1]!PropsSI("D","T",J23+273.15,"P",101325,"Water")</f>
        <v>985.55568139574234</v>
      </c>
      <c r="R23" cm="1">
        <f t="array" ref="R23">[1]!PropsSI("D","T",K23+273.15,"P",101325,"Water")</f>
        <v>987.36677188899557</v>
      </c>
      <c r="S23">
        <f t="shared" si="4"/>
        <v>986.46122664236896</v>
      </c>
      <c r="T23" cm="1">
        <f t="array" ref="T23">[1]!PropsSI("H","T",J23+273.15,"P",101325,"Water")</f>
        <v>231513.9872211559</v>
      </c>
      <c r="U23" cm="1">
        <f t="array" ref="U23">[1]!PropsSI("H","T",K23+273.15,"P",101325,"Water")</f>
        <v>215532.32675568375</v>
      </c>
      <c r="V23">
        <f t="shared" si="5"/>
        <v>247.62722397120962</v>
      </c>
    </row>
    <row r="24" spans="1:22" x14ac:dyDescent="0.2">
      <c r="A24">
        <v>46122.61603125</v>
      </c>
      <c r="B24">
        <v>20.094942</v>
      </c>
      <c r="C24">
        <v>20.075095999999998</v>
      </c>
      <c r="D24">
        <v>20.032015000000001</v>
      </c>
      <c r="E24">
        <v>20.078129000000001</v>
      </c>
      <c r="F24">
        <v>45.263012000000003</v>
      </c>
      <c r="G24">
        <v>45.04054</v>
      </c>
      <c r="H24">
        <v>36.187348</v>
      </c>
      <c r="I24">
        <v>29.781048999999999</v>
      </c>
      <c r="J24">
        <v>55.286608999999999</v>
      </c>
      <c r="K24">
        <v>51.452399999999997</v>
      </c>
      <c r="L24">
        <v>3.4278430000000002</v>
      </c>
      <c r="M24">
        <v>-622.51142800000002</v>
      </c>
      <c r="N24">
        <v>0.93831699999999996</v>
      </c>
      <c r="O24">
        <v>3.472178</v>
      </c>
      <c r="P24">
        <f t="shared" si="3"/>
        <v>1.5638616666666666E-5</v>
      </c>
      <c r="Q24" cm="1">
        <f t="array" ref="Q24">[1]!PropsSI("D","T",J24+273.15,"P",101325,"Water")</f>
        <v>985.5540578036215</v>
      </c>
      <c r="R24" cm="1">
        <f t="array" ref="R24">[1]!PropsSI("D","T",K24+273.15,"P",101325,"Water")</f>
        <v>987.37124927711841</v>
      </c>
      <c r="S24">
        <f t="shared" si="4"/>
        <v>986.46265354036996</v>
      </c>
      <c r="T24" cm="1">
        <f t="array" ref="T24">[1]!PropsSI("H","T",J24+273.15,"P",101325,"Water")</f>
        <v>231527.96282526411</v>
      </c>
      <c r="U24" cm="1">
        <f t="array" ref="U24">[1]!PropsSI("H","T",K24+273.15,"P",101325,"Water")</f>
        <v>215491.7802955271</v>
      </c>
      <c r="V24">
        <f t="shared" si="5"/>
        <v>247.38876539188118</v>
      </c>
    </row>
    <row r="25" spans="1:22" x14ac:dyDescent="0.2">
      <c r="A25">
        <v>46122.616089120369</v>
      </c>
      <c r="B25">
        <v>20.113022000000001</v>
      </c>
      <c r="C25">
        <v>20.097901</v>
      </c>
      <c r="D25">
        <v>20.039027999999998</v>
      </c>
      <c r="E25">
        <v>20.063931</v>
      </c>
      <c r="F25">
        <v>45.177802999999997</v>
      </c>
      <c r="G25">
        <v>44.562438999999998</v>
      </c>
      <c r="H25">
        <v>36.429076999999999</v>
      </c>
      <c r="I25">
        <v>29.157398000000001</v>
      </c>
      <c r="J25">
        <v>55.288359</v>
      </c>
      <c r="K25">
        <v>51.447631999999999</v>
      </c>
      <c r="L25">
        <v>3.6021200000000002</v>
      </c>
      <c r="M25">
        <v>-622.48571500000003</v>
      </c>
      <c r="N25">
        <v>0.93668600000000002</v>
      </c>
      <c r="O25">
        <v>3.477274</v>
      </c>
      <c r="P25">
        <f t="shared" si="3"/>
        <v>1.5611433333333334E-5</v>
      </c>
      <c r="Q25" cm="1">
        <f t="array" ref="Q25">[1]!PropsSI("D","T",J25+273.15,"P",101325,"Water")</f>
        <v>985.55320734617737</v>
      </c>
      <c r="R25" cm="1">
        <f t="array" ref="R25">[1]!PropsSI("D","T",K25+273.15,"P",101325,"Water")</f>
        <v>987.37345080657087</v>
      </c>
      <c r="S25">
        <f t="shared" si="4"/>
        <v>986.46332907637407</v>
      </c>
      <c r="T25" cm="1">
        <f t="array" ref="T25">[1]!PropsSI("H","T",J25+273.15,"P",101325,"Water")</f>
        <v>231535.28318222376</v>
      </c>
      <c r="U25" cm="1">
        <f t="array" ref="U25">[1]!PropsSI("H","T",K25+273.15,"P",101325,"Water")</f>
        <v>215471.8416177863</v>
      </c>
      <c r="V25">
        <f t="shared" si="5"/>
        <v>247.3787108111768</v>
      </c>
    </row>
    <row r="26" spans="1:22" x14ac:dyDescent="0.2">
      <c r="A26">
        <v>46122.616147569446</v>
      </c>
      <c r="B26">
        <v>20.110935000000001</v>
      </c>
      <c r="C26">
        <v>20.097456999999999</v>
      </c>
      <c r="D26">
        <v>20.034638000000001</v>
      </c>
      <c r="E26">
        <v>20.078427000000001</v>
      </c>
      <c r="F26">
        <v>45.036631999999997</v>
      </c>
      <c r="G26">
        <v>44.434565999999997</v>
      </c>
      <c r="H26">
        <v>36.040278999999998</v>
      </c>
      <c r="I26">
        <v>30.126100000000001</v>
      </c>
      <c r="J26">
        <v>55.289313999999997</v>
      </c>
      <c r="K26">
        <v>51.452081999999997</v>
      </c>
      <c r="L26">
        <v>2.7119610000000001</v>
      </c>
      <c r="M26">
        <v>-622.51306099999999</v>
      </c>
      <c r="N26">
        <v>0.94310799999999995</v>
      </c>
      <c r="O26">
        <v>3.5816680000000001</v>
      </c>
      <c r="P26">
        <f t="shared" si="3"/>
        <v>1.5718466666666665E-5</v>
      </c>
      <c r="Q26" cm="1">
        <f t="array" ref="Q26">[1]!PropsSI("D","T",J26+273.15,"P",101325,"Water")</f>
        <v>985.55274323139179</v>
      </c>
      <c r="R26" cm="1">
        <f t="array" ref="R26">[1]!PropsSI("D","T",K26+273.15,"P",101325,"Water")</f>
        <v>987.37139611190014</v>
      </c>
      <c r="S26">
        <f t="shared" si="4"/>
        <v>986.46206967164596</v>
      </c>
      <c r="T26" cm="1">
        <f t="array" ref="T26">[1]!PropsSI("H","T",J26+273.15,"P",101325,"Water")</f>
        <v>231539.2780060966</v>
      </c>
      <c r="U26" cm="1">
        <f t="array" ref="U26">[1]!PropsSI("H","T",K26+273.15,"P",101325,"Water")</f>
        <v>215490.45049252515</v>
      </c>
      <c r="V26">
        <f t="shared" si="5"/>
        <v>248.84784193003892</v>
      </c>
    </row>
    <row r="27" spans="1:22" x14ac:dyDescent="0.2">
      <c r="A27">
        <v>46122.616205439816</v>
      </c>
      <c r="B27">
        <v>20.121969</v>
      </c>
      <c r="C27">
        <v>20.086338000000001</v>
      </c>
      <c r="D27">
        <v>20.022129</v>
      </c>
      <c r="E27">
        <v>20.069262999999999</v>
      </c>
      <c r="F27">
        <v>45.081356</v>
      </c>
      <c r="G27">
        <v>44.867429999999999</v>
      </c>
      <c r="H27">
        <v>36.763461</v>
      </c>
      <c r="I27">
        <v>29.473189000000001</v>
      </c>
      <c r="J27">
        <v>55.286926999999999</v>
      </c>
      <c r="K27">
        <v>51.453989999999997</v>
      </c>
      <c r="L27">
        <v>3.4364140000000001</v>
      </c>
      <c r="M27">
        <v>-622.50449000000003</v>
      </c>
      <c r="N27">
        <v>0.93809600000000004</v>
      </c>
      <c r="O27">
        <v>3.593499</v>
      </c>
      <c r="P27">
        <f t="shared" si="3"/>
        <v>1.5634933333333335E-5</v>
      </c>
      <c r="Q27" cm="1">
        <f t="array" ref="Q27">[1]!PropsSI("D","T",J27+273.15,"P",101325,"Water")</f>
        <v>985.55390326475901</v>
      </c>
      <c r="R27" cm="1">
        <f t="array" ref="R27">[1]!PropsSI("D","T",K27+273.15,"P",101325,"Water")</f>
        <v>987.37051509354114</v>
      </c>
      <c r="S27">
        <f t="shared" si="4"/>
        <v>986.46220917915002</v>
      </c>
      <c r="T27" cm="1">
        <f t="array" ref="T27">[1]!PropsSI("H","T",J27+273.15,"P",101325,"Water")</f>
        <v>231529.29303861668</v>
      </c>
      <c r="U27" cm="1">
        <f t="array" ref="U27">[1]!PropsSI("H","T",K27+273.15,"P",101325,"Water")</f>
        <v>215498.42931079958</v>
      </c>
      <c r="V27">
        <f t="shared" si="5"/>
        <v>247.24835365627752</v>
      </c>
    </row>
    <row r="28" spans="1:22" x14ac:dyDescent="0.2">
      <c r="A28">
        <v>46122.616263310185</v>
      </c>
      <c r="B28">
        <v>20.120830999999999</v>
      </c>
      <c r="C28">
        <v>20.098213999999999</v>
      </c>
      <c r="D28">
        <v>20.039805999999999</v>
      </c>
      <c r="E28">
        <v>20.073661000000001</v>
      </c>
      <c r="F28">
        <v>45.114165</v>
      </c>
      <c r="G28">
        <v>44.222347999999997</v>
      </c>
      <c r="H28">
        <v>37.209116999999999</v>
      </c>
      <c r="I28">
        <v>30.227191000000001</v>
      </c>
      <c r="J28">
        <v>55.284063000000003</v>
      </c>
      <c r="K28">
        <v>51.450969999999998</v>
      </c>
      <c r="L28">
        <v>3.7086450000000002</v>
      </c>
      <c r="M28">
        <v>-622.45102299999996</v>
      </c>
      <c r="N28">
        <v>0.93512499999999998</v>
      </c>
      <c r="O28">
        <v>3.535031</v>
      </c>
      <c r="P28">
        <f t="shared" si="3"/>
        <v>1.5585416666666665E-5</v>
      </c>
      <c r="Q28" cm="1">
        <f t="array" ref="Q28">[1]!PropsSI("D","T",J28+273.15,"P",101325,"Water")</f>
        <v>985.55529506384141</v>
      </c>
      <c r="R28" cm="1">
        <f t="array" ref="R28">[1]!PropsSI("D","T",K28+273.15,"P",101325,"Water")</f>
        <v>987.37190956665268</v>
      </c>
      <c r="S28">
        <f t="shared" si="4"/>
        <v>986.46360231524704</v>
      </c>
      <c r="T28" cm="1">
        <f t="array" ref="T28">[1]!PropsSI("H","T",J28+273.15,"P",101325,"Water")</f>
        <v>231517.31275362268</v>
      </c>
      <c r="U28" cm="1">
        <f t="array" ref="U28">[1]!PropsSI("H","T",K28+273.15,"P",101325,"Water")</f>
        <v>215485.80036415035</v>
      </c>
      <c r="V28">
        <f t="shared" si="5"/>
        <v>246.47562583608254</v>
      </c>
    </row>
    <row r="29" spans="1:22" x14ac:dyDescent="0.2">
      <c r="A29">
        <v>46122.616321759262</v>
      </c>
      <c r="B29">
        <v>20.136980000000001</v>
      </c>
      <c r="C29">
        <v>20.102385000000002</v>
      </c>
      <c r="D29">
        <v>20.044440000000002</v>
      </c>
      <c r="E29">
        <v>20.077328999999999</v>
      </c>
      <c r="F29">
        <v>44.993819000000002</v>
      </c>
      <c r="G29">
        <v>44.823580999999997</v>
      </c>
      <c r="H29">
        <v>36.068434000000003</v>
      </c>
      <c r="I29">
        <v>29.620329999999999</v>
      </c>
      <c r="J29">
        <v>55.296156000000003</v>
      </c>
      <c r="K29">
        <v>51.451763999999997</v>
      </c>
      <c r="L29">
        <v>2.6833909999999999</v>
      </c>
      <c r="M29">
        <v>-622.47591999999997</v>
      </c>
      <c r="N29">
        <v>0.93834200000000001</v>
      </c>
      <c r="O29">
        <v>3.6914509999999998</v>
      </c>
      <c r="P29">
        <f t="shared" si="3"/>
        <v>1.5639033333333334E-5</v>
      </c>
      <c r="Q29" cm="1">
        <f t="array" ref="Q29">[1]!PropsSI("D","T",J29+273.15,"P",101325,"Water")</f>
        <v>985.54941796341666</v>
      </c>
      <c r="R29" cm="1">
        <f t="array" ref="R29">[1]!PropsSI("D","T",K29+273.15,"P",101325,"Water")</f>
        <v>987.37154294599532</v>
      </c>
      <c r="S29">
        <f t="shared" si="4"/>
        <v>986.46048045470593</v>
      </c>
      <c r="T29" cm="1">
        <f t="array" ref="T29">[1]!PropsSI("H","T",J29+273.15,"P",101325,"Water")</f>
        <v>231567.89852351978</v>
      </c>
      <c r="U29" cm="1">
        <f t="array" ref="U29">[1]!PropsSI("H","T",K29+273.15,"P",101325,"Water")</f>
        <v>215489.12068962073</v>
      </c>
      <c r="V29">
        <f t="shared" si="5"/>
        <v>248.05194173158864</v>
      </c>
    </row>
    <row r="30" spans="1:22" x14ac:dyDescent="0.2">
      <c r="A30">
        <v>46122.616380208332</v>
      </c>
      <c r="B30">
        <v>20.126822000000001</v>
      </c>
      <c r="C30">
        <v>20.096724999999999</v>
      </c>
      <c r="D30">
        <v>20.042494999999999</v>
      </c>
      <c r="E30">
        <v>20.082526999999999</v>
      </c>
      <c r="F30">
        <v>45.096649999999997</v>
      </c>
      <c r="G30">
        <v>44.632527000000003</v>
      </c>
      <c r="H30">
        <v>36.052124999999997</v>
      </c>
      <c r="I30">
        <v>29.727492000000002</v>
      </c>
      <c r="J30">
        <v>55.296793000000001</v>
      </c>
      <c r="K30">
        <v>51.451287999999998</v>
      </c>
      <c r="L30">
        <v>3.4164150000000002</v>
      </c>
      <c r="M30">
        <v>-622.5</v>
      </c>
      <c r="N30">
        <v>0.93741600000000003</v>
      </c>
      <c r="O30">
        <v>3.7773439999999998</v>
      </c>
      <c r="P30">
        <f t="shared" si="3"/>
        <v>1.5623600000000001E-5</v>
      </c>
      <c r="Q30" cm="1">
        <f t="array" ref="Q30">[1]!PropsSI("D","T",J30+273.15,"P",101325,"Water")</f>
        <v>985.54910836145905</v>
      </c>
      <c r="R30" cm="1">
        <f t="array" ref="R30">[1]!PropsSI("D","T",K30+273.15,"P",101325,"Water")</f>
        <v>987.37176273417811</v>
      </c>
      <c r="S30">
        <f t="shared" si="4"/>
        <v>986.46043554781863</v>
      </c>
      <c r="T30" cm="1">
        <f t="array" ref="T30">[1]!PropsSI("H","T",J30+273.15,"P",101325,"Water")</f>
        <v>231570.56313559331</v>
      </c>
      <c r="U30" cm="1">
        <f t="array" ref="U30">[1]!PropsSI("H","T",K30+273.15,"P",101325,"Water")</f>
        <v>215487.13016698725</v>
      </c>
      <c r="V30">
        <f t="shared" si="5"/>
        <v>247.87888636339352</v>
      </c>
    </row>
    <row r="31" spans="1:22" x14ac:dyDescent="0.2">
      <c r="A31">
        <v>46122.616438657409</v>
      </c>
      <c r="B31">
        <v>20.120228999999998</v>
      </c>
      <c r="C31">
        <v>20.099706999999999</v>
      </c>
      <c r="D31">
        <v>20.033173000000001</v>
      </c>
      <c r="E31">
        <v>20.067097</v>
      </c>
      <c r="F31">
        <v>45.333593999999998</v>
      </c>
      <c r="G31">
        <v>44.815275999999997</v>
      </c>
      <c r="H31">
        <v>35.739704000000003</v>
      </c>
      <c r="I31">
        <v>29.105094000000001</v>
      </c>
      <c r="J31">
        <v>55.295520000000003</v>
      </c>
      <c r="K31">
        <v>51.454307999999997</v>
      </c>
      <c r="L31">
        <v>3.3392759999999999</v>
      </c>
      <c r="M31">
        <v>-622.48693900000001</v>
      </c>
      <c r="N31">
        <v>0.93784999999999996</v>
      </c>
      <c r="O31">
        <v>3.8753839999999999</v>
      </c>
      <c r="P31">
        <f t="shared" si="3"/>
        <v>1.5630833333333333E-5</v>
      </c>
      <c r="Q31" cm="1">
        <f t="array" ref="Q31">[1]!PropsSI("D","T",J31+273.15,"P",101325,"Water")</f>
        <v>985.54972707683123</v>
      </c>
      <c r="R31" cm="1">
        <f t="array" ref="R31">[1]!PropsSI("D","T",K31+273.15,"P",101325,"Water")</f>
        <v>987.37036825486757</v>
      </c>
      <c r="S31">
        <f t="shared" si="4"/>
        <v>986.4600476658494</v>
      </c>
      <c r="T31" cm="1">
        <f t="array" ref="T31">[1]!PropsSI("H","T",J31+273.15,"P",101325,"Water")</f>
        <v>231565.238094698</v>
      </c>
      <c r="U31" cm="1">
        <f t="array" ref="U31">[1]!PropsSI("H","T",K31+273.15,"P",101325,"Water")</f>
        <v>215499.75911402452</v>
      </c>
      <c r="V31">
        <f t="shared" si="5"/>
        <v>247.7167145348435</v>
      </c>
    </row>
    <row r="32" spans="1:22" x14ac:dyDescent="0.2">
      <c r="A32">
        <v>46122.616496527779</v>
      </c>
      <c r="B32">
        <v>20.114015999999999</v>
      </c>
      <c r="C32">
        <v>20.0961</v>
      </c>
      <c r="D32">
        <v>20.036066999999999</v>
      </c>
      <c r="E32">
        <v>20.073408000000001</v>
      </c>
      <c r="F32">
        <v>45.285803999999999</v>
      </c>
      <c r="G32">
        <v>44.496735999999999</v>
      </c>
      <c r="H32">
        <v>36.329085999999997</v>
      </c>
      <c r="I32">
        <v>30.528849000000001</v>
      </c>
      <c r="J32">
        <v>55.292338000000001</v>
      </c>
      <c r="K32">
        <v>51.455579</v>
      </c>
      <c r="L32">
        <v>3.6845650000000001</v>
      </c>
      <c r="M32">
        <v>-622.47877700000004</v>
      </c>
      <c r="N32">
        <v>0.94173099999999998</v>
      </c>
      <c r="O32">
        <v>3.4906549999999998</v>
      </c>
      <c r="P32">
        <f t="shared" si="3"/>
        <v>1.5695516666666666E-5</v>
      </c>
      <c r="Q32" cm="1">
        <f t="array" ref="Q32">[1]!PropsSI("D","T",J32+273.15,"P",101325,"Water")</f>
        <v>985.55127357837625</v>
      </c>
      <c r="R32" cm="1">
        <f t="array" ref="R32">[1]!PropsSI("D","T",K32+273.15,"P",101325,"Water")</f>
        <v>987.36978135541256</v>
      </c>
      <c r="S32">
        <f t="shared" si="4"/>
        <v>986.4605274668944</v>
      </c>
      <c r="T32" cm="1">
        <f t="array" ref="T32">[1]!PropsSI("H","T",J32+273.15,"P",101325,"Water")</f>
        <v>231551.92758665443</v>
      </c>
      <c r="U32" cm="1">
        <f t="array" ref="U32">[1]!PropsSI("H","T",K32+273.15,"P",101325,"Water")</f>
        <v>215505.07414519231</v>
      </c>
      <c r="V32">
        <f t="shared" si="5"/>
        <v>248.45355459042747</v>
      </c>
    </row>
    <row r="33" spans="1:22" x14ac:dyDescent="0.2">
      <c r="A33">
        <v>46122.616554976848</v>
      </c>
      <c r="B33">
        <v>20.112659000000001</v>
      </c>
      <c r="C33">
        <v>20.090111</v>
      </c>
      <c r="D33">
        <v>20.012899999999998</v>
      </c>
      <c r="E33">
        <v>20.056452</v>
      </c>
      <c r="F33">
        <v>45.789935999999997</v>
      </c>
      <c r="G33">
        <v>44.438049999999997</v>
      </c>
      <c r="H33">
        <v>36.76717</v>
      </c>
      <c r="I33">
        <v>29.181915</v>
      </c>
      <c r="J33">
        <v>55.294724000000002</v>
      </c>
      <c r="K33">
        <v>51.451763999999997</v>
      </c>
      <c r="L33">
        <v>3.1270419999999999</v>
      </c>
      <c r="M33">
        <v>-622.52408000000003</v>
      </c>
      <c r="N33">
        <v>0.93973499999999999</v>
      </c>
      <c r="O33">
        <v>3.2297120000000001</v>
      </c>
      <c r="P33">
        <f t="shared" si="3"/>
        <v>1.5662250000000001E-5</v>
      </c>
      <c r="Q33" cm="1">
        <f t="array" ref="Q33">[1]!PropsSI("D","T",J33+273.15,"P",101325,"Water")</f>
        <v>985.55011395111057</v>
      </c>
      <c r="R33" cm="1">
        <f t="array" ref="R33">[1]!PropsSI("D","T",K33+273.15,"P",101325,"Water")</f>
        <v>987.37154294599532</v>
      </c>
      <c r="S33">
        <f t="shared" si="4"/>
        <v>986.460828448553</v>
      </c>
      <c r="T33" cm="1">
        <f t="array" ref="T33">[1]!PropsSI("H","T",J33+273.15,"P",101325,"Water")</f>
        <v>231561.90837578123</v>
      </c>
      <c r="U33" cm="1">
        <f t="array" ref="U33">[1]!PropsSI("H","T",K33+273.15,"P",101325,"Water")</f>
        <v>215489.12068962073</v>
      </c>
      <c r="V33">
        <f t="shared" si="5"/>
        <v>248.3277217914933</v>
      </c>
    </row>
    <row r="34" spans="1:22" x14ac:dyDescent="0.2">
      <c r="A34">
        <v>46122.616613425926</v>
      </c>
      <c r="B34">
        <v>20.112967000000001</v>
      </c>
      <c r="C34">
        <v>20.095756000000002</v>
      </c>
      <c r="D34">
        <v>20.022490999999999</v>
      </c>
      <c r="E34">
        <v>20.065484999999999</v>
      </c>
      <c r="F34">
        <v>45.361089999999997</v>
      </c>
      <c r="G34">
        <v>44.306133000000003</v>
      </c>
      <c r="H34">
        <v>36.356844000000002</v>
      </c>
      <c r="I34">
        <v>29.400548000000001</v>
      </c>
      <c r="J34">
        <v>55.300294000000001</v>
      </c>
      <c r="K34">
        <v>51.456055999999997</v>
      </c>
      <c r="L34">
        <v>2.667065</v>
      </c>
      <c r="M34">
        <v>-622.48857199999998</v>
      </c>
      <c r="N34">
        <v>0.93883799999999995</v>
      </c>
      <c r="O34">
        <v>3.4943019999999998</v>
      </c>
      <c r="P34">
        <f t="shared" si="3"/>
        <v>1.5647299999999998E-5</v>
      </c>
      <c r="Q34" cm="1">
        <f t="array" ref="Q34">[1]!PropsSI("D","T",J34+273.15,"P",101325,"Water")</f>
        <v>985.54740672095056</v>
      </c>
      <c r="R34" cm="1">
        <f t="array" ref="R34">[1]!PropsSI("D","T",K34+273.15,"P",101325,"Water")</f>
        <v>987.36956109227401</v>
      </c>
      <c r="S34">
        <f t="shared" si="4"/>
        <v>986.45848390661229</v>
      </c>
      <c r="T34" cm="1">
        <f t="array" ref="T34">[1]!PropsSI("H","T",J34+273.15,"P",101325,"Water")</f>
        <v>231585.20804673267</v>
      </c>
      <c r="U34" cm="1">
        <f t="array" ref="U34">[1]!PropsSI("H","T",K34+273.15,"P",101325,"Water")</f>
        <v>215507.06885013712</v>
      </c>
      <c r="V34">
        <f t="shared" si="5"/>
        <v>248.17270004363749</v>
      </c>
    </row>
    <row r="35" spans="1:22" x14ac:dyDescent="0.2">
      <c r="A35">
        <v>46122.616671875003</v>
      </c>
      <c r="B35">
        <v>20.116391</v>
      </c>
      <c r="C35">
        <v>20.084057999999999</v>
      </c>
      <c r="D35">
        <v>20.012885000000001</v>
      </c>
      <c r="E35">
        <v>20.057126</v>
      </c>
      <c r="F35">
        <v>45.107526999999997</v>
      </c>
      <c r="G35">
        <v>44.8752</v>
      </c>
      <c r="H35">
        <v>36.922640999999999</v>
      </c>
      <c r="I35">
        <v>29.614189</v>
      </c>
      <c r="J35">
        <v>55.297907000000002</v>
      </c>
      <c r="K35">
        <v>51.453195000000001</v>
      </c>
      <c r="L35">
        <v>4.1735199999999999</v>
      </c>
      <c r="M35">
        <v>-622.47673599999996</v>
      </c>
      <c r="N35">
        <v>0.93929700000000005</v>
      </c>
      <c r="O35">
        <v>2.8249170000000001</v>
      </c>
      <c r="P35">
        <f t="shared" si="3"/>
        <v>1.5654950000000002E-5</v>
      </c>
      <c r="Q35" cm="1">
        <f t="array" ref="Q35">[1]!PropsSI("D","T",J35+273.15,"P",101325,"Water")</f>
        <v>985.54856691653185</v>
      </c>
      <c r="R35" cm="1">
        <f t="array" ref="R35">[1]!PropsSI("D","T",K35+273.15,"P",101325,"Water")</f>
        <v>987.37088218737995</v>
      </c>
      <c r="S35">
        <f t="shared" si="4"/>
        <v>986.4597245519559</v>
      </c>
      <c r="T35" cm="1">
        <f t="array" ref="T35">[1]!PropsSI("H","T",J35+273.15,"P",101325,"Water")</f>
        <v>231575.2230696503</v>
      </c>
      <c r="U35" cm="1">
        <f t="array" ref="U35">[1]!PropsSI("H","T",K35+273.15,"P",101325,"Water")</f>
        <v>215495.10480307971</v>
      </c>
      <c r="V35">
        <f t="shared" si="5"/>
        <v>248.32490723919233</v>
      </c>
    </row>
    <row r="36" spans="1:22" x14ac:dyDescent="0.2">
      <c r="A36">
        <v>46122.616730324073</v>
      </c>
      <c r="B36">
        <v>20.107182000000002</v>
      </c>
      <c r="C36">
        <v>20.091412999999999</v>
      </c>
      <c r="D36">
        <v>20.000505</v>
      </c>
      <c r="E36">
        <v>20.063714999999998</v>
      </c>
      <c r="F36">
        <v>45.101951</v>
      </c>
      <c r="G36">
        <v>44.513700999999998</v>
      </c>
      <c r="H36">
        <v>36.403737999999997</v>
      </c>
      <c r="I36">
        <v>29.558007</v>
      </c>
      <c r="J36">
        <v>55.302202999999999</v>
      </c>
      <c r="K36">
        <v>51.454307999999997</v>
      </c>
      <c r="L36">
        <v>2.5066649999999999</v>
      </c>
      <c r="M36">
        <v>-622.50408100000004</v>
      </c>
      <c r="N36">
        <v>0.93688300000000002</v>
      </c>
      <c r="O36">
        <v>3.1665930000000002</v>
      </c>
      <c r="P36">
        <f t="shared" si="3"/>
        <v>1.5614716666666668E-5</v>
      </c>
      <c r="Q36" cm="1">
        <f t="array" ref="Q36">[1]!PropsSI("D","T",J36+273.15,"P",101325,"Water")</f>
        <v>985.54647883074642</v>
      </c>
      <c r="R36" cm="1">
        <f t="array" ref="R36">[1]!PropsSI("D","T",K36+273.15,"P",101325,"Water")</f>
        <v>987.37036825486757</v>
      </c>
      <c r="S36">
        <f t="shared" si="4"/>
        <v>986.45842354280694</v>
      </c>
      <c r="T36" cm="1">
        <f t="array" ref="T36">[1]!PropsSI("H","T",J36+273.15,"P",101325,"Water")</f>
        <v>231593.19352006933</v>
      </c>
      <c r="U36" cm="1">
        <f t="array" ref="U36">[1]!PropsSI("H","T",K36+273.15,"P",101325,"Water")</f>
        <v>215499.75911402452</v>
      </c>
      <c r="V36">
        <f t="shared" si="5"/>
        <v>247.89149586334966</v>
      </c>
    </row>
    <row r="37" spans="1:22" x14ac:dyDescent="0.2">
      <c r="A37">
        <v>46122.61678877315</v>
      </c>
      <c r="B37">
        <v>20.100448</v>
      </c>
      <c r="C37">
        <v>20.087289999999999</v>
      </c>
      <c r="D37">
        <v>20.008686999999998</v>
      </c>
      <c r="E37">
        <v>20.038955999999999</v>
      </c>
      <c r="F37">
        <v>45.274818000000003</v>
      </c>
      <c r="G37">
        <v>44.763337</v>
      </c>
      <c r="H37">
        <v>36.752522999999997</v>
      </c>
      <c r="I37">
        <v>29.463403</v>
      </c>
      <c r="J37">
        <v>55.300930000000001</v>
      </c>
      <c r="K37">
        <v>51.452399999999997</v>
      </c>
      <c r="L37">
        <v>3.038475</v>
      </c>
      <c r="M37">
        <v>-622.44816600000001</v>
      </c>
      <c r="N37">
        <v>0.93916100000000002</v>
      </c>
      <c r="O37">
        <v>3.3434729999999999</v>
      </c>
      <c r="P37">
        <f t="shared" si="3"/>
        <v>1.5652683333333333E-5</v>
      </c>
      <c r="Q37" cm="1">
        <f t="array" ref="Q37">[1]!PropsSI("D","T",J37+273.15,"P",101325,"Water")</f>
        <v>985.54709758875265</v>
      </c>
      <c r="R37" cm="1">
        <f t="array" ref="R37">[1]!PropsSI("D","T",K37+273.15,"P",101325,"Water")</f>
        <v>987.37124927711841</v>
      </c>
      <c r="S37">
        <f t="shared" si="4"/>
        <v>986.45917343293559</v>
      </c>
      <c r="T37" cm="1">
        <f t="array" ref="T37">[1]!PropsSI("H","T",J37+273.15,"P",101325,"Water")</f>
        <v>231587.86847669969</v>
      </c>
      <c r="U37" cm="1">
        <f t="array" ref="U37">[1]!PropsSI("H","T",K37+273.15,"P",101325,"Water")</f>
        <v>215491.7802955271</v>
      </c>
      <c r="V37">
        <f t="shared" si="5"/>
        <v>248.53540096411555</v>
      </c>
    </row>
    <row r="38" spans="1:22" x14ac:dyDescent="0.2">
      <c r="A38">
        <v>44660.616847222402</v>
      </c>
      <c r="B38">
        <v>20.106573000000001</v>
      </c>
      <c r="C38">
        <v>20.084540000000001</v>
      </c>
      <c r="D38">
        <v>20.006402000000001</v>
      </c>
      <c r="E38">
        <v>20.046115</v>
      </c>
      <c r="F38">
        <v>45.257435999999998</v>
      </c>
      <c r="G38">
        <v>44.868625000000002</v>
      </c>
      <c r="H38">
        <v>37.580432999999999</v>
      </c>
      <c r="I38">
        <v>28.576868999999999</v>
      </c>
      <c r="J38">
        <v>55.299339000000003</v>
      </c>
      <c r="K38">
        <v>51.449221000000001</v>
      </c>
      <c r="L38">
        <v>3.4972270000000001</v>
      </c>
      <c r="M38">
        <v>-622.49469399999998</v>
      </c>
      <c r="N38">
        <v>0.94311999999999996</v>
      </c>
      <c r="O38">
        <v>3.6799379999999999</v>
      </c>
      <c r="P38">
        <f t="shared" si="3"/>
        <v>1.5718666666666666E-5</v>
      </c>
      <c r="Q38" cm="1">
        <f t="array" ref="Q38">[1]!PropsSI("D","T",J38+273.15,"P",101325,"Water")</f>
        <v>985.54787090063837</v>
      </c>
      <c r="R38" cm="1">
        <f t="array" ref="R38">[1]!PropsSI("D","T",K38+273.15,"P",101325,"Water")</f>
        <v>987.37271713362793</v>
      </c>
      <c r="S38">
        <f t="shared" si="4"/>
        <v>986.46029401713315</v>
      </c>
      <c r="T38" cm="1">
        <f t="array" ref="T38">[1]!PropsSI("H","T",J38+273.15,"P",101325,"Water")</f>
        <v>231581.21321906493</v>
      </c>
      <c r="U38" cm="1">
        <f t="array" ref="U38">[1]!PropsSI("H","T",K38+273.15,"P",101325,"Water")</f>
        <v>215478.48644896154</v>
      </c>
      <c r="V38">
        <f t="shared" si="5"/>
        <v>249.68631358148926</v>
      </c>
    </row>
    <row r="39" spans="1:22" x14ac:dyDescent="0.2">
      <c r="A39">
        <v>44660.6169050928</v>
      </c>
      <c r="B39">
        <v>20.093997000000002</v>
      </c>
      <c r="C39">
        <v>20.084609</v>
      </c>
      <c r="D39">
        <v>19.992076999999998</v>
      </c>
      <c r="E39">
        <v>20.045034000000001</v>
      </c>
      <c r="F39">
        <v>45.384233999999999</v>
      </c>
      <c r="G39">
        <v>44.717517000000001</v>
      </c>
      <c r="H39">
        <v>36.581816000000003</v>
      </c>
      <c r="I39">
        <v>29.468297</v>
      </c>
      <c r="J39">
        <v>55.302202999999999</v>
      </c>
      <c r="K39">
        <v>51.449379999999998</v>
      </c>
      <c r="L39">
        <v>3.890269</v>
      </c>
      <c r="M39">
        <v>-622.47959300000002</v>
      </c>
      <c r="N39">
        <v>0.94122700000000004</v>
      </c>
      <c r="O39">
        <v>3.388687</v>
      </c>
      <c r="P39">
        <f t="shared" si="3"/>
        <v>1.5687116666666668E-5</v>
      </c>
      <c r="Q39" cm="1">
        <f t="array" ref="Q39">[1]!PropsSI("D","T",J39+273.15,"P",101325,"Water")</f>
        <v>985.54647883074642</v>
      </c>
      <c r="R39" cm="1">
        <f t="array" ref="R39">[1]!PropsSI("D","T",K39+273.15,"P",101325,"Water")</f>
        <v>987.37264371927915</v>
      </c>
      <c r="S39">
        <f t="shared" si="4"/>
        <v>986.45956127501279</v>
      </c>
      <c r="T39" cm="1">
        <f t="array" ref="T39">[1]!PropsSI("H","T",J39+273.15,"P",101325,"Water")</f>
        <v>231593.19352006933</v>
      </c>
      <c r="U39" cm="1">
        <f t="array" ref="U39">[1]!PropsSI("H","T",K39+273.15,"P",101325,"Water")</f>
        <v>215479.15135033906</v>
      </c>
      <c r="V39">
        <f t="shared" si="5"/>
        <v>249.36006866851889</v>
      </c>
    </row>
    <row r="40" spans="1:22" x14ac:dyDescent="0.2">
      <c r="A40">
        <v>44660.616962963097</v>
      </c>
      <c r="B40">
        <v>20.106131000000001</v>
      </c>
      <c r="C40">
        <v>20.088514</v>
      </c>
      <c r="D40">
        <v>19.989944000000001</v>
      </c>
      <c r="E40">
        <v>20.034652000000001</v>
      </c>
      <c r="F40">
        <v>45.596831000000002</v>
      </c>
      <c r="G40">
        <v>44.557353999999997</v>
      </c>
      <c r="H40">
        <v>36.614431000000003</v>
      </c>
      <c r="I40">
        <v>30.504294999999999</v>
      </c>
      <c r="J40">
        <v>55.306977000000003</v>
      </c>
      <c r="K40">
        <v>51.453671999999997</v>
      </c>
      <c r="L40">
        <v>2.8188939999999998</v>
      </c>
      <c r="M40">
        <v>-622.49877600000002</v>
      </c>
      <c r="N40">
        <v>0.93769400000000003</v>
      </c>
      <c r="O40">
        <v>3.2140179999999998</v>
      </c>
      <c r="P40">
        <f t="shared" si="3"/>
        <v>1.5628233333333334E-5</v>
      </c>
      <c r="Q40" cm="1">
        <f t="array" ref="Q40">[1]!PropsSI("D","T",J40+273.15,"P",101325,"Water")</f>
        <v>985.54415827744299</v>
      </c>
      <c r="R40" cm="1">
        <f t="array" ref="R40">[1]!PropsSI("D","T",K40+273.15,"P",101325,"Water")</f>
        <v>987.37066193155829</v>
      </c>
      <c r="S40">
        <f t="shared" si="4"/>
        <v>986.4574101045007</v>
      </c>
      <c r="T40" cm="1">
        <f t="array" ref="T40">[1]!PropsSI("H","T",J40+273.15,"P",101325,"Water")</f>
        <v>231613.16348382237</v>
      </c>
      <c r="U40" cm="1">
        <f t="array" ref="U40">[1]!PropsSI("H","T",K40+273.15,"P",101325,"Water")</f>
        <v>215497.09950769675</v>
      </c>
      <c r="V40">
        <f t="shared" si="5"/>
        <v>248.45469559272783</v>
      </c>
    </row>
    <row r="41" spans="1:22" x14ac:dyDescent="0.2">
      <c r="A41">
        <v>44660.617021412203</v>
      </c>
      <c r="B41">
        <v>20.102049999999998</v>
      </c>
      <c r="C41">
        <v>20.092362000000001</v>
      </c>
      <c r="D41">
        <v>20.004935</v>
      </c>
      <c r="E41">
        <v>20.048110000000001</v>
      </c>
      <c r="F41">
        <v>44.670073000000002</v>
      </c>
      <c r="G41">
        <v>43.884762000000002</v>
      </c>
      <c r="H41">
        <v>37.128725000000003</v>
      </c>
      <c r="I41">
        <v>29.573993000000002</v>
      </c>
      <c r="J41">
        <v>55.309204000000001</v>
      </c>
      <c r="K41">
        <v>51.461460000000002</v>
      </c>
      <c r="L41">
        <v>3.0588820000000001</v>
      </c>
      <c r="M41">
        <v>-622.48653100000001</v>
      </c>
      <c r="N41">
        <v>0.93859599999999999</v>
      </c>
      <c r="O41">
        <v>3.6449280000000002</v>
      </c>
      <c r="P41">
        <f t="shared" si="3"/>
        <v>1.5643266666666666E-5</v>
      </c>
      <c r="Q41" cm="1">
        <f t="array" ref="Q41">[1]!PropsSI("D","T",J41+273.15,"P",101325,"Water")</f>
        <v>985.54307572560197</v>
      </c>
      <c r="R41" cm="1">
        <f t="array" ref="R41">[1]!PropsSI("D","T",K41+273.15,"P",101325,"Water")</f>
        <v>987.36706559762661</v>
      </c>
      <c r="S41">
        <f t="shared" si="4"/>
        <v>986.45507066161429</v>
      </c>
      <c r="T41" cm="1">
        <f t="array" ref="T41">[1]!PropsSI("H","T",J41+273.15,"P",101325,"Water")</f>
        <v>231622.47917774794</v>
      </c>
      <c r="U41" cm="1">
        <f t="array" ref="U41">[1]!PropsSI("H","T",K41+273.15,"P",101325,"Water")</f>
        <v>215529.66714791564</v>
      </c>
      <c r="V41">
        <f t="shared" si="5"/>
        <v>248.3342932761168</v>
      </c>
    </row>
    <row r="42" spans="1:22" x14ac:dyDescent="0.2">
      <c r="A42">
        <v>46122.617079861113</v>
      </c>
      <c r="B42">
        <v>20.115486000000001</v>
      </c>
      <c r="C42">
        <v>20.093610000000002</v>
      </c>
      <c r="D42">
        <v>20.002005</v>
      </c>
      <c r="E42">
        <v>20.041993000000002</v>
      </c>
      <c r="F42">
        <v>45.382345999999998</v>
      </c>
      <c r="G42">
        <v>44.569586999999999</v>
      </c>
      <c r="H42">
        <v>35.751987</v>
      </c>
      <c r="I42">
        <v>30.139534000000001</v>
      </c>
      <c r="J42">
        <v>55.313341999999999</v>
      </c>
      <c r="K42">
        <v>51.459553</v>
      </c>
      <c r="L42">
        <v>3.2029570000000001</v>
      </c>
      <c r="M42">
        <v>-622.47265400000003</v>
      </c>
      <c r="N42">
        <v>0.93872299999999997</v>
      </c>
      <c r="O42">
        <v>3.4725079999999999</v>
      </c>
      <c r="P42">
        <f t="shared" si="3"/>
        <v>1.5645383333333334E-5</v>
      </c>
      <c r="Q42" cm="1">
        <f t="array" ref="Q42">[1]!PropsSI("D","T",J42+273.15,"P",101325,"Water")</f>
        <v>985.54106414901423</v>
      </c>
      <c r="R42" cm="1">
        <f t="array" ref="R42">[1]!PropsSI("D","T",K42+273.15,"P",101325,"Water")</f>
        <v>987.36794624613128</v>
      </c>
      <c r="S42">
        <f t="shared" si="4"/>
        <v>986.45450519757276</v>
      </c>
      <c r="T42" cm="1">
        <f t="array" ref="T42">[1]!PropsSI("H","T",J42+273.15,"P",101325,"Water")</f>
        <v>231639.78872078241</v>
      </c>
      <c r="U42" cm="1">
        <f t="array" ref="U42">[1]!PropsSI("H","T",K42+273.15,"P",101325,"Water")</f>
        <v>215521.69250698489</v>
      </c>
      <c r="V42">
        <f t="shared" si="5"/>
        <v>248.75797505425783</v>
      </c>
    </row>
    <row r="43" spans="1:22" x14ac:dyDescent="0.2">
      <c r="A43">
        <v>46122.617137731482</v>
      </c>
      <c r="B43">
        <v>20.104388</v>
      </c>
      <c r="C43">
        <v>20.090501</v>
      </c>
      <c r="D43">
        <v>20.003539</v>
      </c>
      <c r="E43">
        <v>20.039145000000001</v>
      </c>
      <c r="F43">
        <v>45.305945000000001</v>
      </c>
      <c r="G43">
        <v>44.297825000000003</v>
      </c>
      <c r="H43">
        <v>36.311928000000002</v>
      </c>
      <c r="I43">
        <v>30.096499000000001</v>
      </c>
      <c r="J43">
        <v>55.308408999999997</v>
      </c>
      <c r="K43">
        <v>51.457486000000003</v>
      </c>
      <c r="L43">
        <v>4.0845450000000003</v>
      </c>
      <c r="M43">
        <v>-622.49632699999995</v>
      </c>
      <c r="N43">
        <v>0.94400099999999998</v>
      </c>
      <c r="O43">
        <v>4.2431239999999999</v>
      </c>
      <c r="P43">
        <f t="shared" si="3"/>
        <v>1.5733350000000001E-5</v>
      </c>
      <c r="Q43" cm="1">
        <f t="array" ref="Q43">[1]!PropsSI("D","T",J43+273.15,"P",101325,"Water")</f>
        <v>985.54346218116632</v>
      </c>
      <c r="R43" cm="1">
        <f t="array" ref="R43">[1]!PropsSI("D","T",K43+273.15,"P",101325,"Water")</f>
        <v>987.36890075578879</v>
      </c>
      <c r="S43">
        <f t="shared" si="4"/>
        <v>986.45618146847755</v>
      </c>
      <c r="T43" cm="1">
        <f t="array" ref="T43">[1]!PropsSI("H","T",J43+273.15,"P",101325,"Water")</f>
        <v>231619.15363795953</v>
      </c>
      <c r="U43" cm="1">
        <f t="array" ref="U43">[1]!PropsSI("H","T",K43+273.15,"P",101325,"Water")</f>
        <v>215513.048783704</v>
      </c>
      <c r="V43">
        <f t="shared" si="5"/>
        <v>249.97094076710616</v>
      </c>
    </row>
    <row r="44" spans="1:22" x14ac:dyDescent="0.2">
      <c r="A44">
        <v>46122.617196180552</v>
      </c>
      <c r="B44">
        <v>20.106653999999999</v>
      </c>
      <c r="C44">
        <v>20.093675999999999</v>
      </c>
      <c r="D44">
        <v>19.992087000000001</v>
      </c>
      <c r="E44">
        <v>20.037692</v>
      </c>
      <c r="F44">
        <v>45.226574999999997</v>
      </c>
      <c r="G44">
        <v>44.603662</v>
      </c>
      <c r="H44">
        <v>36.623846</v>
      </c>
      <c r="I44">
        <v>29.177889</v>
      </c>
      <c r="J44">
        <v>55.310955</v>
      </c>
      <c r="K44">
        <v>51.456691999999997</v>
      </c>
      <c r="L44">
        <v>4.0620969999999996</v>
      </c>
      <c r="M44">
        <v>-622.50244899999996</v>
      </c>
      <c r="N44">
        <v>0.93681700000000001</v>
      </c>
      <c r="O44">
        <v>3.7986930000000001</v>
      </c>
      <c r="P44">
        <f t="shared" si="3"/>
        <v>1.5613616666666669E-5</v>
      </c>
      <c r="Q44" cm="1">
        <f t="array" ref="Q44">[1]!PropsSI("D","T",J44+273.15,"P",101325,"Water")</f>
        <v>985.5422245373137</v>
      </c>
      <c r="R44" cm="1">
        <f t="array" ref="R44">[1]!PropsSI("D","T",K44+273.15,"P",101325,"Water")</f>
        <v>987.36926740579224</v>
      </c>
      <c r="S44">
        <f t="shared" si="4"/>
        <v>986.45574597155291</v>
      </c>
      <c r="T44" cm="1">
        <f t="array" ref="T44">[1]!PropsSI("H","T",J44+273.15,"P",101325,"Water")</f>
        <v>231629.80373231549</v>
      </c>
      <c r="U44" cm="1">
        <f t="array" ref="U44">[1]!PropsSI("H","T",K44+273.15,"P",101325,"Water")</f>
        <v>215509.72845687537</v>
      </c>
      <c r="V44">
        <f t="shared" si="5"/>
        <v>248.28368644784481</v>
      </c>
    </row>
    <row r="45" spans="1:22" x14ac:dyDescent="0.2">
      <c r="A45">
        <v>46122.617254629629</v>
      </c>
      <c r="B45">
        <v>20.101510999999999</v>
      </c>
      <c r="C45">
        <v>20.090665999999999</v>
      </c>
      <c r="D45">
        <v>19.982578</v>
      </c>
      <c r="E45">
        <v>20.047810999999999</v>
      </c>
      <c r="F45">
        <v>45.585666000000003</v>
      </c>
      <c r="G45">
        <v>43.928705999999998</v>
      </c>
      <c r="H45">
        <v>37.237760000000002</v>
      </c>
      <c r="I45">
        <v>29.406269000000002</v>
      </c>
      <c r="J45">
        <v>55.305863000000002</v>
      </c>
      <c r="K45">
        <v>51.454943</v>
      </c>
      <c r="L45">
        <v>3.721298</v>
      </c>
      <c r="M45">
        <v>-622.48816399999998</v>
      </c>
      <c r="N45">
        <v>0.93428500000000003</v>
      </c>
      <c r="O45">
        <v>3.883429</v>
      </c>
      <c r="P45">
        <f t="shared" si="3"/>
        <v>1.5571416666666668E-5</v>
      </c>
      <c r="Q45" cm="1">
        <f t="array" ref="Q45">[1]!PropsSI("D","T",J45+273.15,"P",101325,"Water")</f>
        <v>985.54469978491306</v>
      </c>
      <c r="R45" cm="1">
        <f t="array" ref="R45">[1]!PropsSI("D","T",K45+273.15,"P",101325,"Water")</f>
        <v>987.37007503732707</v>
      </c>
      <c r="S45">
        <f t="shared" si="4"/>
        <v>986.45738741112007</v>
      </c>
      <c r="T45" cm="1">
        <f t="array" ref="T45">[1]!PropsSI("H","T",J45+273.15,"P",101325,"Water")</f>
        <v>231608.50354599193</v>
      </c>
      <c r="U45" cm="1">
        <f t="array" ref="U45">[1]!PropsSI("H","T",K45+273.15,"P",101325,"Water")</f>
        <v>215502.41453862787</v>
      </c>
      <c r="V45">
        <f t="shared" si="5"/>
        <v>247.39820838807557</v>
      </c>
    </row>
    <row r="46" spans="1:22" x14ac:dyDescent="0.2">
      <c r="A46">
        <v>46122.617312499999</v>
      </c>
      <c r="B46">
        <v>20.099976999999999</v>
      </c>
      <c r="C46">
        <v>20.090771</v>
      </c>
      <c r="D46">
        <v>19.982914999999998</v>
      </c>
      <c r="E46">
        <v>20.040102000000001</v>
      </c>
      <c r="F46">
        <v>45.117362</v>
      </c>
      <c r="G46">
        <v>44.804254999999998</v>
      </c>
      <c r="H46">
        <v>36.031187000000003</v>
      </c>
      <c r="I46">
        <v>29.507197000000001</v>
      </c>
      <c r="J46">
        <v>55.305703999999999</v>
      </c>
      <c r="K46">
        <v>51.456373999999997</v>
      </c>
      <c r="L46">
        <v>3.1515309999999999</v>
      </c>
      <c r="M46">
        <v>-622.47714399999995</v>
      </c>
      <c r="N46">
        <v>0.93903000000000003</v>
      </c>
      <c r="O46">
        <v>3.7380640000000001</v>
      </c>
      <c r="P46">
        <f t="shared" si="3"/>
        <v>1.5650500000000002E-5</v>
      </c>
      <c r="Q46" cm="1">
        <f t="array" ref="Q46">[1]!PropsSI("D","T",J46+273.15,"P",101325,"Water")</f>
        <v>985.54477707303704</v>
      </c>
      <c r="R46" cm="1">
        <f t="array" ref="R46">[1]!PropsSI("D","T",K46+273.15,"P",101325,"Water")</f>
        <v>987.36941424935344</v>
      </c>
      <c r="S46">
        <f t="shared" si="4"/>
        <v>986.45709566119524</v>
      </c>
      <c r="T46" cm="1">
        <f t="array" ref="T46">[1]!PropsSI("H","T",J46+273.15,"P",101325,"Water")</f>
        <v>231607.83843819451</v>
      </c>
      <c r="U46" cm="1">
        <f t="array" ref="U46">[1]!PropsSI("H","T",K46+273.15,"P",101325,"Water")</f>
        <v>215508.39865352062</v>
      </c>
      <c r="V46">
        <f t="shared" si="5"/>
        <v>248.55195417737653</v>
      </c>
    </row>
    <row r="47" spans="1:22" x14ac:dyDescent="0.2">
      <c r="A47">
        <v>46122.617370949076</v>
      </c>
      <c r="B47">
        <v>20.089176999999999</v>
      </c>
      <c r="C47">
        <v>20.073792000000001</v>
      </c>
      <c r="D47">
        <v>20.003084999999999</v>
      </c>
      <c r="E47">
        <v>20.040765</v>
      </c>
      <c r="F47">
        <v>45.402890999999997</v>
      </c>
      <c r="G47">
        <v>44.647587999999999</v>
      </c>
      <c r="H47">
        <v>35.784590999999999</v>
      </c>
      <c r="I47">
        <v>29.195542</v>
      </c>
      <c r="J47">
        <v>55.310158999999999</v>
      </c>
      <c r="K47">
        <v>51.454625</v>
      </c>
      <c r="L47">
        <v>3.5951819999999999</v>
      </c>
      <c r="M47">
        <v>-622.50040799999999</v>
      </c>
      <c r="N47">
        <v>0.93537499999999996</v>
      </c>
      <c r="O47">
        <v>3.120463</v>
      </c>
      <c r="P47">
        <f t="shared" si="3"/>
        <v>1.5589583333333334E-5</v>
      </c>
      <c r="Q47" cm="1">
        <f t="array" ref="Q47">[1]!PropsSI("D","T",J47+273.15,"P",101325,"Water")</f>
        <v>985.54261148762362</v>
      </c>
      <c r="R47" cm="1">
        <f t="array" ref="R47">[1]!PropsSI("D","T",K47+273.15,"P",101325,"Water")</f>
        <v>987.37022187729826</v>
      </c>
      <c r="S47">
        <f t="shared" si="4"/>
        <v>986.45641668246094</v>
      </c>
      <c r="T47" cm="1">
        <f t="array" ref="T47">[1]!PropsSI("H","T",J47+273.15,"P",101325,"Water")</f>
        <v>231626.47400889141</v>
      </c>
      <c r="U47" cm="1">
        <f t="array" ref="U47">[1]!PropsSI("H","T",K47+273.15,"P",101325,"Water")</f>
        <v>215501.08473542091</v>
      </c>
      <c r="V47">
        <f t="shared" si="5"/>
        <v>247.98340418569975</v>
      </c>
    </row>
    <row r="48" spans="1:22" x14ac:dyDescent="0.2">
      <c r="A48">
        <v>46122.617428819445</v>
      </c>
      <c r="B48">
        <v>20.090309000000001</v>
      </c>
      <c r="C48">
        <v>20.069804999999999</v>
      </c>
      <c r="D48">
        <v>19.982616</v>
      </c>
      <c r="E48">
        <v>20.044172</v>
      </c>
      <c r="F48">
        <v>45.331812999999997</v>
      </c>
      <c r="G48">
        <v>44.393501000000001</v>
      </c>
      <c r="H48">
        <v>36.177117000000003</v>
      </c>
      <c r="I48">
        <v>29.460826000000001</v>
      </c>
      <c r="J48">
        <v>55.308886000000001</v>
      </c>
      <c r="K48">
        <v>51.453353999999997</v>
      </c>
      <c r="L48">
        <v>2.5523769999999999</v>
      </c>
      <c r="M48">
        <v>-622.50816299999997</v>
      </c>
      <c r="N48">
        <v>0.93795300000000004</v>
      </c>
      <c r="O48">
        <v>3.7310490000000001</v>
      </c>
      <c r="P48">
        <f t="shared" si="3"/>
        <v>1.563255E-5</v>
      </c>
      <c r="Q48" cm="1">
        <f t="array" ref="Q48">[1]!PropsSI("D","T",J48+273.15,"P",101325,"Water")</f>
        <v>985.54323030829198</v>
      </c>
      <c r="R48" cm="1">
        <f t="array" ref="R48">[1]!PropsSI("D","T",K48+273.15,"P",101325,"Water")</f>
        <v>987.37080876891753</v>
      </c>
      <c r="S48">
        <f t="shared" si="4"/>
        <v>986.45701953860475</v>
      </c>
      <c r="T48" cm="1">
        <f t="array" ref="T48">[1]!PropsSI("H","T",J48+273.15,"P",101325,"Water")</f>
        <v>231621.14896180975</v>
      </c>
      <c r="U48" cm="1">
        <f t="array" ref="U48">[1]!PropsSI("H","T",K48+273.15,"P",101325,"Water")</f>
        <v>215495.76970465036</v>
      </c>
      <c r="V48">
        <f t="shared" si="5"/>
        <v>248.66687219118353</v>
      </c>
    </row>
    <row r="49" spans="1:22" x14ac:dyDescent="0.2">
      <c r="A49">
        <v>44660.617486689996</v>
      </c>
      <c r="B49">
        <v>20.065913999999999</v>
      </c>
      <c r="C49">
        <v>20.060012</v>
      </c>
      <c r="D49">
        <v>19.978629999999999</v>
      </c>
      <c r="E49">
        <v>20.026440999999998</v>
      </c>
      <c r="F49">
        <v>45.457808999999997</v>
      </c>
      <c r="G49">
        <v>44.043266000000003</v>
      </c>
      <c r="H49">
        <v>36.022399999999998</v>
      </c>
      <c r="I49">
        <v>29.328249</v>
      </c>
      <c r="J49">
        <v>55.304113000000001</v>
      </c>
      <c r="K49">
        <v>51.446995999999999</v>
      </c>
      <c r="L49">
        <v>3.834762</v>
      </c>
      <c r="M49">
        <v>-622.44286</v>
      </c>
      <c r="N49">
        <v>0.93718199999999996</v>
      </c>
      <c r="O49">
        <v>3.9694859999999998</v>
      </c>
      <c r="P49">
        <f t="shared" si="3"/>
        <v>1.5619699999999999E-5</v>
      </c>
      <c r="Q49" cm="1">
        <f t="array" ref="Q49">[1]!PropsSI("D","T",J49+273.15,"P",101325,"Water")</f>
        <v>985.54555043193523</v>
      </c>
      <c r="R49" cm="1">
        <f t="array" ref="R49">[1]!PropsSI("D","T",K49+273.15,"P",101325,"Water")</f>
        <v>987.37374445589091</v>
      </c>
      <c r="S49">
        <f t="shared" si="4"/>
        <v>986.45964744391313</v>
      </c>
      <c r="T49" cm="1">
        <f t="array" ref="T49">[1]!PropsSI("H","T",J49+273.15,"P",101325,"Water")</f>
        <v>231601.18317779314</v>
      </c>
      <c r="U49" cm="1">
        <f t="array" ref="U49">[1]!PropsSI("H","T",K49+273.15,"P",101325,"Water")</f>
        <v>215469.182012787</v>
      </c>
      <c r="V49">
        <f t="shared" si="5"/>
        <v>248.56516092921063</v>
      </c>
    </row>
    <row r="50" spans="1:22" x14ac:dyDescent="0.2">
      <c r="A50" t="s">
        <v>17</v>
      </c>
      <c r="B50">
        <v>20.081254000000001</v>
      </c>
      <c r="C50">
        <v>20.049911000000002</v>
      </c>
      <c r="D50">
        <v>19.978282</v>
      </c>
      <c r="E50">
        <v>20.031611999999999</v>
      </c>
      <c r="F50">
        <v>45.174902000000003</v>
      </c>
      <c r="G50">
        <v>44.515124999999998</v>
      </c>
      <c r="H50">
        <v>37.267088000000001</v>
      </c>
      <c r="I50">
        <v>29.510857000000001</v>
      </c>
      <c r="J50">
        <v>55.308408999999997</v>
      </c>
      <c r="K50">
        <v>51.443181000000003</v>
      </c>
      <c r="L50">
        <v>3.5515099999999999</v>
      </c>
      <c r="M50">
        <v>-622.48367399999995</v>
      </c>
      <c r="N50">
        <v>0.94081300000000001</v>
      </c>
      <c r="O50">
        <v>3.2568049999999999</v>
      </c>
      <c r="P50">
        <f t="shared" si="3"/>
        <v>1.5680216666666666E-5</v>
      </c>
      <c r="Q50" cm="1">
        <f t="array" ref="Q50">[1]!PropsSI("D","T",J50+273.15,"P",101325,"Water")</f>
        <v>985.54346218116632</v>
      </c>
      <c r="R50" cm="1">
        <f t="array" ref="R50">[1]!PropsSI("D","T",K50+273.15,"P",101325,"Water")</f>
        <v>987.37550583521022</v>
      </c>
      <c r="S50">
        <f t="shared" si="4"/>
        <v>986.45948400818827</v>
      </c>
      <c r="T50" cm="1">
        <f t="array" ref="T50">[1]!PropsSI("H","T",J50+273.15,"P",101325,"Water")</f>
        <v>231619.15363795953</v>
      </c>
      <c r="U50" cm="1">
        <f t="array" ref="U50">[1]!PropsSI("H","T",K50+273.15,"P",101325,"Water")</f>
        <v>215453.22856723121</v>
      </c>
      <c r="V50">
        <f t="shared" si="5"/>
        <v>250.0528872172155</v>
      </c>
    </row>
    <row r="51" spans="1:22" x14ac:dyDescent="0.2">
      <c r="A51">
        <v>46122.617603587962</v>
      </c>
      <c r="B51">
        <v>20.089782</v>
      </c>
      <c r="C51">
        <v>20.065102</v>
      </c>
      <c r="D51">
        <v>19.984183000000002</v>
      </c>
      <c r="E51">
        <v>20.036762</v>
      </c>
      <c r="F51">
        <v>44.884346999999998</v>
      </c>
      <c r="G51">
        <v>44.250112000000001</v>
      </c>
      <c r="H51">
        <v>36.327376000000001</v>
      </c>
      <c r="I51">
        <v>29.468525</v>
      </c>
      <c r="J51">
        <v>55.305067000000001</v>
      </c>
      <c r="K51">
        <v>51.442546</v>
      </c>
      <c r="L51">
        <v>2.5372759999999999</v>
      </c>
      <c r="M51">
        <v>-622.48857199999998</v>
      </c>
      <c r="N51">
        <v>0.943886</v>
      </c>
      <c r="O51">
        <v>3.8088839999999999</v>
      </c>
      <c r="P51">
        <f t="shared" si="3"/>
        <v>1.5731433333333333E-5</v>
      </c>
      <c r="Q51" cm="1">
        <f t="array" ref="Q51">[1]!PropsSI("D","T",J51+273.15,"P",101325,"Water")</f>
        <v>985.54508671012115</v>
      </c>
      <c r="R51" cm="1">
        <f t="array" ref="R51">[1]!PropsSI("D","T",K51+273.15,"P",101325,"Water")</f>
        <v>987.37579900454227</v>
      </c>
      <c r="S51">
        <f t="shared" si="4"/>
        <v>986.46044285733171</v>
      </c>
      <c r="T51" cm="1">
        <f t="array" ref="T51">[1]!PropsSI("H","T",J51+273.15,"P",101325,"Water")</f>
        <v>231605.17382410783</v>
      </c>
      <c r="U51" cm="1">
        <f t="array" ref="U51">[1]!PropsSI("H","T",K51+273.15,"P",101325,"Water")</f>
        <v>215450.57314491697</v>
      </c>
      <c r="V51">
        <f t="shared" si="5"/>
        <v>250.69414793717365</v>
      </c>
    </row>
    <row r="52" spans="1:22" x14ac:dyDescent="0.2">
      <c r="A52">
        <v>46122.617661458331</v>
      </c>
      <c r="B52">
        <v>20.081050000000001</v>
      </c>
      <c r="C52">
        <v>20.037400000000002</v>
      </c>
      <c r="D52">
        <v>19.978543999999999</v>
      </c>
      <c r="E52">
        <v>20.016705000000002</v>
      </c>
      <c r="F52">
        <v>44.909497000000002</v>
      </c>
      <c r="G52">
        <v>44.581592000000001</v>
      </c>
      <c r="H52">
        <v>36.676521000000001</v>
      </c>
      <c r="I52">
        <v>28.934556000000001</v>
      </c>
      <c r="J52">
        <v>55.308090999999997</v>
      </c>
      <c r="K52">
        <v>51.443817000000003</v>
      </c>
      <c r="L52">
        <v>3.8457810000000001</v>
      </c>
      <c r="M52">
        <v>-622.51346899999999</v>
      </c>
      <c r="N52">
        <v>0.93826399999999999</v>
      </c>
      <c r="O52">
        <v>3.3631190000000002</v>
      </c>
      <c r="P52">
        <f t="shared" si="3"/>
        <v>1.5637733333333331E-5</v>
      </c>
      <c r="Q52" cm="1">
        <f t="array" ref="Q52">[1]!PropsSI("D","T",J52+273.15,"P",101325,"Water")</f>
        <v>985.54361676230008</v>
      </c>
      <c r="R52" cm="1">
        <f t="array" ref="R52">[1]!PropsSI("D","T",K52+273.15,"P",101325,"Water")</f>
        <v>987.37521220154156</v>
      </c>
      <c r="S52">
        <f t="shared" si="4"/>
        <v>986.45941448192082</v>
      </c>
      <c r="T52" cm="1">
        <f t="array" ref="T52">[1]!PropsSI("H","T",J52+273.15,"P",101325,"Water")</f>
        <v>231617.82342209216</v>
      </c>
      <c r="U52" cm="1">
        <f t="array" ref="U52">[1]!PropsSI("H","T",K52+273.15,"P",101325,"Water")</f>
        <v>215455.88817148851</v>
      </c>
      <c r="V52">
        <f t="shared" si="5"/>
        <v>249.31383972308501</v>
      </c>
    </row>
    <row r="53" spans="1:22" x14ac:dyDescent="0.2">
      <c r="A53">
        <v>46122.617719907408</v>
      </c>
      <c r="B53">
        <v>20.085508000000001</v>
      </c>
      <c r="C53">
        <v>20.053896999999999</v>
      </c>
      <c r="D53">
        <v>19.966016</v>
      </c>
      <c r="E53">
        <v>20.015335</v>
      </c>
      <c r="F53">
        <v>44.854716000000003</v>
      </c>
      <c r="G53">
        <v>44.917507999999998</v>
      </c>
      <c r="H53">
        <v>36.201903999999999</v>
      </c>
      <c r="I53">
        <v>30.243725999999999</v>
      </c>
      <c r="J53">
        <v>55.305545000000002</v>
      </c>
      <c r="K53">
        <v>51.442546</v>
      </c>
      <c r="L53">
        <v>3.039291</v>
      </c>
      <c r="M53">
        <v>-622.47306300000002</v>
      </c>
      <c r="N53">
        <v>0.94101800000000002</v>
      </c>
      <c r="O53">
        <v>3.5802200000000002</v>
      </c>
      <c r="P53">
        <f t="shared" si="3"/>
        <v>1.5683633333333333E-5</v>
      </c>
      <c r="Q53" cm="1">
        <f t="array" ref="Q53">[1]!PropsSI("D","T",J53+273.15,"P",101325,"Water")</f>
        <v>985.54485436102789</v>
      </c>
      <c r="R53" cm="1">
        <f t="array" ref="R53">[1]!PropsSI("D","T",K53+273.15,"P",101325,"Water")</f>
        <v>987.37579900454227</v>
      </c>
      <c r="S53">
        <f t="shared" si="4"/>
        <v>986.46032668278508</v>
      </c>
      <c r="T53" cm="1">
        <f t="array" ref="T53">[1]!PropsSI("H","T",J53+273.15,"P",101325,"Water")</f>
        <v>231607.1733304309</v>
      </c>
      <c r="U53" cm="1">
        <f t="array" ref="U53">[1]!PropsSI("H","T",K53+273.15,"P",101325,"Water")</f>
        <v>215450.57314491697</v>
      </c>
      <c r="V53">
        <f t="shared" si="5"/>
        <v>249.96331862614898</v>
      </c>
    </row>
    <row r="54" spans="1:22" x14ac:dyDescent="0.2">
      <c r="A54">
        <v>46122.617777777778</v>
      </c>
      <c r="B54">
        <v>20.089772</v>
      </c>
      <c r="C54">
        <v>20.065092</v>
      </c>
      <c r="D54">
        <v>19.976047000000001</v>
      </c>
      <c r="E54">
        <v>20.003205000000001</v>
      </c>
      <c r="F54">
        <v>45.080326999999997</v>
      </c>
      <c r="G54">
        <v>44.656804999999999</v>
      </c>
      <c r="H54">
        <v>36.409368999999998</v>
      </c>
      <c r="I54">
        <v>28.157229000000001</v>
      </c>
      <c r="J54">
        <v>55.308090999999997</v>
      </c>
      <c r="K54">
        <v>51.435392999999998</v>
      </c>
      <c r="L54">
        <v>4.0845450000000003</v>
      </c>
      <c r="M54">
        <v>-622.48530700000003</v>
      </c>
      <c r="N54">
        <v>0.93944399999999995</v>
      </c>
      <c r="O54">
        <v>3.3441459999999998</v>
      </c>
      <c r="P54">
        <f t="shared" si="3"/>
        <v>1.56574E-5</v>
      </c>
      <c r="Q54" cm="1">
        <f t="array" ref="Q54">[1]!PropsSI("D","T",J54+273.15,"P",101325,"Water")</f>
        <v>985.54361676230008</v>
      </c>
      <c r="R54" cm="1">
        <f t="array" ref="R54">[1]!PropsSI("D","T",K54+273.15,"P",101325,"Water")</f>
        <v>987.37910125061762</v>
      </c>
      <c r="S54">
        <f t="shared" si="4"/>
        <v>986.46135900645891</v>
      </c>
      <c r="T54" cm="1">
        <f t="array" ref="T54">[1]!PropsSI("H","T",J54+273.15,"P",101325,"Water")</f>
        <v>231617.82342209216</v>
      </c>
      <c r="U54" cm="1">
        <f t="array" ref="U54">[1]!PropsSI("H","T",K54+273.15,"P",101325,"Water")</f>
        <v>215420.66097069968</v>
      </c>
      <c r="V54">
        <f t="shared" si="5"/>
        <v>250.17197820637747</v>
      </c>
    </row>
    <row r="55" spans="1:22" x14ac:dyDescent="0.2">
      <c r="A55">
        <v>46122.617836226855</v>
      </c>
      <c r="B55">
        <v>20.096681</v>
      </c>
      <c r="C55">
        <v>20.070318</v>
      </c>
      <c r="D55">
        <v>19.9757</v>
      </c>
      <c r="E55">
        <v>20.012052000000001</v>
      </c>
      <c r="F55">
        <v>44.808570000000003</v>
      </c>
      <c r="G55">
        <v>44.405115000000002</v>
      </c>
      <c r="H55">
        <v>37.437992000000001</v>
      </c>
      <c r="I55">
        <v>29.355255</v>
      </c>
      <c r="J55">
        <v>55.306657999999999</v>
      </c>
      <c r="K55">
        <v>51.433168000000002</v>
      </c>
      <c r="L55">
        <v>3.4547810000000001</v>
      </c>
      <c r="M55">
        <v>-622.48897999999997</v>
      </c>
      <c r="N55">
        <v>0.93928</v>
      </c>
      <c r="O55">
        <v>3.7396780000000001</v>
      </c>
      <c r="P55">
        <f t="shared" si="3"/>
        <v>1.5654666666666668E-5</v>
      </c>
      <c r="Q55" cm="1">
        <f t="array" ref="Q55">[1]!PropsSI("D","T",J55+273.15,"P",101325,"Water")</f>
        <v>985.54431334185779</v>
      </c>
      <c r="R55" cm="1">
        <f t="array" ref="R55">[1]!PropsSI("D","T",K55+273.15,"P",101325,"Water")</f>
        <v>987.38012837434758</v>
      </c>
      <c r="S55">
        <f t="shared" si="4"/>
        <v>986.46222085810268</v>
      </c>
      <c r="T55" cm="1">
        <f t="array" ref="T55">[1]!PropsSI("H","T",J55+273.15,"P",101325,"Water")</f>
        <v>231611.82908504974</v>
      </c>
      <c r="U55" cm="1">
        <f t="array" ref="U55">[1]!PropsSI("H","T",K55+273.15,"P",101325,"Water")</f>
        <v>215411.35654392114</v>
      </c>
      <c r="V55">
        <f t="shared" si="5"/>
        <v>250.17964072653902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4016-4324-484A-AE06-EBAED5845729}">
  <dimension ref="A1:W76"/>
  <sheetViews>
    <sheetView topLeftCell="F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44660.6189450233</v>
      </c>
      <c r="B2">
        <v>20.000195000000001</v>
      </c>
      <c r="C2">
        <v>19.982766999999999</v>
      </c>
      <c r="D2">
        <v>19.888169999999999</v>
      </c>
      <c r="E2">
        <v>19.937141</v>
      </c>
      <c r="F2">
        <v>38.148387</v>
      </c>
      <c r="G2">
        <v>34.832022000000002</v>
      </c>
      <c r="H2">
        <v>32.749281000000003</v>
      </c>
      <c r="I2">
        <v>26.366614999999999</v>
      </c>
      <c r="J2">
        <v>55.312387000000001</v>
      </c>
      <c r="K2">
        <v>49.836973</v>
      </c>
      <c r="L2">
        <v>11.601312</v>
      </c>
      <c r="M2">
        <v>-622.50367300000005</v>
      </c>
      <c r="N2">
        <v>0.93297799999999997</v>
      </c>
      <c r="O2">
        <v>3.2787009999999999</v>
      </c>
      <c r="P2">
        <f t="shared" ref="P2:P10" si="0" xml:space="preserve"> N2*0.001/60</f>
        <v>1.5549633333333334E-5</v>
      </c>
      <c r="Q2" cm="1">
        <f t="array" ref="Q2">[1]!PropsSI("D","T",J2+273.15,"P",101325,"Water")</f>
        <v>985.54152840581287</v>
      </c>
      <c r="R2" cm="1">
        <f t="array" ref="R2">[1]!PropsSI("D","T",K2+273.15,"P",101325,"Water")</f>
        <v>988.10869571267699</v>
      </c>
      <c r="S2">
        <f t="shared" ref="S2:S10" si="1">(Q2+R2)/2</f>
        <v>986.82511205924493</v>
      </c>
      <c r="T2" cm="1">
        <f t="array" ref="T2">[1]!PropsSI("H","T",J2+273.15,"P",101325,"Water")</f>
        <v>231635.7938884894</v>
      </c>
      <c r="U2" cm="1">
        <f t="array" ref="U2">[1]!PropsSI("H","T",K2+273.15,"P",101325,"Water")</f>
        <v>208736.8240510973</v>
      </c>
      <c r="V2">
        <f t="shared" ref="V2:V10" si="2">S2*P2*(T2-U2)</f>
        <v>351.37939463031557</v>
      </c>
      <c r="W2" s="2">
        <f>AVERAGE(V22:V76)</f>
        <v>362.07432955946223</v>
      </c>
    </row>
    <row r="3" spans="1:23" x14ac:dyDescent="0.2">
      <c r="A3">
        <v>44660.619002893698</v>
      </c>
      <c r="B3">
        <v>19.995830000000002</v>
      </c>
      <c r="C3">
        <v>19.975418999999999</v>
      </c>
      <c r="D3">
        <v>19.886628999999999</v>
      </c>
      <c r="E3">
        <v>19.940901</v>
      </c>
      <c r="F3">
        <v>38.156041000000002</v>
      </c>
      <c r="G3">
        <v>34.933473999999997</v>
      </c>
      <c r="H3">
        <v>32.896709000000001</v>
      </c>
      <c r="I3">
        <v>26.924309999999998</v>
      </c>
      <c r="J3">
        <v>55.309044999999998</v>
      </c>
      <c r="K3">
        <v>49.824263000000002</v>
      </c>
      <c r="L3">
        <v>10.388311</v>
      </c>
      <c r="M3">
        <v>-622.50734699999998</v>
      </c>
      <c r="N3">
        <v>0.94178799999999996</v>
      </c>
      <c r="O3">
        <v>3.9902890000000002</v>
      </c>
      <c r="P3">
        <f t="shared" si="0"/>
        <v>1.5696466666666664E-5</v>
      </c>
      <c r="Q3" cm="1">
        <f t="array" ref="Q3">[1]!PropsSI("D","T",J3+273.15,"P",101325,"Water")</f>
        <v>985.54315301703195</v>
      </c>
      <c r="R3" cm="1">
        <f t="array" ref="R3">[1]!PropsSI("D","T",K3+273.15,"P",101325,"Water")</f>
        <v>988.1144302781338</v>
      </c>
      <c r="S3">
        <f t="shared" si="1"/>
        <v>986.82879164758288</v>
      </c>
      <c r="T3" cm="1">
        <f t="array" ref="T3">[1]!PropsSI("H","T",J3+273.15,"P",101325,"Water")</f>
        <v>231621.81406973262</v>
      </c>
      <c r="U3" cm="1">
        <f t="array" ref="U3">[1]!PropsSI("H","T",K3+273.15,"P",101325,"Water")</f>
        <v>208683.67979646972</v>
      </c>
      <c r="V3">
        <f t="shared" si="2"/>
        <v>355.30539726892698</v>
      </c>
      <c r="W3" s="2"/>
    </row>
    <row r="4" spans="1:23" x14ac:dyDescent="0.2">
      <c r="A4">
        <v>44660.619060764097</v>
      </c>
      <c r="B4">
        <v>19.981779</v>
      </c>
      <c r="C4">
        <v>19.979600000000001</v>
      </c>
      <c r="D4">
        <v>19.866661000000001</v>
      </c>
      <c r="E4">
        <v>19.93056</v>
      </c>
      <c r="F4">
        <v>38.059452</v>
      </c>
      <c r="G4">
        <v>35.183748999999999</v>
      </c>
      <c r="H4">
        <v>33.046075999999999</v>
      </c>
      <c r="I4">
        <v>26.396438</v>
      </c>
      <c r="J4">
        <v>55.308250000000001</v>
      </c>
      <c r="K4">
        <v>49.814731999999999</v>
      </c>
      <c r="L4">
        <v>10.987057</v>
      </c>
      <c r="M4">
        <v>-622.46734900000001</v>
      </c>
      <c r="N4">
        <v>0.93843600000000005</v>
      </c>
      <c r="O4">
        <v>3.6934849999999999</v>
      </c>
      <c r="P4">
        <f t="shared" si="0"/>
        <v>1.5640600000000001E-5</v>
      </c>
      <c r="Q4" cm="1">
        <f t="array" ref="Q4">[1]!PropsSI("D","T",J4+273.15,"P",101325,"Water")</f>
        <v>985.54353947180869</v>
      </c>
      <c r="R4" cm="1">
        <f t="array" ref="R4">[1]!PropsSI("D","T",K4+273.15,"P",101325,"Water")</f>
        <v>988.11872982880413</v>
      </c>
      <c r="S4">
        <f t="shared" si="1"/>
        <v>986.83113465030647</v>
      </c>
      <c r="T4" cm="1">
        <f t="array" ref="T4">[1]!PropsSI("H","T",J4+273.15,"P",101325,"Water")</f>
        <v>231618.48852999636</v>
      </c>
      <c r="U4" cm="1">
        <f t="array" ref="U4">[1]!PropsSI("H","T",K4+273.15,"P",101325,"Water")</f>
        <v>208643.82790711656</v>
      </c>
      <c r="V4">
        <f t="shared" si="2"/>
        <v>354.60541008931597</v>
      </c>
      <c r="W4" s="2"/>
    </row>
    <row r="5" spans="1:23" x14ac:dyDescent="0.2">
      <c r="A5">
        <v>44660.6191186344</v>
      </c>
      <c r="B5">
        <v>19.981593</v>
      </c>
      <c r="C5">
        <v>19.952708000000001</v>
      </c>
      <c r="D5">
        <v>19.875532</v>
      </c>
      <c r="E5">
        <v>19.913373</v>
      </c>
      <c r="F5">
        <v>37.901176999999997</v>
      </c>
      <c r="G5">
        <v>34.731236000000003</v>
      </c>
      <c r="H5">
        <v>33.392220999999999</v>
      </c>
      <c r="I5">
        <v>26.772976</v>
      </c>
      <c r="J5">
        <v>55.303953</v>
      </c>
      <c r="K5">
        <v>49.803610999999997</v>
      </c>
      <c r="L5">
        <v>11.881705999999999</v>
      </c>
      <c r="M5">
        <v>-622.48244999999997</v>
      </c>
      <c r="N5">
        <v>0.93962000000000001</v>
      </c>
      <c r="O5">
        <v>3.5692780000000002</v>
      </c>
      <c r="P5">
        <f t="shared" si="0"/>
        <v>1.5660333333333333E-5</v>
      </c>
      <c r="Q5" cm="1">
        <f t="array" ref="Q5">[1]!PropsSI("D","T",J5+273.15,"P",101325,"Water")</f>
        <v>985.54562820441868</v>
      </c>
      <c r="R5" cm="1">
        <f t="array" ref="R5">[1]!PropsSI("D","T",K5+273.15,"P",101325,"Water")</f>
        <v>988.12374589307115</v>
      </c>
      <c r="S5">
        <f t="shared" si="1"/>
        <v>986.83468704874485</v>
      </c>
      <c r="T5" cm="1">
        <f t="array" ref="T5">[1]!PropsSI("H","T",J5+273.15,"P",101325,"Water")</f>
        <v>231600.51388704887</v>
      </c>
      <c r="U5" cm="1">
        <f t="array" ref="U5">[1]!PropsSI("H","T",K5+273.15,"P",101325,"Water")</f>
        <v>208597.32779642552</v>
      </c>
      <c r="V5">
        <f t="shared" si="2"/>
        <v>355.49492166854441</v>
      </c>
      <c r="W5" s="2"/>
    </row>
    <row r="6" spans="1:23" x14ac:dyDescent="0.2">
      <c r="A6">
        <v>46122.619177083332</v>
      </c>
      <c r="B6">
        <v>20.004176000000001</v>
      </c>
      <c r="C6">
        <v>19.94584</v>
      </c>
      <c r="D6">
        <v>19.883991000000002</v>
      </c>
      <c r="E6">
        <v>19.923583000000001</v>
      </c>
      <c r="F6">
        <v>38.039866000000004</v>
      </c>
      <c r="G6">
        <v>35.332562000000003</v>
      </c>
      <c r="H6">
        <v>33.001277000000002</v>
      </c>
      <c r="I6">
        <v>26.500440999999999</v>
      </c>
      <c r="J6">
        <v>55.302202999999999</v>
      </c>
      <c r="K6">
        <v>49.787565999999998</v>
      </c>
      <c r="L6">
        <v>10.822575000000001</v>
      </c>
      <c r="M6">
        <v>-622.50204099999996</v>
      </c>
      <c r="N6">
        <v>0.93735400000000002</v>
      </c>
      <c r="O6">
        <v>3.7622089999999999</v>
      </c>
      <c r="P6">
        <f t="shared" si="0"/>
        <v>1.5622566666666668E-5</v>
      </c>
      <c r="Q6" cm="1">
        <f t="array" ref="Q6">[1]!PropsSI("D","T",J6+273.15,"P",101325,"Water")</f>
        <v>985.54647883074642</v>
      </c>
      <c r="R6" cm="1">
        <f t="array" ref="R6">[1]!PropsSI("D","T",K6+273.15,"P",101325,"Water")</f>
        <v>988.13098146688731</v>
      </c>
      <c r="S6">
        <f t="shared" si="1"/>
        <v>986.83873014881692</v>
      </c>
      <c r="T6" cm="1">
        <f t="array" ref="T6">[1]!PropsSI("H","T",J6+273.15,"P",101325,"Water")</f>
        <v>231593.19352006933</v>
      </c>
      <c r="U6" cm="1">
        <f t="array" ref="U6">[1]!PropsSI("H","T",K6+273.15,"P",101325,"Water")</f>
        <v>208530.23908154355</v>
      </c>
      <c r="V6">
        <f t="shared" si="2"/>
        <v>355.56050424643456</v>
      </c>
      <c r="W6" s="2"/>
    </row>
    <row r="7" spans="1:23" x14ac:dyDescent="0.2">
      <c r="A7">
        <v>46122.619234953701</v>
      </c>
      <c r="B7">
        <v>19.995204000000001</v>
      </c>
      <c r="C7">
        <v>19.938336</v>
      </c>
      <c r="D7">
        <v>19.866505</v>
      </c>
      <c r="E7">
        <v>19.921672999999998</v>
      </c>
      <c r="F7">
        <v>37.689382999999999</v>
      </c>
      <c r="G7">
        <v>34.719768999999999</v>
      </c>
      <c r="H7">
        <v>33.013236999999997</v>
      </c>
      <c r="I7">
        <v>26.346868000000001</v>
      </c>
      <c r="J7">
        <v>55.303158000000003</v>
      </c>
      <c r="K7">
        <v>49.777557999999999</v>
      </c>
      <c r="L7">
        <v>11.089909</v>
      </c>
      <c r="M7">
        <v>-622.49183700000003</v>
      </c>
      <c r="N7">
        <v>0.93220700000000001</v>
      </c>
      <c r="O7">
        <v>3.4789509999999999</v>
      </c>
      <c r="P7">
        <f t="shared" si="0"/>
        <v>1.5536783333333333E-5</v>
      </c>
      <c r="Q7" cm="1">
        <f t="array" ref="Q7">[1]!PropsSI("D","T",J7+273.15,"P",101325,"Water")</f>
        <v>985.54601463417305</v>
      </c>
      <c r="R7" cm="1">
        <f t="array" ref="R7">[1]!PropsSI("D","T",K7+273.15,"P",101325,"Water")</f>
        <v>988.13549376783033</v>
      </c>
      <c r="S7">
        <f t="shared" si="1"/>
        <v>986.84075420100169</v>
      </c>
      <c r="T7" cm="1">
        <f t="array" ref="T7">[1]!PropsSI("H","T",J7+273.15,"P",101325,"Water")</f>
        <v>231597.18834877262</v>
      </c>
      <c r="U7" cm="1">
        <f t="array" ref="U7">[1]!PropsSI("H","T",K7+273.15,"P",101325,"Water")</f>
        <v>208488.39281950021</v>
      </c>
      <c r="V7">
        <f t="shared" si="2"/>
        <v>354.31170166228048</v>
      </c>
      <c r="W7" s="2"/>
    </row>
    <row r="8" spans="1:23" x14ac:dyDescent="0.2">
      <c r="A8">
        <v>46122.619293402779</v>
      </c>
      <c r="B8">
        <v>19.947894999999999</v>
      </c>
      <c r="C8">
        <v>19.927885</v>
      </c>
      <c r="D8">
        <v>19.868594000000002</v>
      </c>
      <c r="E8">
        <v>19.907425</v>
      </c>
      <c r="F8">
        <v>37.972796000000002</v>
      </c>
      <c r="G8">
        <v>35.73565</v>
      </c>
      <c r="H8">
        <v>32.558016000000002</v>
      </c>
      <c r="I8">
        <v>26.820568999999999</v>
      </c>
      <c r="J8">
        <v>55.304907999999998</v>
      </c>
      <c r="K8">
        <v>49.768185000000003</v>
      </c>
      <c r="L8">
        <v>11.781302</v>
      </c>
      <c r="M8">
        <v>-622.46530800000005</v>
      </c>
      <c r="N8">
        <v>0.93803400000000003</v>
      </c>
      <c r="O8">
        <v>3.4231760000000002</v>
      </c>
      <c r="P8">
        <f t="shared" si="0"/>
        <v>1.56339E-5</v>
      </c>
      <c r="Q8" cm="1">
        <f t="array" ref="Q8">[1]!PropsSI("D","T",J8+273.15,"P",101325,"Water")</f>
        <v>985.54516399748491</v>
      </c>
      <c r="R8" cm="1">
        <f t="array" ref="R8">[1]!PropsSI("D","T",K8+273.15,"P",101325,"Water")</f>
        <v>988.13971916937055</v>
      </c>
      <c r="S8">
        <f t="shared" si="1"/>
        <v>986.84244158342767</v>
      </c>
      <c r="T8" cm="1">
        <f t="array" ref="T8">[1]!PropsSI("H","T",J8+273.15,"P",101325,"Water")</f>
        <v>231604.50871634428</v>
      </c>
      <c r="U8" cm="1">
        <f t="array" ref="U8">[1]!PropsSI("H","T",K8+273.15,"P",101325,"Water")</f>
        <v>208449.2016964127</v>
      </c>
      <c r="V8">
        <f t="shared" si="2"/>
        <v>357.24461624288944</v>
      </c>
      <c r="W8" s="2"/>
    </row>
    <row r="9" spans="1:23" x14ac:dyDescent="0.2">
      <c r="A9">
        <v>46122.619351851848</v>
      </c>
      <c r="B9">
        <v>19.926397000000001</v>
      </c>
      <c r="C9">
        <v>19.918875</v>
      </c>
      <c r="D9">
        <v>19.834278999999999</v>
      </c>
      <c r="E9">
        <v>19.879436999999999</v>
      </c>
      <c r="F9">
        <v>37.932459000000001</v>
      </c>
      <c r="G9">
        <v>35.287503999999998</v>
      </c>
      <c r="H9">
        <v>33.055731000000002</v>
      </c>
      <c r="I9">
        <v>26.691862</v>
      </c>
      <c r="J9">
        <v>55.299816</v>
      </c>
      <c r="K9">
        <v>49.760719000000002</v>
      </c>
      <c r="L9">
        <v>12.282909999999999</v>
      </c>
      <c r="M9">
        <v>-622.46081800000002</v>
      </c>
      <c r="N9">
        <v>0.93553900000000001</v>
      </c>
      <c r="O9">
        <v>3.6190419999999999</v>
      </c>
      <c r="P9">
        <f t="shared" si="0"/>
        <v>1.5592316666666666E-5</v>
      </c>
      <c r="Q9" cm="1">
        <f t="array" ref="Q9">[1]!PropsSI("D","T",J9+273.15,"P",101325,"Water")</f>
        <v>985.54763905452864</v>
      </c>
      <c r="R9" cm="1">
        <f t="array" ref="R9">[1]!PropsSI("D","T",K9+273.15,"P",101325,"Water")</f>
        <v>988.14308447108203</v>
      </c>
      <c r="S9">
        <f t="shared" si="1"/>
        <v>986.8453617628054</v>
      </c>
      <c r="T9" cm="1">
        <f t="array" ref="T9">[1]!PropsSI("H","T",J9+273.15,"P",101325,"Water")</f>
        <v>231583.20854130288</v>
      </c>
      <c r="U9" cm="1">
        <f t="array" ref="U9">[1]!PropsSI("H","T",K9+273.15,"P",101325,"Water")</f>
        <v>208417.98428881567</v>
      </c>
      <c r="V9">
        <f t="shared" si="2"/>
        <v>356.44806328469656</v>
      </c>
      <c r="W9" s="2"/>
    </row>
    <row r="10" spans="1:23" x14ac:dyDescent="0.2">
      <c r="A10">
        <v>44660.6194097224</v>
      </c>
      <c r="B10">
        <v>19.938761</v>
      </c>
      <c r="C10">
        <v>19.911394999999999</v>
      </c>
      <c r="D10">
        <v>19.841892999999999</v>
      </c>
      <c r="E10">
        <v>19.882147</v>
      </c>
      <c r="F10">
        <v>37.764890000000001</v>
      </c>
      <c r="G10">
        <v>35.776532000000003</v>
      </c>
      <c r="H10">
        <v>32.833669999999998</v>
      </c>
      <c r="I10">
        <v>26.6447</v>
      </c>
      <c r="J10">
        <v>55.295361</v>
      </c>
      <c r="K10">
        <v>49.754364000000002</v>
      </c>
      <c r="L10">
        <v>11.272757</v>
      </c>
      <c r="M10">
        <v>-622.52489700000001</v>
      </c>
      <c r="N10">
        <v>0.93570299999999995</v>
      </c>
      <c r="O10">
        <v>3.186607</v>
      </c>
      <c r="P10">
        <f t="shared" si="0"/>
        <v>1.5595049999999999E-5</v>
      </c>
      <c r="Q10" cm="1">
        <f t="array" ref="Q10">[1]!PropsSI("D","T",J10+273.15,"P",101325,"Water")</f>
        <v>985.54980435480525</v>
      </c>
      <c r="R10" cm="1">
        <f t="array" ref="R10">[1]!PropsSI("D","T",K10+273.15,"P",101325,"Water")</f>
        <v>988.14594870036649</v>
      </c>
      <c r="S10">
        <f t="shared" si="1"/>
        <v>986.84787652758587</v>
      </c>
      <c r="T10" cm="1">
        <f t="array" ref="T10">[1]!PropsSI("H","T",J10+273.15,"P",101325,"Water")</f>
        <v>231564.5729874683</v>
      </c>
      <c r="U10" cm="1">
        <f t="array" ref="U10">[1]!PropsSI("H","T",K10+273.15,"P",101325,"Water")</f>
        <v>208391.41229134417</v>
      </c>
      <c r="V10">
        <f t="shared" si="2"/>
        <v>356.63359853337505</v>
      </c>
      <c r="W10" s="2"/>
    </row>
    <row r="11" spans="1:23" x14ac:dyDescent="0.2">
      <c r="A11">
        <v>44660.619467592798</v>
      </c>
      <c r="B11">
        <v>19.942533000000001</v>
      </c>
      <c r="C11">
        <v>19.908864000000001</v>
      </c>
      <c r="D11">
        <v>19.839362999999999</v>
      </c>
      <c r="E11">
        <v>19.872748999999999</v>
      </c>
      <c r="F11">
        <v>37.968001000000001</v>
      </c>
      <c r="G11">
        <v>35.386507999999999</v>
      </c>
      <c r="H11">
        <v>32.594600999999997</v>
      </c>
      <c r="I11">
        <v>26.471799000000001</v>
      </c>
      <c r="J11">
        <v>55.291065000000003</v>
      </c>
      <c r="K11">
        <v>49.746422000000003</v>
      </c>
      <c r="L11">
        <v>10.100161999999999</v>
      </c>
      <c r="M11">
        <v>-622.49510199999997</v>
      </c>
      <c r="N11">
        <v>0.93912899999999999</v>
      </c>
      <c r="O11">
        <v>3.4129209999999999</v>
      </c>
      <c r="P11">
        <f t="shared" ref="P11:P74" si="3" xml:space="preserve"> N11*0.001/60</f>
        <v>1.5652149999999999E-5</v>
      </c>
      <c r="Q11" cm="1">
        <f t="array" ref="Q11">[1]!PropsSI("D","T",J11+273.15,"P",101325,"Water")</f>
        <v>985.55189225865888</v>
      </c>
      <c r="R11" cm="1">
        <f t="array" ref="R11">[1]!PropsSI("D","T",K11+273.15,"P",101325,"Water")</f>
        <v>988.14952782473426</v>
      </c>
      <c r="S11">
        <f t="shared" ref="S11:S74" si="4">(Q11+R11)/2</f>
        <v>986.85071004169663</v>
      </c>
      <c r="T11" cm="1">
        <f t="array" ref="T11">[1]!PropsSI("H","T",J11+273.15,"P",101325,"Water")</f>
        <v>231546.60254785136</v>
      </c>
      <c r="U11" cm="1">
        <f t="array" ref="U11">[1]!PropsSI("H","T",K11+273.15,"P",101325,"Water")</f>
        <v>208358.20462755978</v>
      </c>
      <c r="V11">
        <f t="shared" ref="V11:V74" si="5">S11*P11*(T11-U11)</f>
        <v>358.17577030152472</v>
      </c>
    </row>
    <row r="12" spans="1:23" x14ac:dyDescent="0.2">
      <c r="A12">
        <v>44660.619526041803</v>
      </c>
      <c r="B12">
        <v>19.933496000000002</v>
      </c>
      <c r="C12">
        <v>19.904083</v>
      </c>
      <c r="D12">
        <v>19.835046999999999</v>
      </c>
      <c r="E12">
        <v>19.867329000000002</v>
      </c>
      <c r="F12">
        <v>37.854280000000003</v>
      </c>
      <c r="G12">
        <v>34.819656999999999</v>
      </c>
      <c r="H12">
        <v>33.328600999999999</v>
      </c>
      <c r="I12">
        <v>26.647791999999999</v>
      </c>
      <c r="J12">
        <v>55.293450999999997</v>
      </c>
      <c r="K12">
        <v>49.741815000000003</v>
      </c>
      <c r="L12">
        <v>10.777678999999999</v>
      </c>
      <c r="M12">
        <v>-622.48000100000002</v>
      </c>
      <c r="N12">
        <v>0.93935000000000002</v>
      </c>
      <c r="O12">
        <v>3.4767269999999999</v>
      </c>
      <c r="P12">
        <f t="shared" si="3"/>
        <v>1.5655833333333334E-5</v>
      </c>
      <c r="Q12" cm="1">
        <f t="array" ref="Q12">[1]!PropsSI("D","T",J12+273.15,"P",101325,"Water")</f>
        <v>985.55073265017836</v>
      </c>
      <c r="R12" cm="1">
        <f t="array" ref="R12">[1]!PropsSI("D","T",K12+273.15,"P",101325,"Water")</f>
        <v>988.15160381513101</v>
      </c>
      <c r="S12">
        <f t="shared" si="4"/>
        <v>986.85116823265469</v>
      </c>
      <c r="T12" cm="1">
        <f t="array" ref="T12">[1]!PropsSI("H","T",J12+273.15,"P",101325,"Water")</f>
        <v>231556.58333591494</v>
      </c>
      <c r="U12" cm="1">
        <f t="array" ref="U12">[1]!PropsSI("H","T",K12+273.15,"P",101325,"Water")</f>
        <v>208338.94151454302</v>
      </c>
      <c r="V12">
        <f t="shared" si="5"/>
        <v>358.71204176176258</v>
      </c>
    </row>
    <row r="13" spans="1:23" x14ac:dyDescent="0.2">
      <c r="A13">
        <v>44660.619583912201</v>
      </c>
      <c r="B13">
        <v>19.916508</v>
      </c>
      <c r="C13">
        <v>19.873301999999999</v>
      </c>
      <c r="D13">
        <v>19.824707</v>
      </c>
      <c r="E13">
        <v>19.847442999999998</v>
      </c>
      <c r="F13">
        <v>38.152211999999999</v>
      </c>
      <c r="G13">
        <v>34.957448999999997</v>
      </c>
      <c r="H13">
        <v>33.206614000000002</v>
      </c>
      <c r="I13">
        <v>26.667797</v>
      </c>
      <c r="J13">
        <v>55.291065000000003</v>
      </c>
      <c r="K13">
        <v>49.736412999999999</v>
      </c>
      <c r="L13">
        <v>11.004607</v>
      </c>
      <c r="M13">
        <v>-622.47061399999996</v>
      </c>
      <c r="N13">
        <v>0.93886199999999997</v>
      </c>
      <c r="O13">
        <v>3.6379009999999998</v>
      </c>
      <c r="P13">
        <f t="shared" si="3"/>
        <v>1.5647699999999999E-5</v>
      </c>
      <c r="Q13" cm="1">
        <f t="array" ref="Q13">[1]!PropsSI("D","T",J13+273.15,"P",101325,"Water")</f>
        <v>985.55189225865888</v>
      </c>
      <c r="R13" cm="1">
        <f t="array" ref="R13">[1]!PropsSI("D","T",K13+273.15,"P",101325,"Water")</f>
        <v>988.15403786781633</v>
      </c>
      <c r="S13">
        <f t="shared" si="4"/>
        <v>986.85296506323766</v>
      </c>
      <c r="T13" cm="1">
        <f t="array" ref="T13">[1]!PropsSI("H","T",J13+273.15,"P",101325,"Water")</f>
        <v>231546.60254785136</v>
      </c>
      <c r="U13" cm="1">
        <f t="array" ref="U13">[1]!PropsSI("H","T",K13+273.15,"P",101325,"Water")</f>
        <v>208316.35429912712</v>
      </c>
      <c r="V13">
        <f t="shared" si="5"/>
        <v>358.72100890680872</v>
      </c>
    </row>
    <row r="14" spans="1:23" x14ac:dyDescent="0.2">
      <c r="A14">
        <v>44660.6196423613</v>
      </c>
      <c r="B14">
        <v>19.918724999999998</v>
      </c>
      <c r="C14">
        <v>19.867139000000002</v>
      </c>
      <c r="D14">
        <v>19.802524999999999</v>
      </c>
      <c r="E14">
        <v>19.853294999999999</v>
      </c>
      <c r="F14">
        <v>38.211508000000002</v>
      </c>
      <c r="G14">
        <v>34.869982999999998</v>
      </c>
      <c r="H14">
        <v>33.361716999999999</v>
      </c>
      <c r="I14">
        <v>27.193584000000001</v>
      </c>
      <c r="J14">
        <v>55.289791999999998</v>
      </c>
      <c r="K14">
        <v>49.728470000000002</v>
      </c>
      <c r="L14">
        <v>10.971546999999999</v>
      </c>
      <c r="M14">
        <v>-622.52285600000005</v>
      </c>
      <c r="N14">
        <v>0.93811599999999995</v>
      </c>
      <c r="O14">
        <v>3.3899330000000001</v>
      </c>
      <c r="P14">
        <f t="shared" si="3"/>
        <v>1.5635266666666666E-5</v>
      </c>
      <c r="Q14" cm="1">
        <f t="array" ref="Q14">[1]!PropsSI("D","T",J14+273.15,"P",101325,"Water")</f>
        <v>985.55251092889353</v>
      </c>
      <c r="R14" cm="1">
        <f t="array" ref="R14">[1]!PropsSI("D","T",K14+273.15,"P",101325,"Water")</f>
        <v>988.15761650473905</v>
      </c>
      <c r="S14">
        <f t="shared" si="4"/>
        <v>986.85506371681629</v>
      </c>
      <c r="T14" cm="1">
        <f t="array" ref="T14">[1]!PropsSI("H","T",J14+273.15,"P",101325,"Water")</f>
        <v>231541.27750969218</v>
      </c>
      <c r="U14" cm="1">
        <f t="array" ref="U14">[1]!PropsSI("H","T",K14+273.15,"P",101325,"Water")</f>
        <v>208283.14249372872</v>
      </c>
      <c r="V14">
        <f t="shared" si="5"/>
        <v>358.86702461773757</v>
      </c>
    </row>
    <row r="15" spans="1:23" x14ac:dyDescent="0.2">
      <c r="A15">
        <v>46122.619700810188</v>
      </c>
      <c r="B15">
        <v>19.922391000000001</v>
      </c>
      <c r="C15">
        <v>19.893999999999998</v>
      </c>
      <c r="D15">
        <v>19.822645000000001</v>
      </c>
      <c r="E15">
        <v>19.868611999999999</v>
      </c>
      <c r="F15">
        <v>37.867494999999998</v>
      </c>
      <c r="G15">
        <v>35.075839000000002</v>
      </c>
      <c r="H15">
        <v>32.929949999999998</v>
      </c>
      <c r="I15">
        <v>26.579995</v>
      </c>
      <c r="J15">
        <v>55.290587000000002</v>
      </c>
      <c r="K15">
        <v>49.725611000000001</v>
      </c>
      <c r="L15">
        <v>10.672787</v>
      </c>
      <c r="M15">
        <v>-622.53387599999996</v>
      </c>
      <c r="N15">
        <v>0.93938299999999997</v>
      </c>
      <c r="O15">
        <v>3.4576530000000001</v>
      </c>
      <c r="P15">
        <f t="shared" si="3"/>
        <v>1.5656383333333335E-5</v>
      </c>
      <c r="Q15" cm="1">
        <f t="array" ref="Q15">[1]!PropsSI("D","T",J15+273.15,"P",101325,"Water")</f>
        <v>985.55212456491813</v>
      </c>
      <c r="R15" cm="1">
        <f t="array" ref="R15">[1]!PropsSI("D","T",K15+273.15,"P",101325,"Water")</f>
        <v>988.15890449619792</v>
      </c>
      <c r="S15">
        <f t="shared" si="4"/>
        <v>986.85551453055803</v>
      </c>
      <c r="T15" cm="1">
        <f t="array" ref="T15">[1]!PropsSI("H","T",J15+273.15,"P",101325,"Water")</f>
        <v>231544.6030440765</v>
      </c>
      <c r="U15" cm="1">
        <f t="array" ref="U15">[1]!PropsSI("H","T",K15+273.15,"P",101325,"Water")</f>
        <v>208271.1882551047</v>
      </c>
      <c r="V15">
        <f t="shared" si="5"/>
        <v>359.58794861282354</v>
      </c>
    </row>
    <row r="16" spans="1:23" x14ac:dyDescent="0.2">
      <c r="A16">
        <v>46122.619758680557</v>
      </c>
      <c r="B16">
        <v>19.925977</v>
      </c>
      <c r="C16">
        <v>19.904059</v>
      </c>
      <c r="D16">
        <v>19.813196999999999</v>
      </c>
      <c r="E16">
        <v>19.871901000000001</v>
      </c>
      <c r="F16">
        <v>38.088988999999998</v>
      </c>
      <c r="G16">
        <v>35.341087000000002</v>
      </c>
      <c r="H16">
        <v>32.518822999999998</v>
      </c>
      <c r="I16">
        <v>26.831869000000001</v>
      </c>
      <c r="J16">
        <v>55.292338000000001</v>
      </c>
      <c r="K16">
        <v>49.724975999999998</v>
      </c>
      <c r="L16">
        <v>11.56213</v>
      </c>
      <c r="M16">
        <v>-622.49918400000001</v>
      </c>
      <c r="N16">
        <v>0.93791599999999997</v>
      </c>
      <c r="O16">
        <v>3.7754880000000002</v>
      </c>
      <c r="P16">
        <f t="shared" si="3"/>
        <v>1.5631933333333332E-5</v>
      </c>
      <c r="Q16" cm="1">
        <f t="array" ref="Q16">[1]!PropsSI("D","T",J16+273.15,"P",101325,"Water")</f>
        <v>985.55127357837625</v>
      </c>
      <c r="R16" cm="1">
        <f t="array" ref="R16">[1]!PropsSI("D","T",K16+273.15,"P",101325,"Water")</f>
        <v>988.15919055904521</v>
      </c>
      <c r="S16">
        <f t="shared" si="4"/>
        <v>986.85523206871073</v>
      </c>
      <c r="T16" cm="1">
        <f t="array" ref="T16">[1]!PropsSI("H","T",J16+273.15,"P",101325,"Water")</f>
        <v>231551.92758665443</v>
      </c>
      <c r="U16" cm="1">
        <f t="array" ref="U16">[1]!PropsSI("H","T",K16+273.15,"P",101325,"Water")</f>
        <v>208268.53315173334</v>
      </c>
      <c r="V16">
        <f t="shared" si="5"/>
        <v>359.18024109252178</v>
      </c>
    </row>
    <row r="17" spans="1:22" x14ac:dyDescent="0.2">
      <c r="A17">
        <v>46122.619817129627</v>
      </c>
      <c r="B17">
        <v>19.911729999999999</v>
      </c>
      <c r="C17">
        <v>19.904563</v>
      </c>
      <c r="D17">
        <v>19.824149999999999</v>
      </c>
      <c r="E17">
        <v>19.867804</v>
      </c>
      <c r="F17">
        <v>38.099353000000001</v>
      </c>
      <c r="G17">
        <v>34.861967999999997</v>
      </c>
      <c r="H17">
        <v>33.124363000000002</v>
      </c>
      <c r="I17">
        <v>26.410373</v>
      </c>
      <c r="J17">
        <v>55.289631999999997</v>
      </c>
      <c r="K17">
        <v>49.721322000000001</v>
      </c>
      <c r="L17">
        <v>11.562538</v>
      </c>
      <c r="M17">
        <v>-622.50244899999996</v>
      </c>
      <c r="N17">
        <v>0.93538299999999996</v>
      </c>
      <c r="O17">
        <v>3.595113</v>
      </c>
      <c r="P17">
        <f t="shared" si="3"/>
        <v>1.5589716666666668E-5</v>
      </c>
      <c r="Q17" cm="1">
        <f t="array" ref="Q17">[1]!PropsSI("D","T",J17+273.15,"P",101325,"Water")</f>
        <v>985.55258868721546</v>
      </c>
      <c r="R17" cm="1">
        <f t="array" ref="R17">[1]!PropsSI("D","T",K17+273.15,"P",101325,"Water")</f>
        <v>988.16083660773381</v>
      </c>
      <c r="S17">
        <f t="shared" si="4"/>
        <v>986.85671264747464</v>
      </c>
      <c r="T17" cm="1">
        <f t="array" ref="T17">[1]!PropsSI("H","T",J17+273.15,"P",101325,"Water")</f>
        <v>231540.60821971751</v>
      </c>
      <c r="U17" cm="1">
        <f t="array" ref="U17">[1]!PropsSI("H","T",K17+273.15,"P",101325,"Water")</f>
        <v>208253.25481082086</v>
      </c>
      <c r="V17">
        <f t="shared" si="5"/>
        <v>358.27165991600145</v>
      </c>
    </row>
    <row r="18" spans="1:22" x14ac:dyDescent="0.2">
      <c r="A18">
        <v>46122.619874999997</v>
      </c>
      <c r="B18">
        <v>19.930011</v>
      </c>
      <c r="C18">
        <v>19.912240000000001</v>
      </c>
      <c r="D18">
        <v>19.814177000000001</v>
      </c>
      <c r="E18">
        <v>19.862069999999999</v>
      </c>
      <c r="F18">
        <v>38.164749999999998</v>
      </c>
      <c r="G18">
        <v>34.794857999999998</v>
      </c>
      <c r="H18">
        <v>32.408270000000002</v>
      </c>
      <c r="I18">
        <v>26.480384999999998</v>
      </c>
      <c r="J18">
        <v>55.281039999999997</v>
      </c>
      <c r="K18">
        <v>49.721798</v>
      </c>
      <c r="L18">
        <v>9.4018300000000004</v>
      </c>
      <c r="M18">
        <v>-622.442452</v>
      </c>
      <c r="N18">
        <v>0.93595700000000004</v>
      </c>
      <c r="O18">
        <v>3.805161</v>
      </c>
      <c r="P18">
        <f t="shared" si="3"/>
        <v>1.5599283333333335E-5</v>
      </c>
      <c r="Q18" cm="1">
        <f t="array" ref="Q18">[1]!PropsSI("D","T",J18+273.15,"P",101325,"Water")</f>
        <v>985.55676407605165</v>
      </c>
      <c r="R18" cm="1">
        <f t="array" ref="R18">[1]!PropsSI("D","T",K18+273.15,"P",101325,"Water")</f>
        <v>988.1606221849122</v>
      </c>
      <c r="S18">
        <f t="shared" si="4"/>
        <v>986.85869313048192</v>
      </c>
      <c r="T18" cm="1">
        <f t="array" ref="T18">[1]!PropsSI("H","T",J18+273.15,"P",101325,"Water")</f>
        <v>231504.66736529843</v>
      </c>
      <c r="U18" cm="1">
        <f t="array" ref="U18">[1]!PropsSI("H","T",K18+273.15,"P",101325,"Water")</f>
        <v>208255.24509263603</v>
      </c>
      <c r="V18">
        <f t="shared" si="5"/>
        <v>357.90831076422069</v>
      </c>
    </row>
    <row r="19" spans="1:22" x14ac:dyDescent="0.2">
      <c r="A19">
        <v>46122.619933449074</v>
      </c>
      <c r="B19">
        <v>19.929255999999999</v>
      </c>
      <c r="C19">
        <v>19.897556000000002</v>
      </c>
      <c r="D19">
        <v>19.812035999999999</v>
      </c>
      <c r="E19">
        <v>19.845243</v>
      </c>
      <c r="F19">
        <v>38.268160999999999</v>
      </c>
      <c r="G19">
        <v>35.078207999999997</v>
      </c>
      <c r="H19">
        <v>32.879396</v>
      </c>
      <c r="I19">
        <v>26.558793999999999</v>
      </c>
      <c r="J19">
        <v>55.282471999999999</v>
      </c>
      <c r="K19">
        <v>49.716079999999998</v>
      </c>
      <c r="L19">
        <v>10.079755</v>
      </c>
      <c r="M19">
        <v>-622.49755100000004</v>
      </c>
      <c r="N19">
        <v>0.93763300000000005</v>
      </c>
      <c r="O19">
        <v>3.6894179999999999</v>
      </c>
      <c r="P19">
        <f t="shared" si="3"/>
        <v>1.5627216666666668E-5</v>
      </c>
      <c r="Q19" cm="1">
        <f t="array" ref="Q19">[1]!PropsSI("D","T",J19+273.15,"P",101325,"Water")</f>
        <v>985.55606820964294</v>
      </c>
      <c r="R19" cm="1">
        <f t="array" ref="R19">[1]!PropsSI("D","T",K19+273.15,"P",101325,"Water")</f>
        <v>988.163197862949</v>
      </c>
      <c r="S19">
        <f t="shared" si="4"/>
        <v>986.85963303629592</v>
      </c>
      <c r="T19" cm="1">
        <f t="array" ref="T19">[1]!PropsSI("H","T",J19+273.15,"P",101325,"Water")</f>
        <v>231510.6575058233</v>
      </c>
      <c r="U19" cm="1">
        <f t="array" ref="U19">[1]!PropsSI("H","T",K19+273.15,"P",101325,"Water")</f>
        <v>208231.336628188</v>
      </c>
      <c r="V19">
        <f t="shared" si="5"/>
        <v>359.01064408510535</v>
      </c>
    </row>
    <row r="20" spans="1:22" x14ac:dyDescent="0.2">
      <c r="A20">
        <v>46122.619991898151</v>
      </c>
      <c r="B20">
        <v>19.917707</v>
      </c>
      <c r="C20">
        <v>19.875651999999999</v>
      </c>
      <c r="D20">
        <v>19.809874000000001</v>
      </c>
      <c r="E20">
        <v>19.829084999999999</v>
      </c>
      <c r="F20">
        <v>37.841334000000003</v>
      </c>
      <c r="G20">
        <v>35.570064000000002</v>
      </c>
      <c r="H20">
        <v>32.790782999999998</v>
      </c>
      <c r="I20">
        <v>26.266128999999999</v>
      </c>
      <c r="J20">
        <v>55.277538999999997</v>
      </c>
      <c r="K20">
        <v>49.710360999999999</v>
      </c>
      <c r="L20">
        <v>11.060930000000001</v>
      </c>
      <c r="M20">
        <v>-622.50775499999997</v>
      </c>
      <c r="N20">
        <v>0.93980900000000001</v>
      </c>
      <c r="O20">
        <v>3.751636</v>
      </c>
      <c r="P20">
        <f t="shared" si="3"/>
        <v>1.5663483333333333E-5</v>
      </c>
      <c r="Q20" cm="1">
        <f t="array" ref="Q20">[1]!PropsSI("D","T",J20+273.15,"P",101325,"Water")</f>
        <v>985.55846529932603</v>
      </c>
      <c r="R20" cm="1">
        <f t="array" ref="R20">[1]!PropsSI("D","T",K20+273.15,"P",101325,"Water")</f>
        <v>988.16577377620558</v>
      </c>
      <c r="S20">
        <f t="shared" si="4"/>
        <v>986.86211953776581</v>
      </c>
      <c r="T20" cm="1">
        <f t="array" ref="T20">[1]!PropsSI("H","T",J20+273.15,"P",101325,"Water")</f>
        <v>231490.02247877521</v>
      </c>
      <c r="U20" cm="1">
        <f t="array" ref="U20">[1]!PropsSI("H","T",K20+273.15,"P",101325,"Water")</f>
        <v>208207.42399174403</v>
      </c>
      <c r="V20">
        <f t="shared" si="5"/>
        <v>359.89538448858394</v>
      </c>
    </row>
    <row r="21" spans="1:22" x14ac:dyDescent="0.2">
      <c r="A21">
        <v>46122.620050347221</v>
      </c>
      <c r="B21">
        <v>19.886382999999999</v>
      </c>
      <c r="C21">
        <v>19.865027999999999</v>
      </c>
      <c r="D21">
        <v>19.785321</v>
      </c>
      <c r="E21">
        <v>19.804784000000001</v>
      </c>
      <c r="F21">
        <v>38.048138000000002</v>
      </c>
      <c r="G21">
        <v>35.393459999999997</v>
      </c>
      <c r="H21">
        <v>32.486789999999999</v>
      </c>
      <c r="I21">
        <v>26.36777</v>
      </c>
      <c r="J21">
        <v>55.276266</v>
      </c>
      <c r="K21">
        <v>49.705753999999999</v>
      </c>
      <c r="L21">
        <v>10.355251000000001</v>
      </c>
      <c r="M21">
        <v>-622.50449000000003</v>
      </c>
      <c r="N21">
        <v>0.93596500000000005</v>
      </c>
      <c r="O21">
        <v>3.5812240000000002</v>
      </c>
      <c r="P21">
        <f t="shared" si="3"/>
        <v>1.5599416666666668E-5</v>
      </c>
      <c r="Q21" cm="1">
        <f t="array" ref="Q21">[1]!PropsSI("D","T",J21+273.15,"P",101325,"Water")</f>
        <v>985.55908386300166</v>
      </c>
      <c r="R21" cm="1">
        <f t="array" ref="R21">[1]!PropsSI("D","T",K21+273.15,"P",101325,"Water")</f>
        <v>988.16784867340596</v>
      </c>
      <c r="S21">
        <f t="shared" si="4"/>
        <v>986.86346626820387</v>
      </c>
      <c r="T21" cm="1">
        <f t="array" ref="T21">[1]!PropsSI("H","T",J21+273.15,"P",101325,"Water")</f>
        <v>231484.697446854</v>
      </c>
      <c r="U21" cm="1">
        <f t="array" ref="U21">[1]!PropsSI("H","T",K21+273.15,"P",101325,"Water")</f>
        <v>208188.16092497951</v>
      </c>
      <c r="V21">
        <f t="shared" si="5"/>
        <v>358.63840110526809</v>
      </c>
    </row>
    <row r="22" spans="1:22" x14ac:dyDescent="0.2">
      <c r="A22">
        <v>46122.620108796298</v>
      </c>
      <c r="B22">
        <v>19.885866</v>
      </c>
      <c r="C22">
        <v>19.869392999999999</v>
      </c>
      <c r="D22">
        <v>19.781094</v>
      </c>
      <c r="E22">
        <v>19.829556</v>
      </c>
      <c r="F22">
        <v>37.845247000000001</v>
      </c>
      <c r="G22">
        <v>34.847617999999997</v>
      </c>
      <c r="H22">
        <v>32.642752999999999</v>
      </c>
      <c r="I22">
        <v>26.543638000000001</v>
      </c>
      <c r="J22">
        <v>55.269582999999997</v>
      </c>
      <c r="K22">
        <v>49.694474999999997</v>
      </c>
      <c r="L22">
        <v>10.708703</v>
      </c>
      <c r="M22">
        <v>-622.47551099999998</v>
      </c>
      <c r="N22">
        <v>0.940411</v>
      </c>
      <c r="O22">
        <v>3.8048690000000001</v>
      </c>
      <c r="P22">
        <f t="shared" si="3"/>
        <v>1.5673516666666668E-5</v>
      </c>
      <c r="Q22" cm="1">
        <f t="array" ref="Q22">[1]!PropsSI("D","T",J22+273.15,"P",101325,"Water")</f>
        <v>985.56233103620252</v>
      </c>
      <c r="R22" cm="1">
        <f t="array" ref="R22">[1]!PropsSI("D","T",K22+273.15,"P",101325,"Water")</f>
        <v>988.17292791128989</v>
      </c>
      <c r="S22">
        <f t="shared" si="4"/>
        <v>986.86762947374621</v>
      </c>
      <c r="T22" cm="1">
        <f t="array" ref="T22">[1]!PropsSI("H","T",J22+273.15,"P",101325,"Water")</f>
        <v>231456.74208498653</v>
      </c>
      <c r="U22" cm="1">
        <f t="array" ref="U22">[1]!PropsSI("H","T",K22+273.15,"P",101325,"Water")</f>
        <v>208141.00051371084</v>
      </c>
      <c r="V22">
        <f t="shared" si="5"/>
        <v>360.6405750389597</v>
      </c>
    </row>
    <row r="23" spans="1:22" x14ac:dyDescent="0.2">
      <c r="A23">
        <v>46122.620166666668</v>
      </c>
      <c r="B23">
        <v>19.870484000000001</v>
      </c>
      <c r="C23">
        <v>19.865752000000001</v>
      </c>
      <c r="D23">
        <v>19.789760999999999</v>
      </c>
      <c r="E23">
        <v>19.829630999999999</v>
      </c>
      <c r="F23">
        <v>37.775328000000002</v>
      </c>
      <c r="G23">
        <v>34.735971999999997</v>
      </c>
      <c r="H23">
        <v>32.508164000000001</v>
      </c>
      <c r="I23">
        <v>26.68918</v>
      </c>
      <c r="J23">
        <v>55.267355999999999</v>
      </c>
      <c r="K23">
        <v>49.686214</v>
      </c>
      <c r="L23">
        <v>11.512335999999999</v>
      </c>
      <c r="M23">
        <v>-622.49755100000004</v>
      </c>
      <c r="N23">
        <v>0.94109600000000004</v>
      </c>
      <c r="O23">
        <v>3.9691559999999999</v>
      </c>
      <c r="P23">
        <f t="shared" si="3"/>
        <v>1.5684933333333336E-5</v>
      </c>
      <c r="Q23" cm="1">
        <f t="array" ref="Q23">[1]!PropsSI("D","T",J23+273.15,"P",101325,"Water")</f>
        <v>985.56341304193791</v>
      </c>
      <c r="R23" cm="1">
        <f t="array" ref="R23">[1]!PropsSI("D","T",K23+273.15,"P",101325,"Water")</f>
        <v>988.17664753108488</v>
      </c>
      <c r="S23">
        <f t="shared" si="4"/>
        <v>986.87003028651134</v>
      </c>
      <c r="T23" cm="1">
        <f t="array" ref="T23">[1]!PropsSI("H","T",J23+273.15,"P",101325,"Water")</f>
        <v>231447.42642332724</v>
      </c>
      <c r="U23" cm="1">
        <f t="array" ref="U23">[1]!PropsSI("H","T",K23+273.15,"P",101325,"Water")</f>
        <v>208106.45916213412</v>
      </c>
      <c r="V23">
        <f t="shared" si="5"/>
        <v>361.29461361770689</v>
      </c>
    </row>
    <row r="24" spans="1:22" x14ac:dyDescent="0.2">
      <c r="A24">
        <v>46122.620224537037</v>
      </c>
      <c r="B24">
        <v>19.870213</v>
      </c>
      <c r="C24">
        <v>19.882902999999999</v>
      </c>
      <c r="D24">
        <v>19.789491999999999</v>
      </c>
      <c r="E24">
        <v>19.821092</v>
      </c>
      <c r="F24">
        <v>37.754866999999997</v>
      </c>
      <c r="G24">
        <v>33.569600000000001</v>
      </c>
      <c r="H24">
        <v>33.508721000000001</v>
      </c>
      <c r="I24">
        <v>26.303930999999999</v>
      </c>
      <c r="J24">
        <v>55.264332000000003</v>
      </c>
      <c r="K24">
        <v>49.681607999999997</v>
      </c>
      <c r="L24">
        <v>10.548711000000001</v>
      </c>
      <c r="M24">
        <v>-622.50979500000005</v>
      </c>
      <c r="N24">
        <v>0.93980900000000001</v>
      </c>
      <c r="O24">
        <v>3.4254380000000002</v>
      </c>
      <c r="P24">
        <f t="shared" si="3"/>
        <v>1.5663483333333333E-5</v>
      </c>
      <c r="Q24" cm="1">
        <f t="array" ref="Q24">[1]!PropsSI("D","T",J24+273.15,"P",101325,"Water")</f>
        <v>985.56488222731161</v>
      </c>
      <c r="R24" cm="1">
        <f t="array" ref="R24">[1]!PropsSI("D","T",K24+273.15,"P",101325,"Water")</f>
        <v>988.17872124581856</v>
      </c>
      <c r="S24">
        <f t="shared" si="4"/>
        <v>986.87180173656509</v>
      </c>
      <c r="T24" cm="1">
        <f t="array" ref="T24">[1]!PropsSI("H","T",J24+273.15,"P",101325,"Water")</f>
        <v>231434.77687044622</v>
      </c>
      <c r="U24" cm="1">
        <f t="array" ref="U24">[1]!PropsSI("H","T",K24+273.15,"P",101325,"Water")</f>
        <v>208087.2003075651</v>
      </c>
      <c r="V24">
        <f t="shared" si="5"/>
        <v>360.90333680766827</v>
      </c>
    </row>
    <row r="25" spans="1:22" x14ac:dyDescent="0.2">
      <c r="A25">
        <v>46122.620282986114</v>
      </c>
      <c r="B25">
        <v>19.874243</v>
      </c>
      <c r="C25">
        <v>19.8797</v>
      </c>
      <c r="D25">
        <v>19.784431999999999</v>
      </c>
      <c r="E25">
        <v>19.823437999999999</v>
      </c>
      <c r="F25">
        <v>38.119072000000003</v>
      </c>
      <c r="G25">
        <v>35.12236</v>
      </c>
      <c r="H25">
        <v>32.563814999999998</v>
      </c>
      <c r="I25">
        <v>26.270346</v>
      </c>
      <c r="J25">
        <v>55.266241999999998</v>
      </c>
      <c r="K25">
        <v>49.676682999999997</v>
      </c>
      <c r="L25">
        <v>10.63034</v>
      </c>
      <c r="M25">
        <v>-622.49550999999997</v>
      </c>
      <c r="N25">
        <v>0.93939899999999998</v>
      </c>
      <c r="O25">
        <v>3.1504279999999998</v>
      </c>
      <c r="P25">
        <f t="shared" si="3"/>
        <v>1.5656650000000002E-5</v>
      </c>
      <c r="Q25" cm="1">
        <f t="array" ref="Q25">[1]!PropsSI("D","T",J25+273.15,"P",101325,"Water")</f>
        <v>985.56395427620691</v>
      </c>
      <c r="R25" cm="1">
        <f t="array" ref="R25">[1]!PropsSI("D","T",K25+273.15,"P",101325,"Water")</f>
        <v>988.18093842628707</v>
      </c>
      <c r="S25">
        <f t="shared" si="4"/>
        <v>986.87244635124694</v>
      </c>
      <c r="T25" cm="1">
        <f t="array" ref="T25">[1]!PropsSI("H","T",J25+273.15,"P",101325,"Water")</f>
        <v>231442.76650162908</v>
      </c>
      <c r="U25" cm="1">
        <f t="array" ref="U25">[1]!PropsSI("H","T",K25+273.15,"P",101325,"Water")</f>
        <v>208066.60763959959</v>
      </c>
      <c r="V25">
        <f t="shared" si="5"/>
        <v>361.187753599698</v>
      </c>
    </row>
    <row r="26" spans="1:22" x14ac:dyDescent="0.2">
      <c r="A26">
        <v>46122.620341435184</v>
      </c>
      <c r="B26">
        <v>19.895040000000002</v>
      </c>
      <c r="C26">
        <v>19.907986999999999</v>
      </c>
      <c r="D26">
        <v>19.802263</v>
      </c>
      <c r="E26">
        <v>19.842924</v>
      </c>
      <c r="F26">
        <v>38.147472</v>
      </c>
      <c r="G26">
        <v>35.725848999999997</v>
      </c>
      <c r="H26">
        <v>32.389119999999998</v>
      </c>
      <c r="I26">
        <v>26.215157000000001</v>
      </c>
      <c r="J26">
        <v>55.262900000000002</v>
      </c>
      <c r="K26">
        <v>49.673983</v>
      </c>
      <c r="L26">
        <v>11.107459</v>
      </c>
      <c r="M26">
        <v>-622.45224700000006</v>
      </c>
      <c r="N26">
        <v>0.94115300000000002</v>
      </c>
      <c r="O26">
        <v>3.7096110000000002</v>
      </c>
      <c r="P26">
        <f t="shared" si="3"/>
        <v>1.5685883333333335E-5</v>
      </c>
      <c r="Q26" cm="1">
        <f t="array" ref="Q26">[1]!PropsSI("D","T",J26+273.15,"P",101325,"Water")</f>
        <v>985.56557793291881</v>
      </c>
      <c r="R26" cm="1">
        <f t="array" ref="R26">[1]!PropsSI("D","T",K26+273.15,"P",101325,"Water")</f>
        <v>988.18215386860629</v>
      </c>
      <c r="S26">
        <f t="shared" si="4"/>
        <v>986.87386590076255</v>
      </c>
      <c r="T26" cm="1">
        <f t="array" ref="T26">[1]!PropsSI("H","T",J26+273.15,"P",101325,"Water")</f>
        <v>231428.78673937308</v>
      </c>
      <c r="U26" cm="1">
        <f t="array" ref="U26">[1]!PropsSI("H","T",K26+273.15,"P",101325,"Water")</f>
        <v>208055.31826098418</v>
      </c>
      <c r="V26">
        <f t="shared" si="5"/>
        <v>361.82101916570878</v>
      </c>
    </row>
    <row r="27" spans="1:22" x14ac:dyDescent="0.2">
      <c r="A27">
        <v>46122.620399305553</v>
      </c>
      <c r="B27">
        <v>19.913214</v>
      </c>
      <c r="C27">
        <v>19.907195999999999</v>
      </c>
      <c r="D27">
        <v>19.803097999999999</v>
      </c>
      <c r="E27">
        <v>19.839383999999999</v>
      </c>
      <c r="F27">
        <v>38.014308</v>
      </c>
      <c r="G27">
        <v>34.382250999999997</v>
      </c>
      <c r="H27">
        <v>33.09516</v>
      </c>
      <c r="I27">
        <v>26.505154999999998</v>
      </c>
      <c r="J27">
        <v>55.263696000000003</v>
      </c>
      <c r="K27">
        <v>49.668104999999997</v>
      </c>
      <c r="L27">
        <v>12.282501999999999</v>
      </c>
      <c r="M27">
        <v>-622.48326599999996</v>
      </c>
      <c r="N27">
        <v>0.93670699999999996</v>
      </c>
      <c r="O27">
        <v>3.5025620000000002</v>
      </c>
      <c r="P27">
        <f t="shared" si="3"/>
        <v>1.5611783333333332E-5</v>
      </c>
      <c r="Q27" cm="1">
        <f t="array" ref="Q27">[1]!PropsSI("D","T",J27+273.15,"P",101325,"Water")</f>
        <v>985.56519121544954</v>
      </c>
      <c r="R27" cm="1">
        <f t="array" ref="R27">[1]!PropsSI("D","T",K27+273.15,"P",101325,"Water")</f>
        <v>988.18479976561889</v>
      </c>
      <c r="S27">
        <f t="shared" si="4"/>
        <v>986.87499549053427</v>
      </c>
      <c r="T27" cm="1">
        <f t="array" ref="T27">[1]!PropsSI("H","T",J27+273.15,"P",101325,"Water")</f>
        <v>231432.11644895887</v>
      </c>
      <c r="U27" cm="1">
        <f t="array" ref="U27">[1]!PropsSI("H","T",K27+273.15,"P",101325,"Water")</f>
        <v>208030.74087272547</v>
      </c>
      <c r="V27">
        <f t="shared" si="5"/>
        <v>360.54215273241346</v>
      </c>
    </row>
    <row r="28" spans="1:22" x14ac:dyDescent="0.2">
      <c r="A28">
        <v>46122.62045775463</v>
      </c>
      <c r="B28">
        <v>19.913274000000001</v>
      </c>
      <c r="C28">
        <v>19.930016999999999</v>
      </c>
      <c r="D28">
        <v>19.806640999999999</v>
      </c>
      <c r="E28">
        <v>19.841971999999998</v>
      </c>
      <c r="F28">
        <v>37.605877999999997</v>
      </c>
      <c r="G28">
        <v>34.640222999999999</v>
      </c>
      <c r="H28">
        <v>32.922249000000001</v>
      </c>
      <c r="I28">
        <v>26.086753000000002</v>
      </c>
      <c r="J28">
        <v>55.258763000000002</v>
      </c>
      <c r="K28">
        <v>49.667310999999998</v>
      </c>
      <c r="L28">
        <v>10.668704999999999</v>
      </c>
      <c r="M28">
        <v>-622.54816100000005</v>
      </c>
      <c r="N28">
        <v>0.94064099999999995</v>
      </c>
      <c r="O28">
        <v>3.6165389999999999</v>
      </c>
      <c r="P28">
        <f t="shared" si="3"/>
        <v>1.567735E-5</v>
      </c>
      <c r="Q28" cm="1">
        <f t="array" ref="Q28">[1]!PropsSI("D","T",J28+273.15,"P",101325,"Water")</f>
        <v>985.56758773177398</v>
      </c>
      <c r="R28" cm="1">
        <f t="array" ref="R28">[1]!PropsSI("D","T",K28+273.15,"P",101325,"Water")</f>
        <v>988.18515715582384</v>
      </c>
      <c r="S28">
        <f t="shared" si="4"/>
        <v>986.87637244379891</v>
      </c>
      <c r="T28" cm="1">
        <f t="array" ref="T28">[1]!PropsSI("H","T",J28+273.15,"P",101325,"Water")</f>
        <v>231411.48145577312</v>
      </c>
      <c r="U28" cm="1">
        <f t="array" ref="U28">[1]!PropsSI("H","T",K28+273.15,"P",101325,"Water")</f>
        <v>208027.4209608901</v>
      </c>
      <c r="V28">
        <f t="shared" si="5"/>
        <v>361.78897761449645</v>
      </c>
    </row>
    <row r="29" spans="1:22" x14ac:dyDescent="0.2">
      <c r="A29">
        <v>46122.620515625</v>
      </c>
      <c r="B29">
        <v>19.907653</v>
      </c>
      <c r="C29">
        <v>19.934197000000001</v>
      </c>
      <c r="D29">
        <v>19.790619</v>
      </c>
      <c r="E29">
        <v>19.837605</v>
      </c>
      <c r="F29">
        <v>38.183686000000002</v>
      </c>
      <c r="G29">
        <v>34.752454</v>
      </c>
      <c r="H29">
        <v>32.737898000000001</v>
      </c>
      <c r="I29">
        <v>26.836846000000001</v>
      </c>
      <c r="J29">
        <v>55.260832000000001</v>
      </c>
      <c r="K29">
        <v>49.662385999999998</v>
      </c>
      <c r="L29">
        <v>11.072767000000001</v>
      </c>
      <c r="M29">
        <v>-622.51020400000004</v>
      </c>
      <c r="N29">
        <v>0.93466199999999999</v>
      </c>
      <c r="O29">
        <v>4.1116229999999998</v>
      </c>
      <c r="P29">
        <f t="shared" si="3"/>
        <v>1.5577700000000002E-5</v>
      </c>
      <c r="Q29" cm="1">
        <f t="array" ref="Q29">[1]!PropsSI("D","T",J29+273.15,"P",101325,"Water")</f>
        <v>985.56658260269091</v>
      </c>
      <c r="R29" cm="1">
        <f t="array" ref="R29">[1]!PropsSI("D","T",K29+273.15,"P",101325,"Water")</f>
        <v>988.18737387269539</v>
      </c>
      <c r="S29">
        <f t="shared" si="4"/>
        <v>986.87697823769315</v>
      </c>
      <c r="T29" cm="1">
        <f t="array" ref="T29">[1]!PropsSI("H","T",J29+273.15,"P",101325,"Water")</f>
        <v>231420.13618833013</v>
      </c>
      <c r="U29" cm="1">
        <f t="array" ref="U29">[1]!PropsSI("H","T",K29+273.15,"P",101325,"Water")</f>
        <v>208006.82831244508</v>
      </c>
      <c r="V29">
        <f t="shared" si="5"/>
        <v>359.93918560684023</v>
      </c>
    </row>
    <row r="30" spans="1:22" x14ac:dyDescent="0.2">
      <c r="A30">
        <v>46122.620574074077</v>
      </c>
      <c r="B30">
        <v>19.894573999999999</v>
      </c>
      <c r="C30">
        <v>19.91844</v>
      </c>
      <c r="D30">
        <v>19.779509999999998</v>
      </c>
      <c r="E30">
        <v>19.832125000000001</v>
      </c>
      <c r="F30">
        <v>38.118566999999999</v>
      </c>
      <c r="G30">
        <v>34.971778999999998</v>
      </c>
      <c r="H30">
        <v>33.377119999999998</v>
      </c>
      <c r="I30">
        <v>26.143080999999999</v>
      </c>
      <c r="J30">
        <v>55.267355999999999</v>
      </c>
      <c r="K30">
        <v>49.665087</v>
      </c>
      <c r="L30">
        <v>12.466982</v>
      </c>
      <c r="M30">
        <v>-622.47306300000002</v>
      </c>
      <c r="N30">
        <v>0.93703899999999996</v>
      </c>
      <c r="O30">
        <v>3.531663</v>
      </c>
      <c r="P30">
        <f t="shared" si="3"/>
        <v>1.5617316666666667E-5</v>
      </c>
      <c r="Q30" cm="1">
        <f t="array" ref="Q30">[1]!PropsSI("D","T",J30+273.15,"P",101325,"Water")</f>
        <v>985.56341304193791</v>
      </c>
      <c r="R30" cm="1">
        <f t="array" ref="R30">[1]!PropsSI("D","T",K30+273.15,"P",101325,"Water")</f>
        <v>988.18615818643173</v>
      </c>
      <c r="S30">
        <f t="shared" si="4"/>
        <v>986.87478561418482</v>
      </c>
      <c r="T30" cm="1">
        <f t="array" ref="T30">[1]!PropsSI("H","T",J30+273.15,"P",101325,"Water")</f>
        <v>231447.42642332724</v>
      </c>
      <c r="U30" cm="1">
        <f t="array" ref="U30">[1]!PropsSI("H","T",K30+273.15,"P",101325,"Water")</f>
        <v>208018.12186357821</v>
      </c>
      <c r="V30">
        <f t="shared" si="5"/>
        <v>361.10031499475747</v>
      </c>
    </row>
    <row r="31" spans="1:22" x14ac:dyDescent="0.2">
      <c r="A31">
        <v>46122.620631944446</v>
      </c>
      <c r="B31">
        <v>19.893746</v>
      </c>
      <c r="C31">
        <v>19.950831000000001</v>
      </c>
      <c r="D31">
        <v>19.795639999999999</v>
      </c>
      <c r="E31">
        <v>19.847170999999999</v>
      </c>
      <c r="F31">
        <v>37.942233000000002</v>
      </c>
      <c r="G31">
        <v>34.426501000000002</v>
      </c>
      <c r="H31">
        <v>33.021363999999998</v>
      </c>
      <c r="I31">
        <v>26.861457000000001</v>
      </c>
      <c r="J31">
        <v>55.262422999999998</v>
      </c>
      <c r="K31">
        <v>49.664133999999997</v>
      </c>
      <c r="L31">
        <v>10.730335</v>
      </c>
      <c r="M31">
        <v>-622.46898099999999</v>
      </c>
      <c r="N31">
        <v>0.94145199999999996</v>
      </c>
      <c r="O31">
        <v>3.3112200000000001</v>
      </c>
      <c r="P31">
        <f t="shared" si="3"/>
        <v>1.5690866666666666E-5</v>
      </c>
      <c r="Q31" cm="1">
        <f t="array" ref="Q31">[1]!PropsSI("D","T",J31+273.15,"P",101325,"Water")</f>
        <v>985.56580967002867</v>
      </c>
      <c r="R31" cm="1">
        <f t="array" ref="R31">[1]!PropsSI("D","T",K31+273.15,"P",101325,"Water")</f>
        <v>988.18658712526246</v>
      </c>
      <c r="S31">
        <f t="shared" si="4"/>
        <v>986.87619839764557</v>
      </c>
      <c r="T31" cm="1">
        <f t="array" ref="T31">[1]!PropsSI("H","T",J31+273.15,"P",101325,"Water")</f>
        <v>231426.79142354336</v>
      </c>
      <c r="U31" cm="1">
        <f t="array" ref="U31">[1]!PropsSI("H","T",K31+273.15,"P",101325,"Water")</f>
        <v>208014.13713393162</v>
      </c>
      <c r="V31">
        <f t="shared" si="5"/>
        <v>362.54361353759435</v>
      </c>
    </row>
    <row r="32" spans="1:22" x14ac:dyDescent="0.2">
      <c r="A32">
        <v>46122.620690393516</v>
      </c>
      <c r="B32">
        <v>19.903987999999998</v>
      </c>
      <c r="C32">
        <v>19.955179999999999</v>
      </c>
      <c r="D32">
        <v>19.784894999999999</v>
      </c>
      <c r="E32">
        <v>19.843430999999999</v>
      </c>
      <c r="F32">
        <v>37.964886</v>
      </c>
      <c r="G32">
        <v>34.323351000000002</v>
      </c>
      <c r="H32">
        <v>32.529522</v>
      </c>
      <c r="I32">
        <v>26.709775</v>
      </c>
      <c r="J32">
        <v>55.263218000000002</v>
      </c>
      <c r="K32">
        <v>49.662703999999998</v>
      </c>
      <c r="L32">
        <v>10.117304000000001</v>
      </c>
      <c r="M32">
        <v>-622.49755100000004</v>
      </c>
      <c r="N32">
        <v>0.94133699999999998</v>
      </c>
      <c r="O32">
        <v>3.2302840000000002</v>
      </c>
      <c r="P32">
        <f t="shared" si="3"/>
        <v>1.5688949999999998E-5</v>
      </c>
      <c r="Q32" cm="1">
        <f t="array" ref="Q32">[1]!PropsSI("D","T",J32+273.15,"P",101325,"Water")</f>
        <v>985.56542344072443</v>
      </c>
      <c r="R32" cm="1">
        <f t="array" ref="R32">[1]!PropsSI("D","T",K32+273.15,"P",101325,"Water")</f>
        <v>988.18723074735328</v>
      </c>
      <c r="S32">
        <f t="shared" si="4"/>
        <v>986.87632709403886</v>
      </c>
      <c r="T32" cm="1">
        <f t="array" ref="T32">[1]!PropsSI("H","T",J32+273.15,"P",101325,"Water")</f>
        <v>231430.11694999333</v>
      </c>
      <c r="U32" cm="1">
        <f t="array" ref="U32">[1]!PropsSI("H","T",K32+273.15,"P",101325,"Water")</f>
        <v>208008.15794920814</v>
      </c>
      <c r="V32">
        <f t="shared" si="5"/>
        <v>362.64344081662421</v>
      </c>
    </row>
    <row r="33" spans="1:22" x14ac:dyDescent="0.2">
      <c r="A33">
        <v>46122.620748842593</v>
      </c>
      <c r="B33">
        <v>19.899477000000001</v>
      </c>
      <c r="C33">
        <v>19.951172</v>
      </c>
      <c r="D33">
        <v>19.791568999999999</v>
      </c>
      <c r="E33">
        <v>19.839005</v>
      </c>
      <c r="F33">
        <v>37.976298999999997</v>
      </c>
      <c r="G33">
        <v>34.522191999999997</v>
      </c>
      <c r="H33">
        <v>33.026235999999997</v>
      </c>
      <c r="I33">
        <v>26.345099999999999</v>
      </c>
      <c r="J33">
        <v>55.264332000000003</v>
      </c>
      <c r="K33">
        <v>49.661591999999999</v>
      </c>
      <c r="L33">
        <v>11.949865000000001</v>
      </c>
      <c r="M33">
        <v>-622.49877600000002</v>
      </c>
      <c r="N33">
        <v>0.93742000000000003</v>
      </c>
      <c r="O33">
        <v>3.7844350000000002</v>
      </c>
      <c r="P33">
        <f t="shared" si="3"/>
        <v>1.5623666666666667E-5</v>
      </c>
      <c r="Q33" cm="1">
        <f t="array" ref="Q33">[1]!PropsSI("D","T",J33+273.15,"P",101325,"Water")</f>
        <v>985.56488222731161</v>
      </c>
      <c r="R33" cm="1">
        <f t="array" ref="R33">[1]!PropsSI("D","T",K33+273.15,"P",101325,"Water")</f>
        <v>988.1877312330065</v>
      </c>
      <c r="S33">
        <f t="shared" si="4"/>
        <v>986.87630673015906</v>
      </c>
      <c r="T33" cm="1">
        <f t="array" ref="T33">[1]!PropsSI("H","T",J33+273.15,"P",101325,"Water")</f>
        <v>231434.77687044622</v>
      </c>
      <c r="U33" cm="1">
        <f t="array" ref="U33">[1]!PropsSI("H","T",K33+273.15,"P",101325,"Water")</f>
        <v>208003.50840183932</v>
      </c>
      <c r="V33">
        <f t="shared" si="5"/>
        <v>361.27797594479483</v>
      </c>
    </row>
    <row r="34" spans="1:22" x14ac:dyDescent="0.2">
      <c r="A34">
        <v>46122.620806712963</v>
      </c>
      <c r="B34">
        <v>19.869064999999999</v>
      </c>
      <c r="C34">
        <v>19.946331000000001</v>
      </c>
      <c r="D34">
        <v>19.796016999999999</v>
      </c>
      <c r="E34">
        <v>19.846164999999999</v>
      </c>
      <c r="F34">
        <v>37.818458999999997</v>
      </c>
      <c r="G34">
        <v>34.265875999999999</v>
      </c>
      <c r="H34">
        <v>32.571057000000003</v>
      </c>
      <c r="I34">
        <v>26.35932</v>
      </c>
      <c r="J34">
        <v>55.263696000000003</v>
      </c>
      <c r="K34">
        <v>49.658256000000002</v>
      </c>
      <c r="L34">
        <v>11.753957</v>
      </c>
      <c r="M34">
        <v>-622.47877700000004</v>
      </c>
      <c r="N34">
        <v>0.93424799999999997</v>
      </c>
      <c r="O34">
        <v>3.6238709999999998</v>
      </c>
      <c r="P34">
        <f t="shared" si="3"/>
        <v>1.55708E-5</v>
      </c>
      <c r="Q34" cm="1">
        <f t="array" ref="Q34">[1]!PropsSI("D","T",J34+273.15,"P",101325,"Water")</f>
        <v>985.56519121544954</v>
      </c>
      <c r="R34" cm="1">
        <f t="array" ref="R34">[1]!PropsSI("D","T",K34+273.15,"P",101325,"Water")</f>
        <v>988.18923264103569</v>
      </c>
      <c r="S34">
        <f t="shared" si="4"/>
        <v>986.87721192824256</v>
      </c>
      <c r="T34" cm="1">
        <f t="array" ref="T34">[1]!PropsSI("H","T",J34+273.15,"P",101325,"Water")</f>
        <v>231432.11644895887</v>
      </c>
      <c r="U34" cm="1">
        <f t="array" ref="U34">[1]!PropsSI("H","T",K34+273.15,"P",101325,"Water")</f>
        <v>207989.5597616701</v>
      </c>
      <c r="V34">
        <f t="shared" si="5"/>
        <v>360.22928994119923</v>
      </c>
    </row>
    <row r="35" spans="1:22" x14ac:dyDescent="0.2">
      <c r="A35">
        <v>46122.62086516204</v>
      </c>
      <c r="B35">
        <v>19.887097000000001</v>
      </c>
      <c r="C35">
        <v>19.941915000000002</v>
      </c>
      <c r="D35">
        <v>19.786493</v>
      </c>
      <c r="E35">
        <v>19.852826</v>
      </c>
      <c r="F35">
        <v>37.992393999999997</v>
      </c>
      <c r="G35">
        <v>33.555531000000002</v>
      </c>
      <c r="H35">
        <v>32.171982</v>
      </c>
      <c r="I35">
        <v>26.402097000000001</v>
      </c>
      <c r="J35">
        <v>55.262740999999998</v>
      </c>
      <c r="K35">
        <v>49.652855000000002</v>
      </c>
      <c r="L35">
        <v>10.565037</v>
      </c>
      <c r="M35">
        <v>-622.49306200000001</v>
      </c>
      <c r="N35">
        <v>0.93716200000000005</v>
      </c>
      <c r="O35">
        <v>2.9591500000000002</v>
      </c>
      <c r="P35">
        <f t="shared" si="3"/>
        <v>1.5619366666666668E-5</v>
      </c>
      <c r="Q35" cm="1">
        <f t="array" ref="Q35">[1]!PropsSI("D","T",J35+273.15,"P",101325,"Water")</f>
        <v>985.56565517877561</v>
      </c>
      <c r="R35" cm="1">
        <f t="array" ref="R35">[1]!PropsSI("D","T",K35+273.15,"P",101325,"Water")</f>
        <v>988.19166327248161</v>
      </c>
      <c r="S35">
        <f t="shared" si="4"/>
        <v>986.87865922562855</v>
      </c>
      <c r="T35" cm="1">
        <f t="array" ref="T35">[1]!PropsSI("H","T",J35+273.15,"P",101325,"Water")</f>
        <v>231428.12163405216</v>
      </c>
      <c r="U35" cm="1">
        <f t="array" ref="U35">[1]!PropsSI("H","T",K35+273.15,"P",101325,"Water")</f>
        <v>207966.97685295134</v>
      </c>
      <c r="V35">
        <f t="shared" si="5"/>
        <v>361.63993074882569</v>
      </c>
    </row>
    <row r="36" spans="1:22" x14ac:dyDescent="0.2">
      <c r="A36">
        <v>46122.62092361111</v>
      </c>
      <c r="B36">
        <v>19.913675999999999</v>
      </c>
      <c r="C36">
        <v>19.965250999999999</v>
      </c>
      <c r="D36">
        <v>19.807967000000001</v>
      </c>
      <c r="E36">
        <v>19.865576000000001</v>
      </c>
      <c r="F36">
        <v>37.736178000000002</v>
      </c>
      <c r="G36">
        <v>35.253194999999998</v>
      </c>
      <c r="H36">
        <v>33.062696000000003</v>
      </c>
      <c r="I36">
        <v>26.53031</v>
      </c>
      <c r="J36">
        <v>55.260195000000003</v>
      </c>
      <c r="K36">
        <v>49.652855000000002</v>
      </c>
      <c r="L36">
        <v>10.169546</v>
      </c>
      <c r="M36">
        <v>-622.52408000000003</v>
      </c>
      <c r="N36">
        <v>0.93835000000000002</v>
      </c>
      <c r="O36">
        <v>3.5113690000000002</v>
      </c>
      <c r="P36">
        <f t="shared" si="3"/>
        <v>1.5639166666666668E-5</v>
      </c>
      <c r="Q36" cm="1">
        <f t="array" ref="Q36">[1]!PropsSI("D","T",J36+273.15,"P",101325,"Water")</f>
        <v>985.56689206285103</v>
      </c>
      <c r="R36" cm="1">
        <f t="array" ref="R36">[1]!PropsSI("D","T",K36+273.15,"P",101325,"Water")</f>
        <v>988.19166327248161</v>
      </c>
      <c r="S36">
        <f t="shared" si="4"/>
        <v>986.87927766766632</v>
      </c>
      <c r="T36" cm="1">
        <f t="array" ref="T36">[1]!PropsSI("H","T",J36+273.15,"P",101325,"Water")</f>
        <v>231417.47158466809</v>
      </c>
      <c r="U36" cm="1">
        <f t="array" ref="U36">[1]!PropsSI("H","T",K36+273.15,"P",101325,"Water")</f>
        <v>207966.97685295134</v>
      </c>
      <c r="V36">
        <f t="shared" si="5"/>
        <v>361.93422052718228</v>
      </c>
    </row>
    <row r="37" spans="1:22" x14ac:dyDescent="0.2">
      <c r="A37">
        <v>46122.620981481479</v>
      </c>
      <c r="B37">
        <v>19.899263999999999</v>
      </c>
      <c r="C37">
        <v>19.955141000000001</v>
      </c>
      <c r="D37">
        <v>19.786249000000002</v>
      </c>
      <c r="E37">
        <v>19.868210999999999</v>
      </c>
      <c r="F37">
        <v>37.997430000000001</v>
      </c>
      <c r="G37">
        <v>35.081871999999997</v>
      </c>
      <c r="H37">
        <v>32.295774000000002</v>
      </c>
      <c r="I37">
        <v>26.492902999999998</v>
      </c>
      <c r="J37">
        <v>55.259717999999999</v>
      </c>
      <c r="K37">
        <v>49.653013999999999</v>
      </c>
      <c r="L37">
        <v>11.304592</v>
      </c>
      <c r="M37">
        <v>-622.49224500000003</v>
      </c>
      <c r="N37">
        <v>0.93859999999999999</v>
      </c>
      <c r="O37">
        <v>3.942914</v>
      </c>
      <c r="P37">
        <f t="shared" si="3"/>
        <v>1.5643333333333333E-5</v>
      </c>
      <c r="Q37" cm="1">
        <f t="array" ref="Q37">[1]!PropsSI("D","T",J37+273.15,"P",101325,"Water")</f>
        <v>985.56712379197882</v>
      </c>
      <c r="R37" cm="1">
        <f t="array" ref="R37">[1]!PropsSI("D","T",K37+273.15,"P",101325,"Water")</f>
        <v>988.1915917198769</v>
      </c>
      <c r="S37">
        <f t="shared" si="4"/>
        <v>986.87935775592791</v>
      </c>
      <c r="T37" cm="1">
        <f t="array" ref="T37">[1]!PropsSI("H","T",J37+273.15,"P",101325,"Water")</f>
        <v>231415.47626932003</v>
      </c>
      <c r="U37" cm="1">
        <f t="array" ref="U37">[1]!PropsSI("H","T",K37+273.15,"P",101325,"Water")</f>
        <v>207967.64167097164</v>
      </c>
      <c r="V37">
        <f t="shared" si="5"/>
        <v>361.98961091175516</v>
      </c>
    </row>
    <row r="38" spans="1:22" x14ac:dyDescent="0.2">
      <c r="A38">
        <v>44660.621039930702</v>
      </c>
      <c r="B38">
        <v>19.917422999999999</v>
      </c>
      <c r="C38">
        <v>19.947136</v>
      </c>
      <c r="D38">
        <v>19.822828000000001</v>
      </c>
      <c r="E38">
        <v>19.882581999999999</v>
      </c>
      <c r="F38">
        <v>37.971393999999997</v>
      </c>
      <c r="G38">
        <v>34.036144</v>
      </c>
      <c r="H38">
        <v>32.651094999999998</v>
      </c>
      <c r="I38">
        <v>26.592755</v>
      </c>
      <c r="J38">
        <v>55.257489999999997</v>
      </c>
      <c r="K38">
        <v>49.649836999999998</v>
      </c>
      <c r="L38">
        <v>11.796811999999999</v>
      </c>
      <c r="M38">
        <v>-622.49265300000002</v>
      </c>
      <c r="N38">
        <v>0.93471499999999996</v>
      </c>
      <c r="O38">
        <v>3.2111329999999998</v>
      </c>
      <c r="P38">
        <f t="shared" si="3"/>
        <v>1.5578583333333334E-5</v>
      </c>
      <c r="Q38" cm="1">
        <f t="array" ref="Q38">[1]!PropsSI("D","T",J38+273.15,"P",101325,"Water")</f>
        <v>985.56820614747062</v>
      </c>
      <c r="R38" cm="1">
        <f t="array" ref="R38">[1]!PropsSI("D","T",K38+273.15,"P",101325,"Water")</f>
        <v>988.19302139020351</v>
      </c>
      <c r="S38">
        <f t="shared" si="4"/>
        <v>986.88061376883707</v>
      </c>
      <c r="T38" cm="1">
        <f t="array" ref="T38">[1]!PropsSI("H","T",J38+273.15,"P",101325,"Water")</f>
        <v>231406.15643265512</v>
      </c>
      <c r="U38" cm="1">
        <f t="array" ref="U38">[1]!PropsSI("H","T",K38+273.15,"P",101325,"Water")</f>
        <v>207954.35785653786</v>
      </c>
      <c r="V38">
        <f t="shared" si="5"/>
        <v>360.55268579699475</v>
      </c>
    </row>
    <row r="39" spans="1:22" x14ac:dyDescent="0.2">
      <c r="A39">
        <v>44660.6210978011</v>
      </c>
      <c r="B39">
        <v>19.914995999999999</v>
      </c>
      <c r="C39">
        <v>19.967953999999999</v>
      </c>
      <c r="D39">
        <v>19.794415000000001</v>
      </c>
      <c r="E39">
        <v>19.859287999999999</v>
      </c>
      <c r="F39">
        <v>37.997239</v>
      </c>
      <c r="G39">
        <v>34.754373999999999</v>
      </c>
      <c r="H39">
        <v>32.794285000000002</v>
      </c>
      <c r="I39">
        <v>26.918331999999999</v>
      </c>
      <c r="J39">
        <v>55.264332000000003</v>
      </c>
      <c r="K39">
        <v>49.650948999999997</v>
      </c>
      <c r="L39">
        <v>10.349945999999999</v>
      </c>
      <c r="M39">
        <v>-622.49265300000002</v>
      </c>
      <c r="N39">
        <v>0.93678099999999997</v>
      </c>
      <c r="O39">
        <v>3.792529</v>
      </c>
      <c r="P39">
        <f t="shared" si="3"/>
        <v>1.5613016666666668E-5</v>
      </c>
      <c r="Q39" cm="1">
        <f t="array" ref="Q39">[1]!PropsSI("D","T",J39+273.15,"P",101325,"Water")</f>
        <v>985.56488222731161</v>
      </c>
      <c r="R39" cm="1">
        <f t="array" ref="R39">[1]!PropsSI("D","T",K39+273.15,"P",101325,"Water")</f>
        <v>988.19252099066273</v>
      </c>
      <c r="S39">
        <f t="shared" si="4"/>
        <v>986.87870160898717</v>
      </c>
      <c r="T39" cm="1">
        <f t="array" ref="T39">[1]!PropsSI("H","T",J39+273.15,"P",101325,"Water")</f>
        <v>231434.77687044622</v>
      </c>
      <c r="U39" cm="1">
        <f t="array" ref="U39">[1]!PropsSI("H","T",K39+273.15,"P",101325,"Water")</f>
        <v>207959.00740031202</v>
      </c>
      <c r="V39">
        <f t="shared" si="5"/>
        <v>361.71826225431352</v>
      </c>
    </row>
    <row r="40" spans="1:22" x14ac:dyDescent="0.2">
      <c r="A40">
        <v>44660.621155671499</v>
      </c>
      <c r="B40">
        <v>19.920446999999999</v>
      </c>
      <c r="C40">
        <v>19.963605000000001</v>
      </c>
      <c r="D40">
        <v>19.805624999999999</v>
      </c>
      <c r="E40">
        <v>19.877046</v>
      </c>
      <c r="F40">
        <v>37.937184000000002</v>
      </c>
      <c r="G40">
        <v>34.800871999999998</v>
      </c>
      <c r="H40">
        <v>33.003203999999997</v>
      </c>
      <c r="I40">
        <v>26.416599000000001</v>
      </c>
      <c r="J40">
        <v>55.262740999999998</v>
      </c>
      <c r="K40">
        <v>49.647930000000002</v>
      </c>
      <c r="L40">
        <v>10.34464</v>
      </c>
      <c r="M40">
        <v>-622.50122399999998</v>
      </c>
      <c r="N40">
        <v>0.93815300000000001</v>
      </c>
      <c r="O40">
        <v>3.6520320000000002</v>
      </c>
      <c r="P40">
        <f t="shared" si="3"/>
        <v>1.5635883333333334E-5</v>
      </c>
      <c r="Q40" cm="1">
        <f t="array" ref="Q40">[1]!PropsSI("D","T",J40+273.15,"P",101325,"Water")</f>
        <v>985.56565517877561</v>
      </c>
      <c r="R40" cm="1">
        <f t="array" ref="R40">[1]!PropsSI("D","T",K40+273.15,"P",101325,"Water")</f>
        <v>988.19387952047828</v>
      </c>
      <c r="S40">
        <f t="shared" si="4"/>
        <v>986.87976734962695</v>
      </c>
      <c r="T40" cm="1">
        <f t="array" ref="T40">[1]!PropsSI("H","T",J40+273.15,"P",101325,"Water")</f>
        <v>231428.12163405216</v>
      </c>
      <c r="U40" cm="1">
        <f t="array" ref="U40">[1]!PropsSI("H","T",K40+273.15,"P",101325,"Water")</f>
        <v>207946.38422423645</v>
      </c>
      <c r="V40">
        <f t="shared" si="5"/>
        <v>362.34051207382748</v>
      </c>
    </row>
    <row r="41" spans="1:22" x14ac:dyDescent="0.2">
      <c r="A41">
        <v>44660.621214120503</v>
      </c>
      <c r="B41">
        <v>19.900542000000002</v>
      </c>
      <c r="C41">
        <v>19.944564</v>
      </c>
      <c r="D41">
        <v>19.804698999999999</v>
      </c>
      <c r="E41">
        <v>19.863949999999999</v>
      </c>
      <c r="F41">
        <v>38.011302000000001</v>
      </c>
      <c r="G41">
        <v>35.080829000000001</v>
      </c>
      <c r="H41">
        <v>33.287140000000001</v>
      </c>
      <c r="I41">
        <v>26.401961</v>
      </c>
      <c r="J41">
        <v>55.263378000000003</v>
      </c>
      <c r="K41">
        <v>49.651584</v>
      </c>
      <c r="L41">
        <v>10.662583</v>
      </c>
      <c r="M41">
        <v>-622.45469600000001</v>
      </c>
      <c r="N41">
        <v>0.93675200000000003</v>
      </c>
      <c r="O41">
        <v>4.081213</v>
      </c>
      <c r="P41">
        <f t="shared" si="3"/>
        <v>1.5612533333333333E-5</v>
      </c>
      <c r="Q41" cm="1">
        <f t="array" ref="Q41">[1]!PropsSI("D","T",J41+273.15,"P",101325,"Water")</f>
        <v>985.56534570857377</v>
      </c>
      <c r="R41" cm="1">
        <f t="array" ref="R41">[1]!PropsSI("D","T",K41+273.15,"P",101325,"Water")</f>
        <v>988.19223523725623</v>
      </c>
      <c r="S41">
        <f t="shared" si="4"/>
        <v>986.87879047291494</v>
      </c>
      <c r="T41" cm="1">
        <f t="array" ref="T41">[1]!PropsSI("H","T",J41+273.15,"P",101325,"Water")</f>
        <v>231430.78623833347</v>
      </c>
      <c r="U41" cm="1">
        <f t="array" ref="U41">[1]!PropsSI("H","T",K41+273.15,"P",101325,"Water")</f>
        <v>207961.66249068527</v>
      </c>
      <c r="V41">
        <f t="shared" si="5"/>
        <v>361.60470193266417</v>
      </c>
    </row>
    <row r="42" spans="1:22" x14ac:dyDescent="0.2">
      <c r="A42">
        <v>46122.621272569442</v>
      </c>
      <c r="B42">
        <v>19.921052</v>
      </c>
      <c r="C42">
        <v>19.942606000000001</v>
      </c>
      <c r="D42">
        <v>19.812262</v>
      </c>
      <c r="E42">
        <v>19.871435000000002</v>
      </c>
      <c r="F42">
        <v>38.020150999999998</v>
      </c>
      <c r="G42">
        <v>34.020130000000002</v>
      </c>
      <c r="H42">
        <v>33.192633999999998</v>
      </c>
      <c r="I42">
        <v>26.712944</v>
      </c>
      <c r="J42">
        <v>55.259399999999999</v>
      </c>
      <c r="K42">
        <v>49.650630999999997</v>
      </c>
      <c r="L42">
        <v>11.859666000000001</v>
      </c>
      <c r="M42">
        <v>-622.49142900000004</v>
      </c>
      <c r="N42">
        <v>0.93749800000000005</v>
      </c>
      <c r="O42">
        <v>2.9522750000000002</v>
      </c>
      <c r="P42">
        <f t="shared" si="3"/>
        <v>1.5624966666666667E-5</v>
      </c>
      <c r="Q42" cm="1">
        <f t="array" ref="Q42">[1]!PropsSI("D","T",J42+273.15,"P",101325,"Water")</f>
        <v>985.56727827725126</v>
      </c>
      <c r="R42" cm="1">
        <f t="array" ref="R42">[1]!PropsSI("D","T",K42+273.15,"P",101325,"Water")</f>
        <v>988.19266409135503</v>
      </c>
      <c r="S42">
        <f t="shared" si="4"/>
        <v>986.87997118430314</v>
      </c>
      <c r="T42" cm="1">
        <f t="array" ref="T42">[1]!PropsSI("H","T",J42+273.15,"P",101325,"Water")</f>
        <v>231414.14605913855</v>
      </c>
      <c r="U42" cm="1">
        <f t="array" ref="U42">[1]!PropsSI("H","T",K42+273.15,"P",101325,"Water")</f>
        <v>207957.67776457575</v>
      </c>
      <c r="V42">
        <f t="shared" si="5"/>
        <v>361.69795891703615</v>
      </c>
    </row>
    <row r="43" spans="1:22" x14ac:dyDescent="0.2">
      <c r="A43">
        <v>46122.621331018519</v>
      </c>
      <c r="B43">
        <v>19.919373</v>
      </c>
      <c r="C43">
        <v>19.934206</v>
      </c>
      <c r="D43">
        <v>19.824760999999999</v>
      </c>
      <c r="E43">
        <v>19.880818000000001</v>
      </c>
      <c r="F43">
        <v>37.982253</v>
      </c>
      <c r="G43">
        <v>34.287402</v>
      </c>
      <c r="H43">
        <v>32.355707000000002</v>
      </c>
      <c r="I43">
        <v>26.533587000000001</v>
      </c>
      <c r="J43">
        <v>55.261786000000001</v>
      </c>
      <c r="K43">
        <v>49.646818000000003</v>
      </c>
      <c r="L43">
        <v>11.187455</v>
      </c>
      <c r="M43">
        <v>-622.468165</v>
      </c>
      <c r="N43">
        <v>0.93649800000000005</v>
      </c>
      <c r="O43">
        <v>3.26593</v>
      </c>
      <c r="P43">
        <f t="shared" si="3"/>
        <v>1.5608300000000001E-5</v>
      </c>
      <c r="Q43" cm="1">
        <f t="array" ref="Q43">[1]!PropsSI("D","T",J43+273.15,"P",101325,"Water")</f>
        <v>985.56611913645588</v>
      </c>
      <c r="R43" cm="1">
        <f t="array" ref="R43">[1]!PropsSI("D","T",K43+273.15,"P",101325,"Water")</f>
        <v>988.19437989792027</v>
      </c>
      <c r="S43">
        <f t="shared" si="4"/>
        <v>986.88024951718808</v>
      </c>
      <c r="T43" cm="1">
        <f t="array" ref="T43">[1]!PropsSI("H","T",J43+273.15,"P",101325,"Water")</f>
        <v>231424.12681950958</v>
      </c>
      <c r="U43" cm="1">
        <f t="array" ref="U43">[1]!PropsSI("H","T",K43+273.15,"P",101325,"Water")</f>
        <v>207941.73468139608</v>
      </c>
      <c r="V43">
        <f t="shared" si="5"/>
        <v>361.71156736014569</v>
      </c>
    </row>
    <row r="44" spans="1:22" x14ac:dyDescent="0.2">
      <c r="A44">
        <v>46122.621388888889</v>
      </c>
      <c r="B44">
        <v>19.904188999999999</v>
      </c>
      <c r="C44">
        <v>19.924723</v>
      </c>
      <c r="D44">
        <v>19.812957999999998</v>
      </c>
      <c r="E44">
        <v>19.863621999999999</v>
      </c>
      <c r="F44">
        <v>38.171574999999997</v>
      </c>
      <c r="G44">
        <v>33.276891999999997</v>
      </c>
      <c r="H44">
        <v>32.717965</v>
      </c>
      <c r="I44">
        <v>26.607506999999998</v>
      </c>
      <c r="J44">
        <v>55.262582000000002</v>
      </c>
      <c r="K44">
        <v>49.644277000000002</v>
      </c>
      <c r="L44">
        <v>12.001291</v>
      </c>
      <c r="M44">
        <v>-622.51102000000003</v>
      </c>
      <c r="N44">
        <v>0.93790300000000004</v>
      </c>
      <c r="O44">
        <v>4.1414989999999996</v>
      </c>
      <c r="P44">
        <f t="shared" si="3"/>
        <v>1.5631716666666668E-5</v>
      </c>
      <c r="Q44" cm="1">
        <f t="array" ref="Q44">[1]!PropsSI("D","T",J44+273.15,"P",101325,"Water")</f>
        <v>985.5657324244836</v>
      </c>
      <c r="R44" cm="1">
        <f t="array" ref="R44">[1]!PropsSI("D","T",K44+273.15,"P",101325,"Water")</f>
        <v>988.1955232658014</v>
      </c>
      <c r="S44">
        <f t="shared" si="4"/>
        <v>986.8806278451425</v>
      </c>
      <c r="T44" cm="1">
        <f t="array" ref="T44">[1]!PropsSI("H","T",J44+273.15,"P",101325,"Water")</f>
        <v>231427.45652879326</v>
      </c>
      <c r="U44" cm="1">
        <f t="array" ref="U44">[1]!PropsSI("H","T",K44+273.15,"P",101325,"Water")</f>
        <v>207931.11014276193</v>
      </c>
      <c r="V44">
        <f t="shared" si="5"/>
        <v>362.46963843859299</v>
      </c>
    </row>
    <row r="45" spans="1:22" x14ac:dyDescent="0.2">
      <c r="A45">
        <v>46122.621446759258</v>
      </c>
      <c r="B45">
        <v>19.910145</v>
      </c>
      <c r="C45">
        <v>19.914836000000001</v>
      </c>
      <c r="D45">
        <v>19.813755</v>
      </c>
      <c r="E45">
        <v>19.87567</v>
      </c>
      <c r="F45">
        <v>37.992257000000002</v>
      </c>
      <c r="G45">
        <v>34.569083999999997</v>
      </c>
      <c r="H45">
        <v>32.953266999999997</v>
      </c>
      <c r="I45">
        <v>26.304500999999998</v>
      </c>
      <c r="J45">
        <v>55.264651000000001</v>
      </c>
      <c r="K45">
        <v>49.643959000000002</v>
      </c>
      <c r="L45">
        <v>11.064196000000001</v>
      </c>
      <c r="M45">
        <v>-622.480817</v>
      </c>
      <c r="N45">
        <v>0.93683399999999994</v>
      </c>
      <c r="O45">
        <v>3.8790439999999999</v>
      </c>
      <c r="P45">
        <f t="shared" si="3"/>
        <v>1.56139E-5</v>
      </c>
      <c r="Q45" cm="1">
        <f t="array" ref="Q45">[1]!PropsSI("D","T",J45+273.15,"P",101325,"Water")</f>
        <v>985.56472724647335</v>
      </c>
      <c r="R45" cm="1">
        <f t="array" ref="R45">[1]!PropsSI("D","T",K45+273.15,"P",101325,"Water")</f>
        <v>988.19566635252033</v>
      </c>
      <c r="S45">
        <f t="shared" si="4"/>
        <v>986.88019679949684</v>
      </c>
      <c r="T45" cm="1">
        <f t="array" ref="T45">[1]!PropsSI("H","T",J45+273.15,"P",101325,"Water")</f>
        <v>231436.11126422399</v>
      </c>
      <c r="U45" cm="1">
        <f t="array" ref="U45">[1]!PropsSI("H","T",K45+273.15,"P",101325,"Water")</f>
        <v>207929.78050759443</v>
      </c>
      <c r="V45">
        <f t="shared" si="5"/>
        <v>362.21019550022316</v>
      </c>
    </row>
    <row r="46" spans="1:22" x14ac:dyDescent="0.2">
      <c r="A46">
        <v>46122.621505208335</v>
      </c>
      <c r="B46">
        <v>19.920188</v>
      </c>
      <c r="C46">
        <v>19.921544000000001</v>
      </c>
      <c r="D46">
        <v>19.834857</v>
      </c>
      <c r="E46">
        <v>19.865532000000002</v>
      </c>
      <c r="F46">
        <v>38.174169999999997</v>
      </c>
      <c r="G46">
        <v>34.009070999999999</v>
      </c>
      <c r="H46">
        <v>33.096699000000001</v>
      </c>
      <c r="I46">
        <v>26.516083999999999</v>
      </c>
      <c r="J46">
        <v>55.259877000000003</v>
      </c>
      <c r="K46">
        <v>49.645705999999997</v>
      </c>
      <c r="L46">
        <v>9.0687850000000001</v>
      </c>
      <c r="M46">
        <v>-622.48897999999997</v>
      </c>
      <c r="N46">
        <v>0.93368300000000004</v>
      </c>
      <c r="O46">
        <v>3.2859060000000002</v>
      </c>
      <c r="P46">
        <f t="shared" si="3"/>
        <v>1.5561383333333333E-5</v>
      </c>
      <c r="Q46" cm="1">
        <f t="array" ref="Q46">[1]!PropsSI("D","T",J46+273.15,"P",101325,"Water")</f>
        <v>985.56704654908492</v>
      </c>
      <c r="R46" cm="1">
        <f t="array" ref="R46">[1]!PropsSI("D","T",K46+273.15,"P",101325,"Water")</f>
        <v>988.19488026720853</v>
      </c>
      <c r="S46">
        <f t="shared" si="4"/>
        <v>986.88096340814673</v>
      </c>
      <c r="T46" cm="1">
        <f t="array" ref="T46">[1]!PropsSI("H","T",J46+273.15,"P",101325,"Water")</f>
        <v>231416.14137444951</v>
      </c>
      <c r="U46" cm="1">
        <f t="array" ref="U46">[1]!PropsSI("H","T",K46+273.15,"P",101325,"Water")</f>
        <v>207937.0851389172</v>
      </c>
      <c r="V46">
        <f t="shared" si="5"/>
        <v>360.57333666481759</v>
      </c>
    </row>
    <row r="47" spans="1:22" x14ac:dyDescent="0.2">
      <c r="A47">
        <v>46122.621563657405</v>
      </c>
      <c r="B47">
        <v>19.936336000000001</v>
      </c>
      <c r="C47">
        <v>19.920138000000001</v>
      </c>
      <c r="D47">
        <v>19.815341</v>
      </c>
      <c r="E47">
        <v>19.858395999999999</v>
      </c>
      <c r="F47">
        <v>38.183793999999999</v>
      </c>
      <c r="G47">
        <v>34.264791000000002</v>
      </c>
      <c r="H47">
        <v>32.803848000000002</v>
      </c>
      <c r="I47">
        <v>26.842898999999999</v>
      </c>
      <c r="J47">
        <v>55.261626999999997</v>
      </c>
      <c r="K47">
        <v>49.639192999999999</v>
      </c>
      <c r="L47">
        <v>10.2324</v>
      </c>
      <c r="M47">
        <v>-622.50653</v>
      </c>
      <c r="N47">
        <v>0.93682600000000005</v>
      </c>
      <c r="O47">
        <v>4.2885160000000004</v>
      </c>
      <c r="P47">
        <f t="shared" si="3"/>
        <v>1.5613766666666669E-5</v>
      </c>
      <c r="Q47" cm="1">
        <f t="array" ref="Q47">[1]!PropsSI("D","T",J47+273.15,"P",101325,"Water")</f>
        <v>985.5661963812214</v>
      </c>
      <c r="R47" cm="1">
        <f t="array" ref="R47">[1]!PropsSI("D","T",K47+273.15,"P",101325,"Water")</f>
        <v>988.19781077381845</v>
      </c>
      <c r="S47">
        <f t="shared" si="4"/>
        <v>986.88200357751998</v>
      </c>
      <c r="T47" cm="1">
        <f t="array" ref="T47">[1]!PropsSI("H","T",J47+273.15,"P",101325,"Water")</f>
        <v>231423.46171430312</v>
      </c>
      <c r="U47" cm="1">
        <f t="array" ref="U47">[1]!PropsSI("H","T",K47+273.15,"P",101325,"Water")</f>
        <v>207909.85270845619</v>
      </c>
      <c r="V47">
        <f t="shared" si="5"/>
        <v>362.3199157148195</v>
      </c>
    </row>
    <row r="48" spans="1:22" x14ac:dyDescent="0.2">
      <c r="A48">
        <v>46122.621621527775</v>
      </c>
      <c r="B48">
        <v>19.930137999999999</v>
      </c>
      <c r="C48">
        <v>19.914688000000002</v>
      </c>
      <c r="D48">
        <v>19.814768000000001</v>
      </c>
      <c r="E48">
        <v>19.856449999999999</v>
      </c>
      <c r="F48">
        <v>38.157074000000001</v>
      </c>
      <c r="G48">
        <v>35.170307000000001</v>
      </c>
      <c r="H48">
        <v>33.077288000000003</v>
      </c>
      <c r="I48">
        <v>26.949349000000002</v>
      </c>
      <c r="J48">
        <v>55.267833000000003</v>
      </c>
      <c r="K48">
        <v>49.636015999999998</v>
      </c>
      <c r="L48">
        <v>11.5907</v>
      </c>
      <c r="M48">
        <v>-622.45224700000006</v>
      </c>
      <c r="N48">
        <v>0.93621100000000002</v>
      </c>
      <c r="O48">
        <v>4.1728370000000004</v>
      </c>
      <c r="P48">
        <f t="shared" si="3"/>
        <v>1.5603516666666667E-5</v>
      </c>
      <c r="Q48" cm="1">
        <f t="array" ref="Q48">[1]!PropsSI("D","T",J48+273.15,"P",101325,"Water")</f>
        <v>985.56318129024908</v>
      </c>
      <c r="R48" cm="1">
        <f t="array" ref="R48">[1]!PropsSI("D","T",K48+273.15,"P",101325,"Water")</f>
        <v>988.19924015493041</v>
      </c>
      <c r="S48">
        <f t="shared" si="4"/>
        <v>986.88121072258969</v>
      </c>
      <c r="T48" cm="1">
        <f t="array" ref="T48">[1]!PropsSI("H","T",J48+273.15,"P",101325,"Water")</f>
        <v>231449.42174001076</v>
      </c>
      <c r="U48" cm="1">
        <f t="array" ref="U48">[1]!PropsSI("H","T",K48+273.15,"P",101325,"Water")</f>
        <v>207896.56890622695</v>
      </c>
      <c r="V48">
        <f t="shared" si="5"/>
        <v>362.68608049649913</v>
      </c>
    </row>
    <row r="49" spans="1:22" x14ac:dyDescent="0.2">
      <c r="A49">
        <v>44660.621679976997</v>
      </c>
      <c r="B49">
        <v>19.902787</v>
      </c>
      <c r="C49">
        <v>19.882224000000001</v>
      </c>
      <c r="D49">
        <v>19.779757</v>
      </c>
      <c r="E49">
        <v>19.836736999999999</v>
      </c>
      <c r="F49">
        <v>37.924242</v>
      </c>
      <c r="G49">
        <v>35.128304</v>
      </c>
      <c r="H49">
        <v>32.572187</v>
      </c>
      <c r="I49">
        <v>26.722553000000001</v>
      </c>
      <c r="J49">
        <v>55.263536999999999</v>
      </c>
      <c r="K49">
        <v>49.633156999999997</v>
      </c>
      <c r="L49">
        <v>9.7989529999999991</v>
      </c>
      <c r="M49">
        <v>-622.48612300000002</v>
      </c>
      <c r="N49">
        <v>0.934666</v>
      </c>
      <c r="O49">
        <v>3.0766719999999999</v>
      </c>
      <c r="P49">
        <f t="shared" si="3"/>
        <v>1.5577766666666668E-5</v>
      </c>
      <c r="Q49" cm="1">
        <f t="array" ref="Q49">[1]!PropsSI("D","T",J49+273.15,"P",101325,"Water")</f>
        <v>985.56526846209113</v>
      </c>
      <c r="R49" cm="1">
        <f t="array" ref="R49">[1]!PropsSI("D","T",K49+273.15,"P",101325,"Water")</f>
        <v>988.2005264061105</v>
      </c>
      <c r="S49">
        <f t="shared" si="4"/>
        <v>986.88289743410087</v>
      </c>
      <c r="T49" cm="1">
        <f t="array" ref="T49">[1]!PropsSI("H","T",J49+273.15,"P",101325,"Water")</f>
        <v>231431.451343675</v>
      </c>
      <c r="U49" cm="1">
        <f t="array" ref="U49">[1]!PropsSI("H","T",K49+273.15,"P",101325,"Water")</f>
        <v>207884.61474098547</v>
      </c>
      <c r="V49">
        <f t="shared" si="5"/>
        <v>361.99567963678692</v>
      </c>
    </row>
    <row r="50" spans="1:22" x14ac:dyDescent="0.2">
      <c r="A50" t="s">
        <v>18</v>
      </c>
      <c r="B50">
        <v>19.907641000000002</v>
      </c>
      <c r="C50">
        <v>19.889824999999998</v>
      </c>
      <c r="D50">
        <v>19.808485999999998</v>
      </c>
      <c r="E50">
        <v>19.846095999999999</v>
      </c>
      <c r="F50">
        <v>37.853732000000001</v>
      </c>
      <c r="G50">
        <v>34.680714999999999</v>
      </c>
      <c r="H50">
        <v>32.853223</v>
      </c>
      <c r="I50">
        <v>26.482555999999999</v>
      </c>
      <c r="J50">
        <v>55.265923999999998</v>
      </c>
      <c r="K50">
        <v>49.633316000000001</v>
      </c>
      <c r="L50">
        <v>9.3981569999999994</v>
      </c>
      <c r="M50">
        <v>-622.50244899999996</v>
      </c>
      <c r="N50">
        <v>0.93723100000000004</v>
      </c>
      <c r="O50">
        <v>3.8922599999999998</v>
      </c>
      <c r="P50">
        <f t="shared" si="3"/>
        <v>1.5620516666666667E-5</v>
      </c>
      <c r="Q50" cm="1">
        <f t="array" ref="Q50">[1]!PropsSI("D","T",J50+273.15,"P",101325,"Water")</f>
        <v>985.56410877435621</v>
      </c>
      <c r="R50" cm="1">
        <f t="array" ref="R50">[1]!PropsSI("D","T",K50+273.15,"P",101325,"Water")</f>
        <v>988.20045487417156</v>
      </c>
      <c r="S50">
        <f t="shared" si="4"/>
        <v>986.88228182426383</v>
      </c>
      <c r="T50" cm="1">
        <f t="array" ref="T50">[1]!PropsSI("H","T",J50+273.15,"P",101325,"Water")</f>
        <v>231441.43629069274</v>
      </c>
      <c r="U50" cm="1">
        <f t="array" ref="U50">[1]!PropsSI("H","T",K50+273.15,"P",101325,"Water")</f>
        <v>207885.27955807722</v>
      </c>
      <c r="V50">
        <f t="shared" si="5"/>
        <v>363.13255193734147</v>
      </c>
    </row>
    <row r="51" spans="1:22" x14ac:dyDescent="0.2">
      <c r="A51">
        <v>46122.62179571759</v>
      </c>
      <c r="B51">
        <v>19.869464000000001</v>
      </c>
      <c r="C51">
        <v>19.872173</v>
      </c>
      <c r="D51">
        <v>19.790375000000001</v>
      </c>
      <c r="E51">
        <v>19.830929000000001</v>
      </c>
      <c r="F51">
        <v>37.795672000000003</v>
      </c>
      <c r="G51">
        <v>34.611834999999999</v>
      </c>
      <c r="H51">
        <v>33.049357000000001</v>
      </c>
      <c r="I51">
        <v>26.295192</v>
      </c>
      <c r="J51">
        <v>55.263696000000003</v>
      </c>
      <c r="K51">
        <v>49.632680000000001</v>
      </c>
      <c r="L51">
        <v>10.943384999999999</v>
      </c>
      <c r="M51">
        <v>-622.45959400000004</v>
      </c>
      <c r="N51">
        <v>0.93496100000000004</v>
      </c>
      <c r="O51">
        <v>3.6305679999999998</v>
      </c>
      <c r="P51">
        <f t="shared" si="3"/>
        <v>1.5582683333333336E-5</v>
      </c>
      <c r="Q51" cm="1">
        <f t="array" ref="Q51">[1]!PropsSI("D","T",J51+273.15,"P",101325,"Water")</f>
        <v>985.56519121544954</v>
      </c>
      <c r="R51" cm="1">
        <f t="array" ref="R51">[1]!PropsSI("D","T",K51+273.15,"P",101325,"Water")</f>
        <v>988.20074100103216</v>
      </c>
      <c r="S51">
        <f t="shared" si="4"/>
        <v>986.88296610824091</v>
      </c>
      <c r="T51" cm="1">
        <f t="array" ref="T51">[1]!PropsSI("H","T",J51+273.15,"P",101325,"Water")</f>
        <v>231432.11644895887</v>
      </c>
      <c r="U51" cm="1">
        <f t="array" ref="U51">[1]!PropsSI("H","T",K51+273.15,"P",101325,"Water")</f>
        <v>207882.6202896997</v>
      </c>
      <c r="V51">
        <f t="shared" si="5"/>
        <v>362.15085760726436</v>
      </c>
    </row>
    <row r="52" spans="1:22" x14ac:dyDescent="0.2">
      <c r="A52">
        <v>46122.62185358796</v>
      </c>
      <c r="B52">
        <v>19.852688000000001</v>
      </c>
      <c r="C52">
        <v>19.854609</v>
      </c>
      <c r="D52">
        <v>19.781407000000002</v>
      </c>
      <c r="E52">
        <v>19.814927999999998</v>
      </c>
      <c r="F52">
        <v>38.266576000000001</v>
      </c>
      <c r="G52">
        <v>34.598753000000002</v>
      </c>
      <c r="H52">
        <v>32.903253999999997</v>
      </c>
      <c r="I52">
        <v>26.389536</v>
      </c>
      <c r="J52">
        <v>55.261626999999997</v>
      </c>
      <c r="K52">
        <v>49.630457</v>
      </c>
      <c r="L52">
        <v>10.064654000000001</v>
      </c>
      <c r="M52">
        <v>-622.50285699999995</v>
      </c>
      <c r="N52">
        <v>0.93388300000000002</v>
      </c>
      <c r="O52">
        <v>3.7012239999999998</v>
      </c>
      <c r="P52">
        <f t="shared" si="3"/>
        <v>1.5564716666666667E-5</v>
      </c>
      <c r="Q52" cm="1">
        <f t="array" ref="Q52">[1]!PropsSI("D","T",J52+273.15,"P",101325,"Water")</f>
        <v>985.5661963812214</v>
      </c>
      <c r="R52" cm="1">
        <f t="array" ref="R52">[1]!PropsSI("D","T",K52+273.15,"P",101325,"Water")</f>
        <v>988.20174107449532</v>
      </c>
      <c r="S52">
        <f t="shared" si="4"/>
        <v>986.88396872785836</v>
      </c>
      <c r="T52" cm="1">
        <f t="array" ref="T52">[1]!PropsSI("H","T",J52+273.15,"P",101325,"Water")</f>
        <v>231423.46171430312</v>
      </c>
      <c r="U52" cm="1">
        <f t="array" ref="U52">[1]!PropsSI("H","T",K52+273.15,"P",101325,"Water")</f>
        <v>207873.32539498206</v>
      </c>
      <c r="V52">
        <f t="shared" si="5"/>
        <v>361.743502279121</v>
      </c>
    </row>
    <row r="53" spans="1:22" x14ac:dyDescent="0.2">
      <c r="A53">
        <v>46122.621912037037</v>
      </c>
      <c r="B53">
        <v>19.823653</v>
      </c>
      <c r="C53">
        <v>19.826514</v>
      </c>
      <c r="D53">
        <v>19.753782999999999</v>
      </c>
      <c r="E53">
        <v>19.800457999999999</v>
      </c>
      <c r="F53">
        <v>37.973379000000001</v>
      </c>
      <c r="G53">
        <v>34.777594999999998</v>
      </c>
      <c r="H53">
        <v>32.822895000000003</v>
      </c>
      <c r="I53">
        <v>26.528400999999999</v>
      </c>
      <c r="J53">
        <v>55.258127000000002</v>
      </c>
      <c r="K53">
        <v>49.624578999999997</v>
      </c>
      <c r="L53">
        <v>11.115622</v>
      </c>
      <c r="M53">
        <v>-622.46653200000003</v>
      </c>
      <c r="N53">
        <v>0.935863</v>
      </c>
      <c r="O53">
        <v>4.0000229999999997</v>
      </c>
      <c r="P53">
        <f t="shared" si="3"/>
        <v>1.5597716666666668E-5</v>
      </c>
      <c r="Q53" cm="1">
        <f t="array" ref="Q53">[1]!PropsSI("D","T",J53+273.15,"P",101325,"Water")</f>
        <v>985.5678966979774</v>
      </c>
      <c r="R53" cm="1">
        <f t="array" ref="R53">[1]!PropsSI("D","T",K53+273.15,"P",101325,"Water")</f>
        <v>988.20438528641705</v>
      </c>
      <c r="S53">
        <f t="shared" si="4"/>
        <v>986.88614099219717</v>
      </c>
      <c r="T53" cm="1">
        <f t="array" ref="T53">[1]!PropsSI("H","T",J53+273.15,"P",101325,"Water")</f>
        <v>231408.82103569497</v>
      </c>
      <c r="U53" cm="1">
        <f t="array" ref="U53">[1]!PropsSI("H","T",K53+273.15,"P",101325,"Water")</f>
        <v>207848.74807764299</v>
      </c>
      <c r="V53">
        <f t="shared" si="5"/>
        <v>362.66421790251843</v>
      </c>
    </row>
    <row r="54" spans="1:22" x14ac:dyDescent="0.2">
      <c r="A54">
        <v>46122.621970486114</v>
      </c>
      <c r="B54">
        <v>19.860130999999999</v>
      </c>
      <c r="C54">
        <v>19.849447999999999</v>
      </c>
      <c r="D54">
        <v>19.789482</v>
      </c>
      <c r="E54">
        <v>19.821771999999999</v>
      </c>
      <c r="F54">
        <v>38.051102</v>
      </c>
      <c r="G54">
        <v>35.171709999999997</v>
      </c>
      <c r="H54">
        <v>32.390019000000002</v>
      </c>
      <c r="I54">
        <v>26.325655999999999</v>
      </c>
      <c r="J54">
        <v>55.263058999999998</v>
      </c>
      <c r="K54">
        <v>49.620131000000001</v>
      </c>
      <c r="L54">
        <v>11.578455999999999</v>
      </c>
      <c r="M54">
        <v>-622.47061399999996</v>
      </c>
      <c r="N54">
        <v>0.93516200000000005</v>
      </c>
      <c r="O54">
        <v>3.0858219999999998</v>
      </c>
      <c r="P54">
        <f t="shared" si="3"/>
        <v>1.5586033333333333E-5</v>
      </c>
      <c r="Q54" cm="1">
        <f t="array" ref="Q54">[1]!PropsSI("D","T",J54+273.15,"P",101325,"Water")</f>
        <v>985.56550068689523</v>
      </c>
      <c r="R54" cm="1">
        <f t="array" ref="R54">[1]!PropsSI("D","T",K54+273.15,"P",101325,"Water")</f>
        <v>988.20638606314196</v>
      </c>
      <c r="S54">
        <f t="shared" si="4"/>
        <v>986.88594337501854</v>
      </c>
      <c r="T54" cm="1">
        <f t="array" ref="T54">[1]!PropsSI("H","T",J54+273.15,"P",101325,"Water")</f>
        <v>231429.45184469159</v>
      </c>
      <c r="U54" cm="1">
        <f t="array" ref="U54">[1]!PropsSI("H","T",K54+273.15,"P",101325,"Water")</f>
        <v>207830.14993708092</v>
      </c>
      <c r="V54">
        <f t="shared" si="5"/>
        <v>362.99590034365974</v>
      </c>
    </row>
    <row r="55" spans="1:22" x14ac:dyDescent="0.2">
      <c r="A55">
        <v>46122.622028356483</v>
      </c>
      <c r="B55">
        <v>19.885722000000001</v>
      </c>
      <c r="C55">
        <v>19.848347</v>
      </c>
      <c r="D55">
        <v>19.781416</v>
      </c>
      <c r="E55">
        <v>19.816085999999999</v>
      </c>
      <c r="F55">
        <v>38.125956000000002</v>
      </c>
      <c r="G55">
        <v>35.152006</v>
      </c>
      <c r="H55">
        <v>32.769767999999999</v>
      </c>
      <c r="I55">
        <v>26.446736999999999</v>
      </c>
      <c r="J55">
        <v>55.265763999999997</v>
      </c>
      <c r="K55">
        <v>49.624896999999997</v>
      </c>
      <c r="L55">
        <v>11.500500000000001</v>
      </c>
      <c r="M55">
        <v>-622.506122</v>
      </c>
      <c r="N55">
        <v>0.93532599999999999</v>
      </c>
      <c r="O55">
        <v>3.1865060000000001</v>
      </c>
      <c r="P55">
        <f t="shared" si="3"/>
        <v>1.5588766666666665E-5</v>
      </c>
      <c r="Q55" cm="1">
        <f t="array" ref="Q55">[1]!PropsSI("D","T",J55+273.15,"P",101325,"Water")</f>
        <v>985.56418650901139</v>
      </c>
      <c r="R55" cm="1">
        <f t="array" ref="R55">[1]!PropsSI("D","T",K55+273.15,"P",101325,"Water")</f>
        <v>988.20424224029557</v>
      </c>
      <c r="S55">
        <f t="shared" si="4"/>
        <v>986.88421437465354</v>
      </c>
      <c r="T55" cm="1">
        <f t="array" ref="T55">[1]!PropsSI("H","T",J55+273.15,"P",101325,"Water")</f>
        <v>231440.76700218662</v>
      </c>
      <c r="U55" cm="1">
        <f t="array" ref="U55">[1]!PropsSI("H","T",K55+273.15,"P",101325,"Water")</f>
        <v>207850.07771110686</v>
      </c>
      <c r="V55">
        <f t="shared" si="5"/>
        <v>362.92642396836141</v>
      </c>
    </row>
    <row r="56" spans="1:22" x14ac:dyDescent="0.2">
      <c r="A56">
        <v>46122.622086226853</v>
      </c>
      <c r="B56">
        <v>19.919297</v>
      </c>
      <c r="C56">
        <v>19.877227999999999</v>
      </c>
      <c r="D56">
        <v>19.806342000000001</v>
      </c>
      <c r="E56">
        <v>19.822371</v>
      </c>
      <c r="F56">
        <v>38.046883000000001</v>
      </c>
      <c r="G56">
        <v>34.539814999999997</v>
      </c>
      <c r="H56">
        <v>33.660625000000003</v>
      </c>
      <c r="I56">
        <v>26.708257</v>
      </c>
      <c r="J56">
        <v>55.264173</v>
      </c>
      <c r="K56">
        <v>49.625056000000001</v>
      </c>
      <c r="L56">
        <v>12.109040999999999</v>
      </c>
      <c r="M56">
        <v>-622.49224500000003</v>
      </c>
      <c r="N56">
        <v>0.93635000000000002</v>
      </c>
      <c r="O56">
        <v>3.6786159999999999</v>
      </c>
      <c r="P56">
        <f t="shared" si="3"/>
        <v>1.5605833333333336E-5</v>
      </c>
      <c r="Q56" cm="1">
        <f t="array" ref="Q56">[1]!PropsSI("D","T",J56+273.15,"P",101325,"Water")</f>
        <v>985.56495947459211</v>
      </c>
      <c r="R56" cm="1">
        <f t="array" ref="R56">[1]!PropsSI("D","T",K56+273.15,"P",101325,"Water")</f>
        <v>988.20417071699296</v>
      </c>
      <c r="S56">
        <f t="shared" si="4"/>
        <v>986.8845650957926</v>
      </c>
      <c r="T56" cm="1">
        <f t="array" ref="T56">[1]!PropsSI("H","T",J56+273.15,"P",101325,"Water")</f>
        <v>231434.11176501593</v>
      </c>
      <c r="U56" cm="1">
        <f t="array" ref="U56">[1]!PropsSI("H","T",K56+273.15,"P",101325,"Water")</f>
        <v>207850.74252780026</v>
      </c>
      <c r="V56">
        <f t="shared" si="5"/>
        <v>363.21114962138751</v>
      </c>
    </row>
    <row r="57" spans="1:22" x14ac:dyDescent="0.2">
      <c r="A57">
        <v>46122.622144675923</v>
      </c>
      <c r="B57">
        <v>19.944611999999999</v>
      </c>
      <c r="C57">
        <v>19.889558999999998</v>
      </c>
      <c r="D57">
        <v>19.794288000000002</v>
      </c>
      <c r="E57">
        <v>19.827677999999999</v>
      </c>
      <c r="F57">
        <v>38.015011000000001</v>
      </c>
      <c r="G57">
        <v>34.905042000000002</v>
      </c>
      <c r="H57">
        <v>32.526899999999998</v>
      </c>
      <c r="I57">
        <v>26.910204</v>
      </c>
      <c r="J57">
        <v>55.263218000000002</v>
      </c>
      <c r="K57">
        <v>49.621402000000003</v>
      </c>
      <c r="L57">
        <v>11.223779</v>
      </c>
      <c r="M57">
        <v>-622.49959200000001</v>
      </c>
      <c r="N57">
        <v>0.93076099999999995</v>
      </c>
      <c r="O57">
        <v>3.4151579999999999</v>
      </c>
      <c r="P57">
        <f t="shared" si="3"/>
        <v>1.5512683333333335E-5</v>
      </c>
      <c r="Q57" cm="1">
        <f t="array" ref="Q57">[1]!PropsSI("D","T",J57+273.15,"P",101325,"Water")</f>
        <v>985.56542344072443</v>
      </c>
      <c r="R57" cm="1">
        <f t="array" ref="R57">[1]!PropsSI("D","T",K57+273.15,"P",101325,"Water")</f>
        <v>988.2058143616955</v>
      </c>
      <c r="S57">
        <f t="shared" si="4"/>
        <v>986.88561890120991</v>
      </c>
      <c r="T57" cm="1">
        <f t="array" ref="T57">[1]!PropsSI("H","T",J57+273.15,"P",101325,"Water")</f>
        <v>231430.11694999333</v>
      </c>
      <c r="U57" cm="1">
        <f t="array" ref="U57">[1]!PropsSI("H","T",K57+273.15,"P",101325,"Water")</f>
        <v>207835.46428823771</v>
      </c>
      <c r="V57">
        <f t="shared" si="5"/>
        <v>361.21629687032265</v>
      </c>
    </row>
    <row r="58" spans="1:22" x14ac:dyDescent="0.2">
      <c r="A58">
        <v>46122.622203125</v>
      </c>
      <c r="B58">
        <v>19.933157000000001</v>
      </c>
      <c r="C58">
        <v>19.904675999999998</v>
      </c>
      <c r="D58">
        <v>19.783396</v>
      </c>
      <c r="E58">
        <v>19.832523999999999</v>
      </c>
      <c r="F58">
        <v>38.125847999999998</v>
      </c>
      <c r="G58">
        <v>34.018922000000003</v>
      </c>
      <c r="H58">
        <v>32.324102000000003</v>
      </c>
      <c r="I58">
        <v>26.553453999999999</v>
      </c>
      <c r="J58">
        <v>55.263218000000002</v>
      </c>
      <c r="K58">
        <v>49.625056000000001</v>
      </c>
      <c r="L58">
        <v>11.009504</v>
      </c>
      <c r="M58">
        <v>-622.47959300000002</v>
      </c>
      <c r="N58">
        <v>0.935859</v>
      </c>
      <c r="O58">
        <v>3.190178</v>
      </c>
      <c r="P58">
        <f t="shared" si="3"/>
        <v>1.5597650000000001E-5</v>
      </c>
      <c r="Q58" cm="1">
        <f t="array" ref="Q58">[1]!PropsSI("D","T",J58+273.15,"P",101325,"Water")</f>
        <v>985.56542344072443</v>
      </c>
      <c r="R58" cm="1">
        <f t="array" ref="R58">[1]!PropsSI("D","T",K58+273.15,"P",101325,"Water")</f>
        <v>988.20417071699296</v>
      </c>
      <c r="S58">
        <f t="shared" si="4"/>
        <v>986.8847970788587</v>
      </c>
      <c r="T58" cm="1">
        <f t="array" ref="T58">[1]!PropsSI("H","T",J58+273.15,"P",101325,"Water")</f>
        <v>231430.11694999333</v>
      </c>
      <c r="U58" cm="1">
        <f t="array" ref="U58">[1]!PropsSI("H","T",K58+273.15,"P",101325,"Water")</f>
        <v>207850.74252780026</v>
      </c>
      <c r="V58">
        <f t="shared" si="5"/>
        <v>362.95928301708864</v>
      </c>
    </row>
    <row r="59" spans="1:22" x14ac:dyDescent="0.2">
      <c r="A59">
        <v>46122.622260995369</v>
      </c>
      <c r="B59">
        <v>19.919979999999999</v>
      </c>
      <c r="C59">
        <v>19.915299000000001</v>
      </c>
      <c r="D59">
        <v>19.794017</v>
      </c>
      <c r="E59">
        <v>19.832004999999999</v>
      </c>
      <c r="F59">
        <v>37.886474</v>
      </c>
      <c r="G59">
        <v>35.38644</v>
      </c>
      <c r="H59">
        <v>32.168438999999999</v>
      </c>
      <c r="I59">
        <v>26.448398999999998</v>
      </c>
      <c r="J59">
        <v>55.266719000000002</v>
      </c>
      <c r="K59">
        <v>49.621084000000003</v>
      </c>
      <c r="L59">
        <v>11.973538</v>
      </c>
      <c r="M59">
        <v>-622.51959099999999</v>
      </c>
      <c r="N59">
        <v>0.93544499999999997</v>
      </c>
      <c r="O59">
        <v>3.187281</v>
      </c>
      <c r="P59">
        <f t="shared" si="3"/>
        <v>1.559075E-5</v>
      </c>
      <c r="Q59" cm="1">
        <f t="array" ref="Q59">[1]!PropsSI("D","T",J59+273.15,"P",101325,"Water")</f>
        <v>985.56372252782842</v>
      </c>
      <c r="R59" cm="1">
        <f t="array" ref="R59">[1]!PropsSI("D","T",K59+273.15,"P",101325,"Water")</f>
        <v>988.20595740050794</v>
      </c>
      <c r="S59">
        <f t="shared" si="4"/>
        <v>986.88483996416812</v>
      </c>
      <c r="T59" cm="1">
        <f t="array" ref="T59">[1]!PropsSI("H","T",J59+273.15,"P",101325,"Water")</f>
        <v>231444.76181812939</v>
      </c>
      <c r="U59" cm="1">
        <f t="array" ref="U59">[1]!PropsSI("H","T",K59+273.15,"P",101325,"Water")</f>
        <v>207834.1346550918</v>
      </c>
      <c r="V59">
        <f t="shared" si="5"/>
        <v>363.27959817168329</v>
      </c>
    </row>
    <row r="60" spans="1:22" x14ac:dyDescent="0.2">
      <c r="A60">
        <v>46122.622319444446</v>
      </c>
      <c r="B60">
        <v>19.907540000000001</v>
      </c>
      <c r="C60">
        <v>19.932690999999998</v>
      </c>
      <c r="D60">
        <v>19.797705000000001</v>
      </c>
      <c r="E60">
        <v>19.848754</v>
      </c>
      <c r="F60">
        <v>37.876579999999997</v>
      </c>
      <c r="G60">
        <v>33.831429</v>
      </c>
      <c r="H60">
        <v>32.96754</v>
      </c>
      <c r="I60">
        <v>26.496410999999998</v>
      </c>
      <c r="J60">
        <v>55.268469000000003</v>
      </c>
      <c r="K60">
        <v>49.621084000000003</v>
      </c>
      <c r="L60">
        <v>12.282501999999999</v>
      </c>
      <c r="M60">
        <v>-622.49755100000004</v>
      </c>
      <c r="N60">
        <v>0.93203899999999995</v>
      </c>
      <c r="O60">
        <v>3.8244259999999999</v>
      </c>
      <c r="P60">
        <f t="shared" si="3"/>
        <v>1.5533983333333334E-5</v>
      </c>
      <c r="Q60" cm="1">
        <f t="array" ref="Q60">[1]!PropsSI("D","T",J60+273.15,"P",101325,"Water")</f>
        <v>985.56287228584506</v>
      </c>
      <c r="R60" cm="1">
        <f t="array" ref="R60">[1]!PropsSI("D","T",K60+273.15,"P",101325,"Water")</f>
        <v>988.20595740050794</v>
      </c>
      <c r="S60">
        <f t="shared" si="4"/>
        <v>986.8844148431765</v>
      </c>
      <c r="T60" cm="1">
        <f t="array" ref="T60">[1]!PropsSI("H","T",J60+273.15,"P",101325,"Water")</f>
        <v>231452.08216235097</v>
      </c>
      <c r="U60" cm="1">
        <f t="array" ref="U60">[1]!PropsSI("H","T",K60+273.15,"P",101325,"Water")</f>
        <v>207834.1346550918</v>
      </c>
      <c r="V60">
        <f t="shared" si="5"/>
        <v>362.0689465318726</v>
      </c>
    </row>
    <row r="61" spans="1:22" x14ac:dyDescent="0.2">
      <c r="A61">
        <v>46122.622377893516</v>
      </c>
      <c r="B61">
        <v>19.921410000000002</v>
      </c>
      <c r="C61">
        <v>19.948767</v>
      </c>
      <c r="D61">
        <v>19.813081</v>
      </c>
      <c r="E61">
        <v>19.874313999999998</v>
      </c>
      <c r="F61">
        <v>38.237766000000001</v>
      </c>
      <c r="G61">
        <v>34.258266999999996</v>
      </c>
      <c r="H61">
        <v>32.401065000000003</v>
      </c>
      <c r="I61">
        <v>26.150994000000001</v>
      </c>
      <c r="J61">
        <v>55.267355999999999</v>
      </c>
      <c r="K61">
        <v>49.620607999999997</v>
      </c>
      <c r="L61">
        <v>10.552792999999999</v>
      </c>
      <c r="M61">
        <v>-622.46204299999999</v>
      </c>
      <c r="N61">
        <v>0.93275600000000003</v>
      </c>
      <c r="O61">
        <v>3.539644</v>
      </c>
      <c r="P61">
        <f t="shared" si="3"/>
        <v>1.5545933333333333E-5</v>
      </c>
      <c r="Q61" cm="1">
        <f t="array" ref="Q61">[1]!PropsSI("D","T",J61+273.15,"P",101325,"Water")</f>
        <v>985.56341304193791</v>
      </c>
      <c r="R61" cm="1">
        <f t="array" ref="R61">[1]!PropsSI("D","T",K61+273.15,"P",101325,"Water")</f>
        <v>988.2061715076585</v>
      </c>
      <c r="S61">
        <f t="shared" si="4"/>
        <v>986.8847922747982</v>
      </c>
      <c r="T61" cm="1">
        <f t="array" ref="T61">[1]!PropsSI("H","T",J61+273.15,"P",101325,"Water")</f>
        <v>231447.42642332724</v>
      </c>
      <c r="U61" cm="1">
        <f t="array" ref="U61">[1]!PropsSI("H","T",K61+273.15,"P",101325,"Water")</f>
        <v>207832.14438663956</v>
      </c>
      <c r="V61">
        <f t="shared" si="5"/>
        <v>362.30672414330786</v>
      </c>
    </row>
    <row r="62" spans="1:22" x14ac:dyDescent="0.2">
      <c r="A62">
        <v>46122.622435763886</v>
      </c>
      <c r="B62">
        <v>19.933613000000001</v>
      </c>
      <c r="C62">
        <v>19.966906000000002</v>
      </c>
      <c r="D62">
        <v>19.827269000000001</v>
      </c>
      <c r="E62">
        <v>19.890194000000001</v>
      </c>
      <c r="F62">
        <v>38.234807000000004</v>
      </c>
      <c r="G62">
        <v>34.320737999999999</v>
      </c>
      <c r="H62">
        <v>33.473483000000002</v>
      </c>
      <c r="I62">
        <v>26.571740999999999</v>
      </c>
      <c r="J62">
        <v>55.268469000000003</v>
      </c>
      <c r="K62">
        <v>49.623626000000002</v>
      </c>
      <c r="L62">
        <v>9.8209920000000004</v>
      </c>
      <c r="M62">
        <v>-622.53510000000006</v>
      </c>
      <c r="N62">
        <v>0.93705499999999997</v>
      </c>
      <c r="O62">
        <v>3.736793</v>
      </c>
      <c r="P62">
        <f t="shared" si="3"/>
        <v>1.5617583333333334E-5</v>
      </c>
      <c r="Q62" cm="1">
        <f t="array" ref="Q62">[1]!PropsSI("D","T",J62+273.15,"P",101325,"Water")</f>
        <v>985.56287228584506</v>
      </c>
      <c r="R62" cm="1">
        <f t="array" ref="R62">[1]!PropsSI("D","T",K62+273.15,"P",101325,"Water")</f>
        <v>988.20481397101287</v>
      </c>
      <c r="S62">
        <f t="shared" si="4"/>
        <v>986.88384312842891</v>
      </c>
      <c r="T62" cm="1">
        <f t="array" ref="T62">[1]!PropsSI("H","T",J62+273.15,"P",101325,"Water")</f>
        <v>231452.08216235097</v>
      </c>
      <c r="U62" cm="1">
        <f t="array" ref="U62">[1]!PropsSI("H","T",K62+273.15,"P",101325,"Water")</f>
        <v>207844.76335865233</v>
      </c>
      <c r="V62">
        <f t="shared" si="5"/>
        <v>363.85348240828392</v>
      </c>
    </row>
    <row r="63" spans="1:22" x14ac:dyDescent="0.2">
      <c r="A63">
        <v>46122.622494212963</v>
      </c>
      <c r="B63">
        <v>19.928402999999999</v>
      </c>
      <c r="C63">
        <v>19.976371</v>
      </c>
      <c r="D63">
        <v>19.829301999999998</v>
      </c>
      <c r="E63">
        <v>19.907603000000002</v>
      </c>
      <c r="F63">
        <v>38.026434999999999</v>
      </c>
      <c r="G63">
        <v>35.046346</v>
      </c>
      <c r="H63">
        <v>32.944403999999999</v>
      </c>
      <c r="I63">
        <v>26.647393000000001</v>
      </c>
      <c r="J63">
        <v>55.270538000000002</v>
      </c>
      <c r="K63">
        <v>49.629345000000001</v>
      </c>
      <c r="L63">
        <v>9.7307930000000002</v>
      </c>
      <c r="M63">
        <v>-622.47796000000005</v>
      </c>
      <c r="N63">
        <v>0.93537899999999996</v>
      </c>
      <c r="O63">
        <v>3.607567</v>
      </c>
      <c r="P63">
        <f t="shared" si="3"/>
        <v>1.5589650000000001E-5</v>
      </c>
      <c r="Q63" cm="1">
        <f t="array" ref="Q63">[1]!PropsSI("D","T",J63+273.15,"P",101325,"Water")</f>
        <v>985.56186703244316</v>
      </c>
      <c r="R63" cm="1">
        <f t="array" ref="R63">[1]!PropsSI("D","T",K63+273.15,"P",101325,"Water")</f>
        <v>988.20224132395447</v>
      </c>
      <c r="S63">
        <f t="shared" si="4"/>
        <v>986.88205417819881</v>
      </c>
      <c r="T63" cm="1">
        <f t="array" ref="T63">[1]!PropsSI("H","T",J63+273.15,"P",101325,"Water")</f>
        <v>231460.73690222477</v>
      </c>
      <c r="U63" cm="1">
        <f t="array" ref="U63">[1]!PropsSI("H","T",K63+273.15,"P",101325,"Water")</f>
        <v>207868.67585753376</v>
      </c>
      <c r="V63">
        <f t="shared" si="5"/>
        <v>362.96729927063734</v>
      </c>
    </row>
    <row r="64" spans="1:22" x14ac:dyDescent="0.2">
      <c r="A64">
        <v>46122.62255266204</v>
      </c>
      <c r="B64">
        <v>19.962185999999999</v>
      </c>
      <c r="C64">
        <v>20.004064</v>
      </c>
      <c r="D64">
        <v>19.842129</v>
      </c>
      <c r="E64">
        <v>19.908808000000001</v>
      </c>
      <c r="F64">
        <v>38.071691000000001</v>
      </c>
      <c r="G64">
        <v>34.588881000000001</v>
      </c>
      <c r="H64">
        <v>32.746262999999999</v>
      </c>
      <c r="I64">
        <v>26.598960000000002</v>
      </c>
      <c r="J64">
        <v>55.26831</v>
      </c>
      <c r="K64">
        <v>49.639670000000002</v>
      </c>
      <c r="L64">
        <v>10.925427000000001</v>
      </c>
      <c r="M64">
        <v>-622.53346799999997</v>
      </c>
      <c r="N64">
        <v>0.93418699999999999</v>
      </c>
      <c r="O64">
        <v>3.5974390000000001</v>
      </c>
      <c r="P64">
        <f t="shared" si="3"/>
        <v>1.5569783333333335E-5</v>
      </c>
      <c r="Q64" cm="1">
        <f t="array" ref="Q64">[1]!PropsSI("D","T",J64+273.15,"P",101325,"Water")</f>
        <v>985.56294953717872</v>
      </c>
      <c r="R64" cm="1">
        <f t="array" ref="R64">[1]!PropsSI("D","T",K64+273.15,"P",101325,"Water")</f>
        <v>988.19759615844771</v>
      </c>
      <c r="S64">
        <f t="shared" si="4"/>
        <v>986.88027284781322</v>
      </c>
      <c r="T64" cm="1">
        <f t="array" ref="T64">[1]!PropsSI("H","T",J64+273.15,"P",101325,"Water")</f>
        <v>231451.41705677877</v>
      </c>
      <c r="U64" cm="1">
        <f t="array" ref="U64">[1]!PropsSI("H","T",K64+273.15,"P",101325,"Water")</f>
        <v>207911.84716056593</v>
      </c>
      <c r="V64">
        <f t="shared" si="5"/>
        <v>361.69754428431531</v>
      </c>
    </row>
    <row r="65" spans="1:22" x14ac:dyDescent="0.2">
      <c r="A65">
        <v>46122.622610532409</v>
      </c>
      <c r="B65">
        <v>19.936698</v>
      </c>
      <c r="C65">
        <v>20.007819000000001</v>
      </c>
      <c r="D65">
        <v>19.855402999999999</v>
      </c>
      <c r="E65">
        <v>19.926311999999999</v>
      </c>
      <c r="F65">
        <v>37.929242000000002</v>
      </c>
      <c r="G65">
        <v>34.449294000000002</v>
      </c>
      <c r="H65">
        <v>33.114286999999997</v>
      </c>
      <c r="I65">
        <v>26.452145999999999</v>
      </c>
      <c r="J65">
        <v>55.266877999999998</v>
      </c>
      <c r="K65">
        <v>49.641258999999998</v>
      </c>
      <c r="L65">
        <v>11.908643</v>
      </c>
      <c r="M65">
        <v>-622.48530700000003</v>
      </c>
      <c r="N65">
        <v>0.934195</v>
      </c>
      <c r="O65">
        <v>3.517684</v>
      </c>
      <c r="P65">
        <f t="shared" si="3"/>
        <v>1.5569916666666665E-5</v>
      </c>
      <c r="Q65" cm="1">
        <f t="array" ref="Q65">[1]!PropsSI("D","T",J65+273.15,"P",101325,"Water")</f>
        <v>985.563645278065</v>
      </c>
      <c r="R65" cm="1">
        <f t="array" ref="R65">[1]!PropsSI("D","T",K65+273.15,"P",101325,"Water")</f>
        <v>988.19688121303091</v>
      </c>
      <c r="S65">
        <f t="shared" si="4"/>
        <v>986.88026324554789</v>
      </c>
      <c r="T65" cm="1">
        <f t="array" ref="T65">[1]!PropsSI("H","T",J65+273.15,"P",101325,"Water")</f>
        <v>231445.42692360989</v>
      </c>
      <c r="U65" cm="1">
        <f t="array" ref="U65">[1]!PropsSI("H","T",K65+273.15,"P",101325,"Water")</f>
        <v>207918.49115351855</v>
      </c>
      <c r="V65">
        <f t="shared" si="5"/>
        <v>361.50650671922347</v>
      </c>
    </row>
    <row r="66" spans="1:22" x14ac:dyDescent="0.2">
      <c r="A66">
        <v>46122.622668981479</v>
      </c>
      <c r="B66">
        <v>19.947482999999998</v>
      </c>
      <c r="C66">
        <v>20.038253999999998</v>
      </c>
      <c r="D66">
        <v>19.862380999999999</v>
      </c>
      <c r="E66">
        <v>19.937124000000001</v>
      </c>
      <c r="F66">
        <v>37.932924999999997</v>
      </c>
      <c r="G66">
        <v>35.026457999999998</v>
      </c>
      <c r="H66">
        <v>32.944510000000001</v>
      </c>
      <c r="I66">
        <v>26.244423999999999</v>
      </c>
      <c r="J66">
        <v>55.269742000000001</v>
      </c>
      <c r="K66">
        <v>49.631568000000001</v>
      </c>
      <c r="L66">
        <v>10.003432</v>
      </c>
      <c r="M66">
        <v>-622.47918500000003</v>
      </c>
      <c r="N66">
        <v>0.93278899999999998</v>
      </c>
      <c r="O66">
        <v>3.5748570000000002</v>
      </c>
      <c r="P66">
        <f t="shared" si="3"/>
        <v>1.5546483333333331E-5</v>
      </c>
      <c r="Q66" cm="1">
        <f t="array" ref="Q66">[1]!PropsSI("D","T",J66+273.15,"P",101325,"Water")</f>
        <v>985.56225378362535</v>
      </c>
      <c r="R66" cm="1">
        <f t="array" ref="R66">[1]!PropsSI("D","T",K66+273.15,"P",101325,"Water")</f>
        <v>988.20124126677069</v>
      </c>
      <c r="S66">
        <f t="shared" si="4"/>
        <v>986.88174752519808</v>
      </c>
      <c r="T66" cm="1">
        <f t="array" ref="T66">[1]!PropsSI("H","T",J66+273.15,"P",101325,"Water")</f>
        <v>231457.40719062032</v>
      </c>
      <c r="U66" cm="1">
        <f t="array" ref="U66">[1]!PropsSI("H","T",K66+273.15,"P",101325,"Water")</f>
        <v>207877.97075152586</v>
      </c>
      <c r="V66">
        <f t="shared" si="5"/>
        <v>361.76846183207039</v>
      </c>
    </row>
    <row r="67" spans="1:22" x14ac:dyDescent="0.2">
      <c r="A67">
        <v>46122.622726851849</v>
      </c>
      <c r="B67">
        <v>19.943058000000001</v>
      </c>
      <c r="C67">
        <v>20.034330000000001</v>
      </c>
      <c r="D67">
        <v>19.870996000000002</v>
      </c>
      <c r="E67">
        <v>19.934161</v>
      </c>
      <c r="F67">
        <v>37.899447000000002</v>
      </c>
      <c r="G67">
        <v>35.370710000000003</v>
      </c>
      <c r="H67">
        <v>32.976087</v>
      </c>
      <c r="I67">
        <v>26.674969000000001</v>
      </c>
      <c r="J67">
        <v>55.26831</v>
      </c>
      <c r="K67">
        <v>49.627437999999998</v>
      </c>
      <c r="L67">
        <v>11.644983</v>
      </c>
      <c r="M67">
        <v>-622.52938600000004</v>
      </c>
      <c r="N67">
        <v>0.93579699999999999</v>
      </c>
      <c r="O67">
        <v>3.745841</v>
      </c>
      <c r="P67">
        <f t="shared" si="3"/>
        <v>1.5596616666666666E-5</v>
      </c>
      <c r="Q67" cm="1">
        <f t="array" ref="Q67">[1]!PropsSI("D","T",J67+273.15,"P",101325,"Water")</f>
        <v>985.56294953717872</v>
      </c>
      <c r="R67" cm="1">
        <f t="array" ref="R67">[1]!PropsSI("D","T",K67+273.15,"P",101325,"Water")</f>
        <v>988.20309919680267</v>
      </c>
      <c r="S67">
        <f t="shared" si="4"/>
        <v>986.88302436699064</v>
      </c>
      <c r="T67" cm="1">
        <f t="array" ref="T67">[1]!PropsSI("H","T",J67+273.15,"P",101325,"Water")</f>
        <v>231451.41705677877</v>
      </c>
      <c r="U67" cm="1">
        <f t="array" ref="U67">[1]!PropsSI("H","T",K67+273.15,"P",101325,"Water")</f>
        <v>207860.70223603115</v>
      </c>
      <c r="V67">
        <f t="shared" si="5"/>
        <v>363.10913711564899</v>
      </c>
    </row>
    <row r="68" spans="1:22" x14ac:dyDescent="0.2">
      <c r="A68">
        <v>46122.622784722225</v>
      </c>
      <c r="B68">
        <v>19.951702000000001</v>
      </c>
      <c r="C68">
        <v>20.031289999999998</v>
      </c>
      <c r="D68">
        <v>19.884209999999999</v>
      </c>
      <c r="E68">
        <v>19.944251000000001</v>
      </c>
      <c r="F68">
        <v>38.070138999999998</v>
      </c>
      <c r="G68">
        <v>35.014969999999998</v>
      </c>
      <c r="H68">
        <v>33.547047999999997</v>
      </c>
      <c r="I68">
        <v>26.341436000000002</v>
      </c>
      <c r="J68">
        <v>55.269424000000001</v>
      </c>
      <c r="K68">
        <v>49.630298000000003</v>
      </c>
      <c r="L68">
        <v>11.313571</v>
      </c>
      <c r="M68">
        <v>-622.48775599999999</v>
      </c>
      <c r="N68">
        <v>0.93605499999999997</v>
      </c>
      <c r="O68">
        <v>3.7748659999999998</v>
      </c>
      <c r="P68">
        <f t="shared" si="3"/>
        <v>1.5600916666666665E-5</v>
      </c>
      <c r="Q68" cm="1">
        <f t="array" ref="Q68">[1]!PropsSI("D","T",J68+273.15,"P",101325,"Water")</f>
        <v>985.56240828863986</v>
      </c>
      <c r="R68" cm="1">
        <f t="array" ref="R68">[1]!PropsSI("D","T",K68+273.15,"P",101325,"Water")</f>
        <v>988.20181260344589</v>
      </c>
      <c r="S68">
        <f t="shared" si="4"/>
        <v>986.88211044604282</v>
      </c>
      <c r="T68" cm="1">
        <f t="array" ref="T68">[1]!PropsSI("H","T",J68+273.15,"P",101325,"Water")</f>
        <v>231456.07697930263</v>
      </c>
      <c r="U68" cm="1">
        <f t="array" ref="U68">[1]!PropsSI("H","T",K68+273.15,"P",101325,"Water")</f>
        <v>207872.660578034</v>
      </c>
      <c r="V68">
        <f t="shared" si="5"/>
        <v>363.09654184138117</v>
      </c>
    </row>
    <row r="69" spans="1:22" x14ac:dyDescent="0.2">
      <c r="A69">
        <v>46122.622842592595</v>
      </c>
      <c r="B69">
        <v>19.950074999999998</v>
      </c>
      <c r="C69">
        <v>20.024799999999999</v>
      </c>
      <c r="D69">
        <v>19.869593999999999</v>
      </c>
      <c r="E69">
        <v>19.937598999999999</v>
      </c>
      <c r="F69">
        <v>38.07864</v>
      </c>
      <c r="G69">
        <v>35.237665</v>
      </c>
      <c r="H69">
        <v>32.958145000000002</v>
      </c>
      <c r="I69">
        <v>26.482368999999998</v>
      </c>
      <c r="J69">
        <v>55.266401000000002</v>
      </c>
      <c r="K69">
        <v>49.633474999999997</v>
      </c>
      <c r="L69">
        <v>11.042564</v>
      </c>
      <c r="M69">
        <v>-622.50244899999996</v>
      </c>
      <c r="N69">
        <v>0.93261700000000003</v>
      </c>
      <c r="O69">
        <v>3.4360490000000001</v>
      </c>
      <c r="P69">
        <f t="shared" si="3"/>
        <v>1.5543616666666668E-5</v>
      </c>
      <c r="Q69" cm="1">
        <f t="array" ref="Q69">[1]!PropsSI("D","T",J69+273.15,"P",101325,"Water")</f>
        <v>985.56387702690859</v>
      </c>
      <c r="R69" cm="1">
        <f t="array" ref="R69">[1]!PropsSI("D","T",K69+273.15,"P",101325,"Water")</f>
        <v>988.20038334200785</v>
      </c>
      <c r="S69">
        <f t="shared" si="4"/>
        <v>986.88213018445822</v>
      </c>
      <c r="T69" cm="1">
        <f t="array" ref="T69">[1]!PropsSI("H","T",J69+273.15,"P",101325,"Water")</f>
        <v>231443.43160712512</v>
      </c>
      <c r="U69" cm="1">
        <f t="array" ref="U69">[1]!PropsSI("H","T",K69+273.15,"P",101325,"Water")</f>
        <v>207885.9443751919</v>
      </c>
      <c r="V69">
        <f t="shared" si="5"/>
        <v>361.36519977836178</v>
      </c>
    </row>
    <row r="70" spans="1:22" x14ac:dyDescent="0.2">
      <c r="A70">
        <v>46122.622901041665</v>
      </c>
      <c r="B70">
        <v>19.959367</v>
      </c>
      <c r="C70">
        <v>20.030529999999999</v>
      </c>
      <c r="D70">
        <v>19.875554999999999</v>
      </c>
      <c r="E70">
        <v>19.923966</v>
      </c>
      <c r="F70">
        <v>38.198782000000001</v>
      </c>
      <c r="G70">
        <v>35.690627999999997</v>
      </c>
      <c r="H70">
        <v>32.806648000000003</v>
      </c>
      <c r="I70">
        <v>26.772770000000001</v>
      </c>
      <c r="J70">
        <v>55.271811</v>
      </c>
      <c r="K70">
        <v>49.637923000000001</v>
      </c>
      <c r="L70">
        <v>9.4761120000000005</v>
      </c>
      <c r="M70">
        <v>-622.48367399999995</v>
      </c>
      <c r="N70">
        <v>0.94009200000000004</v>
      </c>
      <c r="O70">
        <v>3.531269</v>
      </c>
      <c r="P70">
        <f t="shared" si="3"/>
        <v>1.56682E-5</v>
      </c>
      <c r="Q70" cm="1">
        <f t="array" ref="Q70">[1]!PropsSI("D","T",J70+273.15,"P",101325,"Water")</f>
        <v>985.561248513892</v>
      </c>
      <c r="R70" cm="1">
        <f t="array" ref="R70">[1]!PropsSI("D","T",K70+273.15,"P",101325,"Water")</f>
        <v>988.19838217431209</v>
      </c>
      <c r="S70">
        <f t="shared" si="4"/>
        <v>986.8798153441021</v>
      </c>
      <c r="T70" cm="1">
        <f t="array" ref="T70">[1]!PropsSI("H","T",J70+273.15,"P",101325,"Water")</f>
        <v>231466.06193149547</v>
      </c>
      <c r="U70" cm="1">
        <f t="array" ref="U70">[1]!PropsSI("H","T",K70+273.15,"P",101325,"Water")</f>
        <v>207904.5425321931</v>
      </c>
      <c r="V70">
        <f t="shared" si="5"/>
        <v>364.32306431429157</v>
      </c>
    </row>
    <row r="71" spans="1:22" x14ac:dyDescent="0.2">
      <c r="A71">
        <v>46122.622958912034</v>
      </c>
      <c r="B71">
        <v>19.960429000000001</v>
      </c>
      <c r="C71">
        <v>20.027867000000001</v>
      </c>
      <c r="D71">
        <v>19.870107000000001</v>
      </c>
      <c r="E71">
        <v>19.931671999999999</v>
      </c>
      <c r="F71">
        <v>37.928857999999998</v>
      </c>
      <c r="G71">
        <v>34.939413000000002</v>
      </c>
      <c r="H71">
        <v>32.787470999999996</v>
      </c>
      <c r="I71">
        <v>26.460227</v>
      </c>
      <c r="J71">
        <v>55.274833999999998</v>
      </c>
      <c r="K71">
        <v>49.639670000000002</v>
      </c>
      <c r="L71">
        <v>11.905378000000001</v>
      </c>
      <c r="M71">
        <v>-622.48571500000003</v>
      </c>
      <c r="N71">
        <v>0.93763700000000005</v>
      </c>
      <c r="O71">
        <v>3.5380929999999999</v>
      </c>
      <c r="P71">
        <f t="shared" si="3"/>
        <v>1.5627283333333335E-5</v>
      </c>
      <c r="Q71" cm="1">
        <f t="array" ref="Q71">[1]!PropsSI("D","T",J71+273.15,"P",101325,"Water")</f>
        <v>985.55977967438912</v>
      </c>
      <c r="R71" cm="1">
        <f t="array" ref="R71">[1]!PropsSI("D","T",K71+273.15,"P",101325,"Water")</f>
        <v>988.19759615844771</v>
      </c>
      <c r="S71">
        <f t="shared" si="4"/>
        <v>986.87868791641836</v>
      </c>
      <c r="T71" cm="1">
        <f t="array" ref="T71">[1]!PropsSI("H","T",J71+273.15,"P",101325,"Water")</f>
        <v>231478.70730962182</v>
      </c>
      <c r="U71" cm="1">
        <f t="array" ref="U71">[1]!PropsSI("H","T",K71+273.15,"P",101325,"Water")</f>
        <v>207911.84716056593</v>
      </c>
      <c r="V71">
        <f t="shared" si="5"/>
        <v>363.45360527348214</v>
      </c>
    </row>
    <row r="72" spans="1:22" x14ac:dyDescent="0.2">
      <c r="A72">
        <v>46122.623017361111</v>
      </c>
      <c r="B72">
        <v>19.997012999999999</v>
      </c>
      <c r="C72">
        <v>20.029772999999999</v>
      </c>
      <c r="D72">
        <v>19.881996000000001</v>
      </c>
      <c r="E72">
        <v>19.940221999999999</v>
      </c>
      <c r="F72">
        <v>37.880487000000002</v>
      </c>
      <c r="G72">
        <v>35.175716999999999</v>
      </c>
      <c r="H72">
        <v>32.723944000000003</v>
      </c>
      <c r="I72">
        <v>26.939184000000001</v>
      </c>
      <c r="J72">
        <v>55.280244000000003</v>
      </c>
      <c r="K72">
        <v>49.638717</v>
      </c>
      <c r="L72">
        <v>10.40831</v>
      </c>
      <c r="M72">
        <v>-622.45592099999999</v>
      </c>
      <c r="N72">
        <v>0.93549000000000004</v>
      </c>
      <c r="O72">
        <v>3.6250019999999998</v>
      </c>
      <c r="P72">
        <f t="shared" si="3"/>
        <v>1.5591500000000001E-5</v>
      </c>
      <c r="Q72" cm="1">
        <f t="array" ref="Q72">[1]!PropsSI("D","T",J72+273.15,"P",101325,"Water")</f>
        <v>985.5571508789709</v>
      </c>
      <c r="R72" cm="1">
        <f t="array" ref="R72">[1]!PropsSI("D","T",K72+273.15,"P",101325,"Water")</f>
        <v>988.19802493776842</v>
      </c>
      <c r="S72">
        <f t="shared" si="4"/>
        <v>986.87758790836961</v>
      </c>
      <c r="T72" cm="1">
        <f t="array" ref="T72">[1]!PropsSI("H","T",J72+273.15,"P",101325,"Water")</f>
        <v>231501.33765062364</v>
      </c>
      <c r="U72" cm="1">
        <f t="array" ref="U72">[1]!PropsSI("H","T",K72+273.15,"P",101325,"Water")</f>
        <v>207907.86243759611</v>
      </c>
      <c r="V72">
        <f t="shared" si="5"/>
        <v>363.03048886306971</v>
      </c>
    </row>
    <row r="73" spans="1:22" x14ac:dyDescent="0.2">
      <c r="A73">
        <v>46122.62307523148</v>
      </c>
      <c r="B73">
        <v>20.000723000000001</v>
      </c>
      <c r="C73">
        <v>20.031362000000001</v>
      </c>
      <c r="D73">
        <v>19.873369</v>
      </c>
      <c r="E73">
        <v>19.920653999999999</v>
      </c>
      <c r="F73">
        <v>38.011932999999999</v>
      </c>
      <c r="G73">
        <v>34.910922999999997</v>
      </c>
      <c r="H73">
        <v>32.419837000000001</v>
      </c>
      <c r="I73">
        <v>26.429814</v>
      </c>
      <c r="J73">
        <v>55.277220999999997</v>
      </c>
      <c r="K73">
        <v>49.644753000000001</v>
      </c>
      <c r="L73">
        <v>10.149139</v>
      </c>
      <c r="M73">
        <v>-622.47632799999997</v>
      </c>
      <c r="N73">
        <v>0.93303499999999995</v>
      </c>
      <c r="O73">
        <v>3.535412</v>
      </c>
      <c r="P73">
        <f t="shared" si="3"/>
        <v>1.5550583333333333E-5</v>
      </c>
      <c r="Q73" cm="1">
        <f t="array" ref="Q73">[1]!PropsSI("D","T",J73+273.15,"P",101325,"Water")</f>
        <v>985.55861981971225</v>
      </c>
      <c r="R73" cm="1">
        <f t="array" ref="R73">[1]!PropsSI("D","T",K73+273.15,"P",101325,"Water")</f>
        <v>988.19530908443573</v>
      </c>
      <c r="S73">
        <f t="shared" si="4"/>
        <v>986.87696445207393</v>
      </c>
      <c r="T73" cm="1">
        <f t="array" ref="T73">[1]!PropsSI("H","T",J73+273.15,"P",101325,"Water")</f>
        <v>231488.69226650483</v>
      </c>
      <c r="U73" cm="1">
        <f t="array" ref="U73">[1]!PropsSI("H","T",K73+273.15,"P",101325,"Water")</f>
        <v>207933.10041435494</v>
      </c>
      <c r="V73">
        <f t="shared" si="5"/>
        <v>361.4961842258391</v>
      </c>
    </row>
    <row r="74" spans="1:22" x14ac:dyDescent="0.2">
      <c r="A74">
        <v>46122.62313310185</v>
      </c>
      <c r="B74">
        <v>20.008904999999999</v>
      </c>
      <c r="C74">
        <v>20.022290000000002</v>
      </c>
      <c r="D74">
        <v>19.904001999999998</v>
      </c>
      <c r="E74">
        <v>19.932587999999999</v>
      </c>
      <c r="F74">
        <v>38.173665999999997</v>
      </c>
      <c r="G74">
        <v>34.318122000000002</v>
      </c>
      <c r="H74">
        <v>33.221482999999999</v>
      </c>
      <c r="I74">
        <v>26.597239999999999</v>
      </c>
      <c r="J74">
        <v>55.276902999999997</v>
      </c>
      <c r="K74">
        <v>49.642212000000001</v>
      </c>
      <c r="L74">
        <v>10.192811000000001</v>
      </c>
      <c r="M74">
        <v>-622.50816299999997</v>
      </c>
      <c r="N74">
        <v>0.93661700000000003</v>
      </c>
      <c r="O74">
        <v>3.4430390000000002</v>
      </c>
      <c r="P74">
        <f t="shared" si="3"/>
        <v>1.5610283333333335E-5</v>
      </c>
      <c r="Q74" cm="1">
        <f t="array" ref="Q74">[1]!PropsSI("D","T",J74+273.15,"P",101325,"Water")</f>
        <v>985.55877433946216</v>
      </c>
      <c r="R74" cm="1">
        <f t="array" ref="R74">[1]!PropsSI("D","T",K74+273.15,"P",101325,"Water")</f>
        <v>988.19645241773219</v>
      </c>
      <c r="S74">
        <f t="shared" si="4"/>
        <v>986.87761337859718</v>
      </c>
      <c r="T74" cm="1">
        <f t="array" ref="T74">[1]!PropsSI("H","T",J74+273.15,"P",101325,"Water")</f>
        <v>231487.36205430931</v>
      </c>
      <c r="U74" cm="1">
        <f t="array" ref="U74">[1]!PropsSI("H","T",K74+273.15,"P",101325,"Water")</f>
        <v>207922.47587719356</v>
      </c>
      <c r="V74">
        <f t="shared" si="5"/>
        <v>363.0274203177392</v>
      </c>
    </row>
    <row r="75" spans="1:22" x14ac:dyDescent="0.2">
      <c r="A75">
        <v>46122.623191550927</v>
      </c>
      <c r="B75">
        <v>20.042482</v>
      </c>
      <c r="C75">
        <v>20.060694999999999</v>
      </c>
      <c r="D75">
        <v>19.908269000000001</v>
      </c>
      <c r="E75">
        <v>19.96048</v>
      </c>
      <c r="F75">
        <v>37.871803</v>
      </c>
      <c r="G75">
        <v>35.030740999999999</v>
      </c>
      <c r="H75">
        <v>32.66131</v>
      </c>
      <c r="I75">
        <v>26.690871999999999</v>
      </c>
      <c r="J75">
        <v>55.278812000000002</v>
      </c>
      <c r="K75">
        <v>49.643324</v>
      </c>
      <c r="L75">
        <v>10.908284999999999</v>
      </c>
      <c r="M75">
        <v>-622.44857400000001</v>
      </c>
      <c r="N75">
        <v>0.93571099999999996</v>
      </c>
      <c r="O75">
        <v>3.199951</v>
      </c>
      <c r="P75">
        <f t="shared" ref="P75:P76" si="6" xml:space="preserve"> N75*0.001/60</f>
        <v>1.5595183333333333E-5</v>
      </c>
      <c r="Q75" cm="1">
        <f t="array" ref="Q75">[1]!PropsSI("D","T",J75+273.15,"P",101325,"Water")</f>
        <v>985.55784672564721</v>
      </c>
      <c r="R75" cm="1">
        <f t="array" ref="R75">[1]!PropsSI("D","T",K75+273.15,"P",101325,"Water")</f>
        <v>988.19595207400744</v>
      </c>
      <c r="S75">
        <f t="shared" ref="S75:S76" si="7">(Q75+R75)/2</f>
        <v>986.87689939982738</v>
      </c>
      <c r="T75" cm="1">
        <f t="array" ref="T75">[1]!PropsSI("H","T",J75+273.15,"P",101325,"Water")</f>
        <v>231495.34751123405</v>
      </c>
      <c r="U75" cm="1">
        <f t="array" ref="U75">[1]!PropsSI("H","T",K75+273.15,"P",101325,"Water")</f>
        <v>207927.12541862467</v>
      </c>
      <c r="V75">
        <f t="shared" ref="V75:V76" si="8">S75*P75*(T75-U75)</f>
        <v>362.72733898085943</v>
      </c>
    </row>
    <row r="76" spans="1:22" x14ac:dyDescent="0.2">
      <c r="A76">
        <v>46122.623249999997</v>
      </c>
      <c r="B76">
        <v>20.060410999999998</v>
      </c>
      <c r="C76">
        <v>20.079170000000001</v>
      </c>
      <c r="D76">
        <v>19.918614000000002</v>
      </c>
      <c r="E76">
        <v>19.969110000000001</v>
      </c>
      <c r="F76">
        <v>38.094729999999998</v>
      </c>
      <c r="G76">
        <v>34.540165000000002</v>
      </c>
      <c r="H76">
        <v>33.272303000000001</v>
      </c>
      <c r="I76">
        <v>26.641597000000001</v>
      </c>
      <c r="J76">
        <v>55.277698000000001</v>
      </c>
      <c r="K76">
        <v>49.641258999999998</v>
      </c>
      <c r="L76">
        <v>10.426676</v>
      </c>
      <c r="M76">
        <v>-622.51673400000004</v>
      </c>
      <c r="N76">
        <v>0.93536300000000006</v>
      </c>
      <c r="O76">
        <v>3.8659430000000001</v>
      </c>
      <c r="P76">
        <f t="shared" si="6"/>
        <v>1.5589383333333333E-5</v>
      </c>
      <c r="Q76" cm="1">
        <f t="array" ref="Q76">[1]!PropsSI("D","T",J76+273.15,"P",101325,"Water")</f>
        <v>985.55838803890492</v>
      </c>
      <c r="R76" cm="1">
        <f t="array" ref="R76">[1]!PropsSI("D","T",K76+273.15,"P",101325,"Water")</f>
        <v>988.19688121303091</v>
      </c>
      <c r="S76">
        <f t="shared" si="7"/>
        <v>986.87763462596786</v>
      </c>
      <c r="T76" cm="1">
        <f t="array" ref="T76">[1]!PropsSI("H","T",J76+273.15,"P",101325,"Water")</f>
        <v>231490.68758491025</v>
      </c>
      <c r="U76" cm="1">
        <f t="array" ref="U76">[1]!PropsSI("H","T",K76+273.15,"P",101325,"Water")</f>
        <v>207918.49115351855</v>
      </c>
      <c r="V76">
        <f t="shared" si="8"/>
        <v>362.65385175834467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46A3-C420-034C-AD63-49BD025AD846}">
  <dimension ref="A1:W99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44660.624418403</v>
      </c>
      <c r="B2">
        <v>19.914673000000001</v>
      </c>
      <c r="C2">
        <v>19.823868000000001</v>
      </c>
      <c r="D2">
        <v>19.722576</v>
      </c>
      <c r="E2">
        <v>19.789337</v>
      </c>
      <c r="F2">
        <v>33.470084</v>
      </c>
      <c r="G2">
        <v>30.741202999999999</v>
      </c>
      <c r="H2">
        <v>29.211411999999999</v>
      </c>
      <c r="I2">
        <v>24.703451000000001</v>
      </c>
      <c r="J2">
        <v>55.270856000000002</v>
      </c>
      <c r="K2">
        <v>48.599986999999999</v>
      </c>
      <c r="L2">
        <v>22.125274000000001</v>
      </c>
      <c r="M2">
        <v>-622.50857099999996</v>
      </c>
      <c r="N2">
        <v>0.93056799999999995</v>
      </c>
      <c r="O2">
        <v>3.797803</v>
      </c>
      <c r="P2">
        <f t="shared" ref="P2:P6" si="0" xml:space="preserve"> N2*0.001/60</f>
        <v>1.5509466666666668E-5</v>
      </c>
      <c r="Q2" cm="1">
        <f t="array" ref="Q2">[1]!PropsSI("D","T",J2+273.15,"P",101325,"Water")</f>
        <v>985.56171252519789</v>
      </c>
      <c r="R2" cm="1">
        <f t="array" ref="R2">[1]!PropsSI("D","T",K2+273.15,"P",101325,"Water")</f>
        <v>988.66180517365297</v>
      </c>
      <c r="S2">
        <f t="shared" ref="S2:S6" si="1">(Q2+R2)/2</f>
        <v>987.11175884942543</v>
      </c>
      <c r="T2" cm="1">
        <f t="array" ref="T2">[1]!PropsSI("H","T",J2+273.15,"P",101325,"Water")</f>
        <v>231462.06711372771</v>
      </c>
      <c r="U2" cm="1">
        <f t="array" ref="U2">[1]!PropsSI("H","T",K2+273.15,"P",101325,"Water")</f>
        <v>203564.82808494664</v>
      </c>
      <c r="V2">
        <f t="shared" ref="V2:V6" si="2">S2*P2*(T2-U2)</f>
        <v>427.09492677093084</v>
      </c>
      <c r="W2" s="2">
        <f>AVERAGE(V14:V99)</f>
        <v>434.1378981693415</v>
      </c>
    </row>
    <row r="3" spans="1:23" x14ac:dyDescent="0.2">
      <c r="A3">
        <v>44660.624476851997</v>
      </c>
      <c r="B3">
        <v>19.868088</v>
      </c>
      <c r="C3">
        <v>19.816692</v>
      </c>
      <c r="D3">
        <v>19.727245</v>
      </c>
      <c r="E3">
        <v>19.775112</v>
      </c>
      <c r="F3">
        <v>33.611466999999998</v>
      </c>
      <c r="G3">
        <v>30.929186000000001</v>
      </c>
      <c r="H3">
        <v>29.345216000000001</v>
      </c>
      <c r="I3">
        <v>24.926397000000001</v>
      </c>
      <c r="J3">
        <v>55.272607000000001</v>
      </c>
      <c r="K3">
        <v>48.587282999999999</v>
      </c>
      <c r="L3">
        <v>23.755804999999999</v>
      </c>
      <c r="M3">
        <v>-622.49265300000002</v>
      </c>
      <c r="N3">
        <v>0.92740100000000003</v>
      </c>
      <c r="O3">
        <v>3.5490469999999998</v>
      </c>
      <c r="P3">
        <f t="shared" si="0"/>
        <v>1.5456683333333334E-5</v>
      </c>
      <c r="Q3" cm="1">
        <f t="array" ref="Q3">[1]!PropsSI("D","T",J3+273.15,"P",101325,"Water")</f>
        <v>985.56086175249652</v>
      </c>
      <c r="R3" cm="1">
        <f t="array" ref="R3">[1]!PropsSI("D","T",K3+273.15,"P",101325,"Water")</f>
        <v>988.66743300076416</v>
      </c>
      <c r="S3">
        <f t="shared" si="1"/>
        <v>987.1141473766304</v>
      </c>
      <c r="T3" cm="1">
        <f t="array" ref="T3">[1]!PropsSI("H","T",J3+273.15,"P",101325,"Water")</f>
        <v>231469.39164367039</v>
      </c>
      <c r="U3" cm="1">
        <f t="array" ref="U3">[1]!PropsSI("H","T",K3+273.15,"P",101325,"Water")</f>
        <v>203511.71315801985</v>
      </c>
      <c r="V3">
        <f t="shared" si="2"/>
        <v>426.56458115407958</v>
      </c>
      <c r="W3" s="2"/>
    </row>
    <row r="4" spans="1:23" x14ac:dyDescent="0.2">
      <c r="A4">
        <v>44660.624534722403</v>
      </c>
      <c r="B4">
        <v>19.855428</v>
      </c>
      <c r="C4">
        <v>19.828061000000002</v>
      </c>
      <c r="D4">
        <v>19.724910000000001</v>
      </c>
      <c r="E4">
        <v>19.786360999999999</v>
      </c>
      <c r="F4">
        <v>33.553238</v>
      </c>
      <c r="G4">
        <v>30.731873</v>
      </c>
      <c r="H4">
        <v>29.021225000000001</v>
      </c>
      <c r="I4">
        <v>24.313517999999998</v>
      </c>
      <c r="J4">
        <v>55.267833000000003</v>
      </c>
      <c r="K4">
        <v>48.576484999999998</v>
      </c>
      <c r="L4">
        <v>21.443676</v>
      </c>
      <c r="M4">
        <v>-622.52448900000002</v>
      </c>
      <c r="N4">
        <v>0.93153900000000001</v>
      </c>
      <c r="O4">
        <v>3.6970679999999998</v>
      </c>
      <c r="P4">
        <f t="shared" si="0"/>
        <v>1.5525649999999999E-5</v>
      </c>
      <c r="Q4" cm="1">
        <f t="array" ref="Q4">[1]!PropsSI("D","T",J4+273.15,"P",101325,"Water")</f>
        <v>985.56318129024908</v>
      </c>
      <c r="R4" cm="1">
        <f t="array" ref="R4">[1]!PropsSI("D","T",K4+273.15,"P",101325,"Water")</f>
        <v>988.67221563047849</v>
      </c>
      <c r="S4">
        <f t="shared" si="1"/>
        <v>987.11769846036373</v>
      </c>
      <c r="T4" cm="1">
        <f t="array" ref="T4">[1]!PropsSI("H","T",J4+273.15,"P",101325,"Water")</f>
        <v>231449.42174001076</v>
      </c>
      <c r="U4" cm="1">
        <f t="array" ref="U4">[1]!PropsSI("H","T",K4+273.15,"P",101325,"Water")</f>
        <v>203466.56717537422</v>
      </c>
      <c r="V4">
        <f t="shared" si="2"/>
        <v>428.85526422602521</v>
      </c>
      <c r="W4" s="2"/>
    </row>
    <row r="5" spans="1:23" x14ac:dyDescent="0.2">
      <c r="A5">
        <v>44660.624592592801</v>
      </c>
      <c r="B5">
        <v>19.854189999999999</v>
      </c>
      <c r="C5">
        <v>19.80198</v>
      </c>
      <c r="D5">
        <v>19.701158</v>
      </c>
      <c r="E5">
        <v>19.744467</v>
      </c>
      <c r="F5">
        <v>33.702674999999999</v>
      </c>
      <c r="G5">
        <v>30.914528000000001</v>
      </c>
      <c r="H5">
        <v>29.185102000000001</v>
      </c>
      <c r="I5">
        <v>24.291609000000001</v>
      </c>
      <c r="J5">
        <v>55.273561000000001</v>
      </c>
      <c r="K5">
        <v>48.572038999999997</v>
      </c>
      <c r="L5">
        <v>23.672951999999999</v>
      </c>
      <c r="M5">
        <v>-622.48204199999998</v>
      </c>
      <c r="N5">
        <v>0.93524799999999997</v>
      </c>
      <c r="O5">
        <v>3.5804230000000001</v>
      </c>
      <c r="P5">
        <f t="shared" si="0"/>
        <v>1.5587466666666666E-5</v>
      </c>
      <c r="Q5" cm="1">
        <f t="array" ref="Q5">[1]!PropsSI("D","T",J5+273.15,"P",101325,"Water")</f>
        <v>985.56039821675142</v>
      </c>
      <c r="R5" cm="1">
        <f t="array" ref="R5">[1]!PropsSI("D","T",K5+273.15,"P",101325,"Water")</f>
        <v>988.67418461833313</v>
      </c>
      <c r="S5">
        <f t="shared" si="1"/>
        <v>987.11729141754222</v>
      </c>
      <c r="T5" cm="1">
        <f t="array" ref="T5">[1]!PropsSI("H","T",J5+273.15,"P",101325,"Water")</f>
        <v>231473.38227897312</v>
      </c>
      <c r="U5" cm="1">
        <f t="array" ref="U5">[1]!PropsSI("H","T",K5+273.15,"P",101325,"Water")</f>
        <v>203447.97864566059</v>
      </c>
      <c r="V5">
        <f t="shared" si="2"/>
        <v>431.21729754430305</v>
      </c>
      <c r="W5" s="2"/>
    </row>
    <row r="6" spans="1:23" x14ac:dyDescent="0.2">
      <c r="A6">
        <v>46122.624651041668</v>
      </c>
      <c r="B6">
        <v>19.829778000000001</v>
      </c>
      <c r="C6">
        <v>19.797747000000001</v>
      </c>
      <c r="D6">
        <v>19.714807</v>
      </c>
      <c r="E6">
        <v>19.736142000000001</v>
      </c>
      <c r="F6">
        <v>33.581892000000003</v>
      </c>
      <c r="G6">
        <v>30.376704</v>
      </c>
      <c r="H6">
        <v>28.792963</v>
      </c>
      <c r="I6">
        <v>24.382238999999998</v>
      </c>
      <c r="J6">
        <v>55.277380000000001</v>
      </c>
      <c r="K6">
        <v>48.56521</v>
      </c>
      <c r="L6">
        <v>23.908449999999998</v>
      </c>
      <c r="M6">
        <v>-622.50163299999997</v>
      </c>
      <c r="N6">
        <v>0.93342899999999995</v>
      </c>
      <c r="O6">
        <v>3.9163549999999998</v>
      </c>
      <c r="P6">
        <f t="shared" si="0"/>
        <v>1.5557150000000001E-5</v>
      </c>
      <c r="Q6" cm="1">
        <f t="array" ref="Q6">[1]!PropsSI("D","T",J6+273.15,"P",101325,"Water")</f>
        <v>985.55854255959412</v>
      </c>
      <c r="R6" cm="1">
        <f t="array" ref="R6">[1]!PropsSI("D","T",K6+273.15,"P",101325,"Water")</f>
        <v>988.67720870212838</v>
      </c>
      <c r="S6">
        <f t="shared" si="1"/>
        <v>987.11787563086125</v>
      </c>
      <c r="T6" cm="1">
        <f t="array" ref="T6">[1]!PropsSI("H","T",J6+273.15,"P",101325,"Water")</f>
        <v>231489.3573726188</v>
      </c>
      <c r="U6" cm="1">
        <f t="array" ref="U6">[1]!PropsSI("H","T",K6+273.15,"P",101325,"Water")</f>
        <v>203419.42690809316</v>
      </c>
      <c r="V6">
        <f t="shared" si="2"/>
        <v>431.06264807023916</v>
      </c>
      <c r="W6" s="2"/>
    </row>
    <row r="7" spans="1:23" x14ac:dyDescent="0.2">
      <c r="A7">
        <v>46122.624709490738</v>
      </c>
      <c r="B7">
        <v>19.877407999999999</v>
      </c>
      <c r="C7">
        <v>19.804099999999998</v>
      </c>
      <c r="D7">
        <v>19.732536</v>
      </c>
      <c r="E7">
        <v>19.769546999999999</v>
      </c>
      <c r="F7">
        <v>33.657401999999998</v>
      </c>
      <c r="G7">
        <v>30.480713999999999</v>
      </c>
      <c r="H7">
        <v>29.444236</v>
      </c>
      <c r="I7">
        <v>24.594759</v>
      </c>
      <c r="J7">
        <v>55.274993000000002</v>
      </c>
      <c r="K7">
        <v>48.55997</v>
      </c>
      <c r="L7">
        <v>22.617495000000002</v>
      </c>
      <c r="M7">
        <v>-622.48897999999997</v>
      </c>
      <c r="N7">
        <v>0.93006</v>
      </c>
      <c r="O7">
        <v>3.801577</v>
      </c>
      <c r="P7">
        <f t="shared" ref="P7:P70" si="3" xml:space="preserve"> N7*0.001/60</f>
        <v>1.5500999999999999E-5</v>
      </c>
      <c r="Q7" cm="1">
        <f t="array" ref="Q7">[1]!PropsSI("D","T",J7+273.15,"P",101325,"Water")</f>
        <v>985.55970241663397</v>
      </c>
      <c r="R7" cm="1">
        <f t="array" ref="R7">[1]!PropsSI("D","T",K7+273.15,"P",101325,"Water")</f>
        <v>988.67952891862296</v>
      </c>
      <c r="S7">
        <f t="shared" ref="S7:S70" si="4">(Q7+R7)/2</f>
        <v>987.11961566762852</v>
      </c>
      <c r="T7" cm="1">
        <f t="array" ref="T7">[1]!PropsSI("H","T",J7+273.15,"P",101325,"Water")</f>
        <v>231479.37241558469</v>
      </c>
      <c r="U7" cm="1">
        <f t="array" ref="U7">[1]!PropsSI("H","T",K7+273.15,"P",101325,"Water")</f>
        <v>203397.51871529201</v>
      </c>
      <c r="V7">
        <f t="shared" ref="V7:V70" si="5">S7*P7*(T7-U7)</f>
        <v>429.6900239425778</v>
      </c>
    </row>
    <row r="8" spans="1:23" x14ac:dyDescent="0.2">
      <c r="A8">
        <v>46122.624767361114</v>
      </c>
      <c r="B8">
        <v>19.846267999999998</v>
      </c>
      <c r="C8">
        <v>19.818280000000001</v>
      </c>
      <c r="D8">
        <v>19.708863000000001</v>
      </c>
      <c r="E8">
        <v>19.752321999999999</v>
      </c>
      <c r="F8">
        <v>33.610525000000003</v>
      </c>
      <c r="G8">
        <v>30.869461999999999</v>
      </c>
      <c r="H8">
        <v>29.522766000000001</v>
      </c>
      <c r="I8">
        <v>24.449037000000001</v>
      </c>
      <c r="J8">
        <v>55.268788000000001</v>
      </c>
      <c r="K8">
        <v>48.555047000000002</v>
      </c>
      <c r="L8">
        <v>23.648054999999999</v>
      </c>
      <c r="M8">
        <v>-622.50530600000002</v>
      </c>
      <c r="N8">
        <v>0.93256799999999995</v>
      </c>
      <c r="O8">
        <v>3.5769280000000001</v>
      </c>
      <c r="P8">
        <f t="shared" si="3"/>
        <v>1.55428E-5</v>
      </c>
      <c r="Q8" cm="1">
        <f t="array" ref="Q8">[1]!PropsSI("D","T",J8+273.15,"P",101325,"Water")</f>
        <v>985.56271729681305</v>
      </c>
      <c r="R8" cm="1">
        <f t="array" ref="R8">[1]!PropsSI("D","T",K8+273.15,"P",101325,"Water")</f>
        <v>988.68170860400448</v>
      </c>
      <c r="S8">
        <f t="shared" si="4"/>
        <v>987.12221295040877</v>
      </c>
      <c r="T8" cm="1">
        <f t="array" ref="T8">[1]!PropsSI("H","T",J8+273.15,"P",101325,"Water")</f>
        <v>231453.41655670217</v>
      </c>
      <c r="U8" cm="1">
        <f t="array" ref="U8">[1]!PropsSI("H","T",K8+273.15,"P",101325,"Water")</f>
        <v>203376.9358910117</v>
      </c>
      <c r="V8">
        <f t="shared" si="5"/>
        <v>430.76742324062144</v>
      </c>
    </row>
    <row r="9" spans="1:23" x14ac:dyDescent="0.2">
      <c r="A9">
        <v>46122.624825810184</v>
      </c>
      <c r="B9">
        <v>19.863596999999999</v>
      </c>
      <c r="C9">
        <v>19.833141999999999</v>
      </c>
      <c r="D9">
        <v>19.719308999999999</v>
      </c>
      <c r="E9">
        <v>19.748640999999999</v>
      </c>
      <c r="F9">
        <v>33.716529000000001</v>
      </c>
      <c r="G9">
        <v>30.179614999999998</v>
      </c>
      <c r="H9">
        <v>29.331707000000002</v>
      </c>
      <c r="I9">
        <v>24.675460000000001</v>
      </c>
      <c r="J9">
        <v>55.265763999999997</v>
      </c>
      <c r="K9">
        <v>48.548535999999999</v>
      </c>
      <c r="L9">
        <v>21.346129999999999</v>
      </c>
      <c r="M9">
        <v>-622.50938699999995</v>
      </c>
      <c r="N9">
        <v>0.93085099999999998</v>
      </c>
      <c r="O9">
        <v>3.1625009999999998</v>
      </c>
      <c r="P9">
        <f t="shared" si="3"/>
        <v>1.5514183333333335E-5</v>
      </c>
      <c r="Q9" cm="1">
        <f t="array" ref="Q9">[1]!PropsSI("D","T",J9+273.15,"P",101325,"Water")</f>
        <v>985.56418650901139</v>
      </c>
      <c r="R9" cm="1">
        <f t="array" ref="R9">[1]!PropsSI("D","T",K9+273.15,"P",101325,"Water")</f>
        <v>988.68459113682218</v>
      </c>
      <c r="S9">
        <f t="shared" si="4"/>
        <v>987.12438882291679</v>
      </c>
      <c r="T9" cm="1">
        <f t="array" ref="T9">[1]!PropsSI("H","T",J9+273.15,"P",101325,"Water")</f>
        <v>231440.76700218662</v>
      </c>
      <c r="U9" cm="1">
        <f t="array" ref="U9">[1]!PropsSI("H","T",K9+273.15,"P",101325,"Water")</f>
        <v>203349.71372529812</v>
      </c>
      <c r="V9">
        <f t="shared" si="5"/>
        <v>430.19843366863762</v>
      </c>
    </row>
    <row r="10" spans="1:23" x14ac:dyDescent="0.2">
      <c r="A10">
        <v>44660.6248842594</v>
      </c>
      <c r="B10">
        <v>19.889872</v>
      </c>
      <c r="C10">
        <v>19.846654999999998</v>
      </c>
      <c r="D10">
        <v>19.731193000000001</v>
      </c>
      <c r="E10">
        <v>19.765460000000001</v>
      </c>
      <c r="F10">
        <v>33.567068999999996</v>
      </c>
      <c r="G10">
        <v>31.283598000000001</v>
      </c>
      <c r="H10">
        <v>29.092025</v>
      </c>
      <c r="I10">
        <v>24.624476999999999</v>
      </c>
      <c r="J10">
        <v>55.271811</v>
      </c>
      <c r="K10">
        <v>48.546790000000001</v>
      </c>
      <c r="L10">
        <v>21.838349999999998</v>
      </c>
      <c r="M10">
        <v>-622.44694100000004</v>
      </c>
      <c r="N10">
        <v>0.93165799999999999</v>
      </c>
      <c r="O10">
        <v>3.2863509999999998</v>
      </c>
      <c r="P10">
        <f t="shared" si="3"/>
        <v>1.5527633333333334E-5</v>
      </c>
      <c r="Q10" cm="1">
        <f t="array" ref="Q10">[1]!PropsSI("D","T",J10+273.15,"P",101325,"Water")</f>
        <v>985.561248513892</v>
      </c>
      <c r="R10" cm="1">
        <f t="array" ref="R10">[1]!PropsSI("D","T",K10+273.15,"P",101325,"Water")</f>
        <v>988.6853640732453</v>
      </c>
      <c r="S10">
        <f t="shared" si="4"/>
        <v>987.1233062935687</v>
      </c>
      <c r="T10" cm="1">
        <f t="array" ref="T10">[1]!PropsSI("H","T",J10+273.15,"P",101325,"Water")</f>
        <v>231466.06193149547</v>
      </c>
      <c r="U10" cm="1">
        <f t="array" ref="U10">[1]!PropsSI("H","T",K10+273.15,"P",101325,"Water")</f>
        <v>203342.41378839954</v>
      </c>
      <c r="V10">
        <f t="shared" si="5"/>
        <v>431.07052539009578</v>
      </c>
    </row>
    <row r="11" spans="1:23" x14ac:dyDescent="0.2">
      <c r="A11">
        <v>44660.624942129798</v>
      </c>
      <c r="B11">
        <v>19.857500999999999</v>
      </c>
      <c r="C11">
        <v>19.822683999999999</v>
      </c>
      <c r="D11">
        <v>19.728126</v>
      </c>
      <c r="E11">
        <v>19.766562</v>
      </c>
      <c r="F11">
        <v>33.709274999999998</v>
      </c>
      <c r="G11">
        <v>30.572330000000001</v>
      </c>
      <c r="H11">
        <v>29.591681999999999</v>
      </c>
      <c r="I11">
        <v>24.663824000000002</v>
      </c>
      <c r="J11">
        <v>55.270856000000002</v>
      </c>
      <c r="K11">
        <v>48.545202000000003</v>
      </c>
      <c r="L11">
        <v>21.836309</v>
      </c>
      <c r="M11">
        <v>-622.50938699999995</v>
      </c>
      <c r="N11">
        <v>0.933666</v>
      </c>
      <c r="O11">
        <v>3.4369900000000002</v>
      </c>
      <c r="P11">
        <f t="shared" si="3"/>
        <v>1.5561099999999999E-5</v>
      </c>
      <c r="Q11" cm="1">
        <f t="array" ref="Q11">[1]!PropsSI("D","T",J11+273.15,"P",101325,"Water")</f>
        <v>985.56171252519789</v>
      </c>
      <c r="R11" cm="1">
        <f t="array" ref="R11">[1]!PropsSI("D","T",K11+273.15,"P",101325,"Water")</f>
        <v>988.68606704701085</v>
      </c>
      <c r="S11">
        <f t="shared" si="4"/>
        <v>987.12388978610443</v>
      </c>
      <c r="T11" cm="1">
        <f t="array" ref="T11">[1]!PropsSI("H","T",J11+273.15,"P",101325,"Water")</f>
        <v>231462.06711372771</v>
      </c>
      <c r="U11" cm="1">
        <f t="array" ref="U11">[1]!PropsSI("H","T",K11+273.15,"P",101325,"Water")</f>
        <v>203335.77444221196</v>
      </c>
      <c r="V11">
        <f t="shared" si="5"/>
        <v>432.04048779572003</v>
      </c>
    </row>
    <row r="12" spans="1:23" x14ac:dyDescent="0.2">
      <c r="A12">
        <v>44660.625000578897</v>
      </c>
      <c r="B12">
        <v>19.883448000000001</v>
      </c>
      <c r="C12">
        <v>19.810089999999999</v>
      </c>
      <c r="D12">
        <v>19.737596</v>
      </c>
      <c r="E12">
        <v>19.749963000000001</v>
      </c>
      <c r="F12">
        <v>33.619753000000003</v>
      </c>
      <c r="G12">
        <v>30.739307</v>
      </c>
      <c r="H12">
        <v>29.382100000000001</v>
      </c>
      <c r="I12">
        <v>24.404823</v>
      </c>
      <c r="J12">
        <v>55.269424000000001</v>
      </c>
      <c r="K12">
        <v>48.540914000000001</v>
      </c>
      <c r="L12">
        <v>21.882021000000002</v>
      </c>
      <c r="M12">
        <v>-622.50693799999999</v>
      </c>
      <c r="N12">
        <v>0.93449800000000005</v>
      </c>
      <c r="O12">
        <v>3.4326949999999998</v>
      </c>
      <c r="P12">
        <f t="shared" si="3"/>
        <v>1.5574966666666669E-5</v>
      </c>
      <c r="Q12" cm="1">
        <f t="array" ref="Q12">[1]!PropsSI("D","T",J12+273.15,"P",101325,"Water")</f>
        <v>985.56240828863986</v>
      </c>
      <c r="R12" cm="1">
        <f t="array" ref="R12">[1]!PropsSI("D","T",K12+273.15,"P",101325,"Water")</f>
        <v>988.68796516926091</v>
      </c>
      <c r="S12">
        <f t="shared" si="4"/>
        <v>987.12518672895044</v>
      </c>
      <c r="T12" cm="1">
        <f t="array" ref="T12">[1]!PropsSI("H","T",J12+273.15,"P",101325,"Water")</f>
        <v>231456.07697930263</v>
      </c>
      <c r="U12" cm="1">
        <f t="array" ref="U12">[1]!PropsSI("H","T",K12+273.15,"P",101325,"Water")</f>
        <v>203317.84653811529</v>
      </c>
      <c r="V12">
        <f t="shared" si="5"/>
        <v>432.6095884996156</v>
      </c>
    </row>
    <row r="13" spans="1:23" x14ac:dyDescent="0.2">
      <c r="A13">
        <v>44660.625058449201</v>
      </c>
      <c r="B13">
        <v>19.841373000000001</v>
      </c>
      <c r="C13">
        <v>19.745135999999999</v>
      </c>
      <c r="D13">
        <v>19.728391999999999</v>
      </c>
      <c r="E13">
        <v>19.713733000000001</v>
      </c>
      <c r="F13">
        <v>33.329168000000003</v>
      </c>
      <c r="G13">
        <v>30.757846000000001</v>
      </c>
      <c r="H13">
        <v>29.006152</v>
      </c>
      <c r="I13">
        <v>24.668367</v>
      </c>
      <c r="J13">
        <v>55.270538000000002</v>
      </c>
      <c r="K13">
        <v>48.536467999999999</v>
      </c>
      <c r="L13">
        <v>22.704429000000001</v>
      </c>
      <c r="M13">
        <v>-622.53999799999997</v>
      </c>
      <c r="N13">
        <v>0.932867</v>
      </c>
      <c r="O13">
        <v>3.885373</v>
      </c>
      <c r="P13">
        <f t="shared" si="3"/>
        <v>1.5547783333333334E-5</v>
      </c>
      <c r="Q13" cm="1">
        <f t="array" ref="Q13">[1]!PropsSI("D","T",J13+273.15,"P",101325,"Water")</f>
        <v>985.56186703244316</v>
      </c>
      <c r="R13" cm="1">
        <f t="array" ref="R13">[1]!PropsSI("D","T",K13+273.15,"P",101325,"Water")</f>
        <v>988.68993310205838</v>
      </c>
      <c r="S13">
        <f t="shared" si="4"/>
        <v>987.12590006725077</v>
      </c>
      <c r="T13" cm="1">
        <f t="array" ref="T13">[1]!PropsSI("H","T",J13+273.15,"P",101325,"Water")</f>
        <v>231460.73690222477</v>
      </c>
      <c r="U13" cm="1">
        <f t="array" ref="U13">[1]!PropsSI("H","T",K13+273.15,"P",101325,"Water")</f>
        <v>203299.2580493103</v>
      </c>
      <c r="V13">
        <f t="shared" si="5"/>
        <v>432.21166528579897</v>
      </c>
    </row>
    <row r="14" spans="1:23" x14ac:dyDescent="0.2">
      <c r="A14">
        <v>44660.625116319599</v>
      </c>
      <c r="B14">
        <v>19.856348000000001</v>
      </c>
      <c r="C14">
        <v>19.781821000000001</v>
      </c>
      <c r="D14">
        <v>19.736270999999999</v>
      </c>
      <c r="E14">
        <v>19.737390999999999</v>
      </c>
      <c r="F14">
        <v>33.519919000000002</v>
      </c>
      <c r="G14">
        <v>31.008887000000001</v>
      </c>
      <c r="H14">
        <v>29.097017999999998</v>
      </c>
      <c r="I14">
        <v>24.100059999999999</v>
      </c>
      <c r="J14">
        <v>55.267037000000002</v>
      </c>
      <c r="K14">
        <v>48.531385999999998</v>
      </c>
      <c r="L14">
        <v>20.862888999999999</v>
      </c>
      <c r="M14">
        <v>-622.47673599999996</v>
      </c>
      <c r="N14">
        <v>0.93781700000000001</v>
      </c>
      <c r="O14">
        <v>3.584667</v>
      </c>
      <c r="P14">
        <f t="shared" si="3"/>
        <v>1.5630283333333335E-5</v>
      </c>
      <c r="Q14" cm="1">
        <f t="array" ref="Q14">[1]!PropsSI("D","T",J14+273.15,"P",101325,"Water")</f>
        <v>985.56356802813502</v>
      </c>
      <c r="R14" cm="1">
        <f t="array" ref="R14">[1]!PropsSI("D","T",K14+273.15,"P",101325,"Water")</f>
        <v>988.69218238596579</v>
      </c>
      <c r="S14">
        <f t="shared" si="4"/>
        <v>987.12787520705047</v>
      </c>
      <c r="T14" cm="1">
        <f t="array" ref="T14">[1]!PropsSI("H","T",J14+273.15,"P",101325,"Water")</f>
        <v>231446.09202916353</v>
      </c>
      <c r="U14" cm="1">
        <f t="array" ref="U14">[1]!PropsSI("H","T",K14+273.15,"P",101325,"Water")</f>
        <v>203278.01048471112</v>
      </c>
      <c r="V14">
        <f t="shared" si="5"/>
        <v>434.60781952377351</v>
      </c>
    </row>
    <row r="15" spans="1:23" x14ac:dyDescent="0.2">
      <c r="A15">
        <v>46122.625174768516</v>
      </c>
      <c r="B15">
        <v>19.849174999999999</v>
      </c>
      <c r="C15">
        <v>19.800259</v>
      </c>
      <c r="D15">
        <v>19.714531000000001</v>
      </c>
      <c r="E15">
        <v>19.71932</v>
      </c>
      <c r="F15">
        <v>33.694428000000002</v>
      </c>
      <c r="G15">
        <v>30.737866</v>
      </c>
      <c r="H15">
        <v>29.361024</v>
      </c>
      <c r="I15">
        <v>24.860247000000001</v>
      </c>
      <c r="J15">
        <v>55.262104999999998</v>
      </c>
      <c r="K15">
        <v>48.521222999999999</v>
      </c>
      <c r="L15">
        <v>22.674226000000001</v>
      </c>
      <c r="M15">
        <v>-622.45755299999996</v>
      </c>
      <c r="N15">
        <v>0.93713299999999999</v>
      </c>
      <c r="O15">
        <v>3.6899389999999999</v>
      </c>
      <c r="P15">
        <f t="shared" si="3"/>
        <v>1.5618883333333334E-5</v>
      </c>
      <c r="Q15" cm="1">
        <f t="array" ref="Q15">[1]!PropsSI("D","T",J15+273.15,"P",101325,"Water")</f>
        <v>985.56596416065133</v>
      </c>
      <c r="R15" cm="1">
        <f t="array" ref="R15">[1]!PropsSI("D","T",K15+273.15,"P",101325,"Water")</f>
        <v>988.69667999420949</v>
      </c>
      <c r="S15">
        <f t="shared" si="4"/>
        <v>987.13132207743047</v>
      </c>
      <c r="T15" cm="1">
        <f t="array" ref="T15">[1]!PropsSI("H","T",J15+273.15,"P",101325,"Water")</f>
        <v>231425.4612129899</v>
      </c>
      <c r="U15" cm="1">
        <f t="array" ref="U15">[1]!PropsSI("H","T",K15+273.15,"P",101325,"Water")</f>
        <v>203235.51955642723</v>
      </c>
      <c r="V15">
        <f t="shared" si="5"/>
        <v>434.6293900864427</v>
      </c>
    </row>
    <row r="16" spans="1:23" x14ac:dyDescent="0.2">
      <c r="A16">
        <v>46122.625233217594</v>
      </c>
      <c r="B16">
        <v>19.863741999999998</v>
      </c>
      <c r="C16">
        <v>19.859995999999999</v>
      </c>
      <c r="D16">
        <v>19.726883000000001</v>
      </c>
      <c r="E16">
        <v>19.756827999999999</v>
      </c>
      <c r="F16">
        <v>33.610208999999998</v>
      </c>
      <c r="G16">
        <v>30.951612000000001</v>
      </c>
      <c r="H16">
        <v>29.309248</v>
      </c>
      <c r="I16">
        <v>24.414762</v>
      </c>
      <c r="J16">
        <v>55.263218000000002</v>
      </c>
      <c r="K16">
        <v>48.520747</v>
      </c>
      <c r="L16">
        <v>25.311236999999998</v>
      </c>
      <c r="M16">
        <v>-622.51142800000002</v>
      </c>
      <c r="N16">
        <v>0.93410499999999996</v>
      </c>
      <c r="O16">
        <v>3.5751490000000001</v>
      </c>
      <c r="P16">
        <f t="shared" si="3"/>
        <v>1.5568416666666665E-5</v>
      </c>
      <c r="Q16" cm="1">
        <f t="array" ref="Q16">[1]!PropsSI("D","T",J16+273.15,"P",101325,"Water")</f>
        <v>985.56542344072443</v>
      </c>
      <c r="R16" cm="1">
        <f t="array" ref="R16">[1]!PropsSI("D","T",K16+273.15,"P",101325,"Water")</f>
        <v>988.69689062982627</v>
      </c>
      <c r="S16">
        <f t="shared" si="4"/>
        <v>987.13115703527535</v>
      </c>
      <c r="T16" cm="1">
        <f t="array" ref="T16">[1]!PropsSI("H","T",J16+273.15,"P",101325,"Water")</f>
        <v>231430.11694999333</v>
      </c>
      <c r="U16" cm="1">
        <f t="array" ref="U16">[1]!PropsSI("H","T",K16+273.15,"P",101325,"Water")</f>
        <v>203233.52942799419</v>
      </c>
      <c r="V16">
        <f t="shared" si="5"/>
        <v>433.3271070400296</v>
      </c>
    </row>
    <row r="17" spans="1:22" x14ac:dyDescent="0.2">
      <c r="A17">
        <v>46122.625291087963</v>
      </c>
      <c r="B17">
        <v>19.855516999999999</v>
      </c>
      <c r="C17">
        <v>19.911529999999999</v>
      </c>
      <c r="D17">
        <v>19.728714</v>
      </c>
      <c r="E17">
        <v>19.781621999999999</v>
      </c>
      <c r="F17">
        <v>33.444806999999997</v>
      </c>
      <c r="G17">
        <v>30.595011</v>
      </c>
      <c r="H17">
        <v>29.292556000000001</v>
      </c>
      <c r="I17">
        <v>24.809632000000001</v>
      </c>
      <c r="J17">
        <v>55.259399999999999</v>
      </c>
      <c r="K17">
        <v>48.515030000000003</v>
      </c>
      <c r="L17">
        <v>24.509644999999999</v>
      </c>
      <c r="M17">
        <v>-622.46653200000003</v>
      </c>
      <c r="N17">
        <v>0.93130999999999997</v>
      </c>
      <c r="O17">
        <v>3.5535969999999999</v>
      </c>
      <c r="P17">
        <f t="shared" si="3"/>
        <v>1.5521833333333334E-5</v>
      </c>
      <c r="Q17" cm="1">
        <f t="array" ref="Q17">[1]!PropsSI("D","T",J17+273.15,"P",101325,"Water")</f>
        <v>985.56727827725126</v>
      </c>
      <c r="R17" cm="1">
        <f t="array" ref="R17">[1]!PropsSI("D","T",K17+273.15,"P",101325,"Water")</f>
        <v>988.69942035166218</v>
      </c>
      <c r="S17">
        <f t="shared" si="4"/>
        <v>987.13334931445672</v>
      </c>
      <c r="T17" cm="1">
        <f t="array" ref="T17">[1]!PropsSI("H","T",J17+273.15,"P",101325,"Water")</f>
        <v>231414.14605913855</v>
      </c>
      <c r="U17" cm="1">
        <f t="array" ref="U17">[1]!PropsSI("H","T",K17+273.15,"P",101325,"Water")</f>
        <v>203209.62698669528</v>
      </c>
      <c r="V17">
        <f t="shared" si="5"/>
        <v>432.15300675573991</v>
      </c>
    </row>
    <row r="18" spans="1:22" x14ac:dyDescent="0.2">
      <c r="A18">
        <v>46122.62534953704</v>
      </c>
      <c r="B18">
        <v>19.848548000000001</v>
      </c>
      <c r="C18">
        <v>19.941779</v>
      </c>
      <c r="D18">
        <v>19.764531000000002</v>
      </c>
      <c r="E18">
        <v>19.817530000000001</v>
      </c>
      <c r="F18">
        <v>33.585999000000001</v>
      </c>
      <c r="G18">
        <v>30.496846000000001</v>
      </c>
      <c r="H18">
        <v>29.270240000000001</v>
      </c>
      <c r="I18">
        <v>24.760887</v>
      </c>
      <c r="J18">
        <v>55.256058000000003</v>
      </c>
      <c r="K18">
        <v>48.512807000000002</v>
      </c>
      <c r="L18">
        <v>22.250982</v>
      </c>
      <c r="M18">
        <v>-622.48979599999996</v>
      </c>
      <c r="N18">
        <v>0.93574000000000002</v>
      </c>
      <c r="O18">
        <v>3.4518580000000001</v>
      </c>
      <c r="P18">
        <f t="shared" si="3"/>
        <v>1.5595666666666667E-5</v>
      </c>
      <c r="Q18" cm="1">
        <f t="array" ref="Q18">[1]!PropsSI("D","T",J18+273.15,"P",101325,"Water")</f>
        <v>985.56890179241054</v>
      </c>
      <c r="R18" cm="1">
        <f t="array" ref="R18">[1]!PropsSI("D","T",K18+273.15,"P",101325,"Water")</f>
        <v>988.70040395053445</v>
      </c>
      <c r="S18">
        <f t="shared" si="4"/>
        <v>987.13465287147255</v>
      </c>
      <c r="T18" cm="1">
        <f t="array" ref="T18">[1]!PropsSI("H","T",J18+273.15,"P",101325,"Water")</f>
        <v>231400.16630522514</v>
      </c>
      <c r="U18" cm="1">
        <f t="array" ref="U18">[1]!PropsSI("H","T",K18+273.15,"P",101325,"Water")</f>
        <v>203200.33275657168</v>
      </c>
      <c r="V18">
        <f t="shared" si="5"/>
        <v>434.13708611432878</v>
      </c>
    </row>
    <row r="19" spans="1:22" x14ac:dyDescent="0.2">
      <c r="A19">
        <v>46122.62540798611</v>
      </c>
      <c r="B19">
        <v>19.889483999999999</v>
      </c>
      <c r="C19">
        <v>19.97401</v>
      </c>
      <c r="D19">
        <v>19.774232000000001</v>
      </c>
      <c r="E19">
        <v>19.834945000000001</v>
      </c>
      <c r="F19">
        <v>33.440734999999997</v>
      </c>
      <c r="G19">
        <v>30.808975</v>
      </c>
      <c r="H19">
        <v>29.170876</v>
      </c>
      <c r="I19">
        <v>24.351596000000001</v>
      </c>
      <c r="J19">
        <v>55.254784999999998</v>
      </c>
      <c r="K19">
        <v>48.511695000000003</v>
      </c>
      <c r="L19">
        <v>20.775137999999998</v>
      </c>
      <c r="M19">
        <v>-622.48775599999999</v>
      </c>
      <c r="N19">
        <v>0.93151899999999999</v>
      </c>
      <c r="O19">
        <v>3.453891</v>
      </c>
      <c r="P19">
        <f t="shared" si="3"/>
        <v>1.5525316666666665E-5</v>
      </c>
      <c r="Q19" cm="1">
        <f t="array" ref="Q19">[1]!PropsSI("D","T",J19+273.15,"P",101325,"Water")</f>
        <v>985.56952018678635</v>
      </c>
      <c r="R19" cm="1">
        <f t="array" ref="R19">[1]!PropsSI("D","T",K19+273.15,"P",101325,"Water")</f>
        <v>988.70089595883178</v>
      </c>
      <c r="S19">
        <f t="shared" si="4"/>
        <v>987.13520807280906</v>
      </c>
      <c r="T19" cm="1">
        <f t="array" ref="T19">[1]!PropsSI("H","T",J19+273.15,"P",101325,"Water")</f>
        <v>231394.84128331355</v>
      </c>
      <c r="U19" cm="1">
        <f t="array" ref="U19">[1]!PropsSI("H","T",K19+273.15,"P",101325,"Water")</f>
        <v>203195.68355146796</v>
      </c>
      <c r="V19">
        <f t="shared" si="5"/>
        <v>432.16863663410084</v>
      </c>
    </row>
    <row r="20" spans="1:22" x14ac:dyDescent="0.2">
      <c r="A20">
        <v>46122.625465856479</v>
      </c>
      <c r="B20">
        <v>19.888891000000001</v>
      </c>
      <c r="C20">
        <v>19.954841999999999</v>
      </c>
      <c r="D20">
        <v>19.756692999999999</v>
      </c>
      <c r="E20">
        <v>19.824480999999999</v>
      </c>
      <c r="F20">
        <v>33.398020000000002</v>
      </c>
      <c r="G20">
        <v>30.801107999999999</v>
      </c>
      <c r="H20">
        <v>29.226690000000001</v>
      </c>
      <c r="I20">
        <v>24.763463999999999</v>
      </c>
      <c r="J20">
        <v>55.251603000000003</v>
      </c>
      <c r="K20">
        <v>48.513125000000002</v>
      </c>
      <c r="L20">
        <v>24.715757</v>
      </c>
      <c r="M20">
        <v>-622.54285500000003</v>
      </c>
      <c r="N20">
        <v>0.93157999999999996</v>
      </c>
      <c r="O20">
        <v>3.5718580000000002</v>
      </c>
      <c r="P20">
        <f t="shared" si="3"/>
        <v>1.5526333333333334E-5</v>
      </c>
      <c r="Q20" cm="1">
        <f t="array" ref="Q20">[1]!PropsSI("D","T",J20+273.15,"P",101325,"Water")</f>
        <v>985.57106588596491</v>
      </c>
      <c r="R20" cm="1">
        <f t="array" ref="R20">[1]!PropsSI("D","T",K20+273.15,"P",101325,"Water")</f>
        <v>988.70026324880814</v>
      </c>
      <c r="S20">
        <f t="shared" si="4"/>
        <v>987.13566456738658</v>
      </c>
      <c r="T20" cm="1">
        <f t="array" ref="T20">[1]!PropsSI("H","T",J20+273.15,"P",101325,"Water")</f>
        <v>231381.53082271054</v>
      </c>
      <c r="U20" cm="1">
        <f t="array" ref="U20">[1]!PropsSI("H","T",K20+273.15,"P",101325,"Water")</f>
        <v>203201.66229547316</v>
      </c>
      <c r="V20">
        <f t="shared" si="5"/>
        <v>431.90149894934837</v>
      </c>
    </row>
    <row r="21" spans="1:22" x14ac:dyDescent="0.2">
      <c r="A21">
        <v>46122.625523726849</v>
      </c>
      <c r="B21">
        <v>19.858554999999999</v>
      </c>
      <c r="C21">
        <v>19.919885000000001</v>
      </c>
      <c r="D21">
        <v>19.770040000000002</v>
      </c>
      <c r="E21">
        <v>19.833324999999999</v>
      </c>
      <c r="F21">
        <v>33.513672999999997</v>
      </c>
      <c r="G21">
        <v>30.751092</v>
      </c>
      <c r="H21">
        <v>29.389341000000002</v>
      </c>
      <c r="I21">
        <v>24.703772000000001</v>
      </c>
      <c r="J21">
        <v>55.246988000000002</v>
      </c>
      <c r="K21">
        <v>48.510584000000001</v>
      </c>
      <c r="L21">
        <v>21.162057000000001</v>
      </c>
      <c r="M21">
        <v>-622.46367499999997</v>
      </c>
      <c r="N21">
        <v>0.93385899999999999</v>
      </c>
      <c r="O21">
        <v>3.7780170000000002</v>
      </c>
      <c r="P21">
        <f t="shared" si="3"/>
        <v>1.5564316666666666E-5</v>
      </c>
      <c r="Q21" cm="1">
        <f t="array" ref="Q21">[1]!PropsSI("D","T",J21+273.15,"P",101325,"Water")</f>
        <v>985.57330757269756</v>
      </c>
      <c r="R21" cm="1">
        <f t="array" ref="R21">[1]!PropsSI("D","T",K21+273.15,"P",101325,"Water")</f>
        <v>988.70138751642526</v>
      </c>
      <c r="S21">
        <f t="shared" si="4"/>
        <v>987.13734754456141</v>
      </c>
      <c r="T21" cm="1">
        <f t="array" ref="T21">[1]!PropsSI("H","T",J21+273.15,"P",101325,"Water")</f>
        <v>231362.22606008835</v>
      </c>
      <c r="U21" cm="1">
        <f t="array" ref="U21">[1]!PropsSI("H","T",K21+273.15,"P",101325,"Water")</f>
        <v>203191.03852767291</v>
      </c>
      <c r="V21">
        <f t="shared" si="5"/>
        <v>432.82545707345054</v>
      </c>
    </row>
    <row r="22" spans="1:22" x14ac:dyDescent="0.2">
      <c r="A22">
        <v>46122.625582175926</v>
      </c>
      <c r="B22">
        <v>19.872012000000002</v>
      </c>
      <c r="C22">
        <v>19.928583</v>
      </c>
      <c r="D22">
        <v>19.736940000000001</v>
      </c>
      <c r="E22">
        <v>19.807459000000001</v>
      </c>
      <c r="F22">
        <v>33.606426999999996</v>
      </c>
      <c r="G22">
        <v>30.500305000000001</v>
      </c>
      <c r="H22">
        <v>29.367529999999999</v>
      </c>
      <c r="I22">
        <v>24.6313</v>
      </c>
      <c r="J22">
        <v>55.242691999999998</v>
      </c>
      <c r="K22">
        <v>48.509472000000002</v>
      </c>
      <c r="L22">
        <v>24.412099000000001</v>
      </c>
      <c r="M22">
        <v>-622.49306200000001</v>
      </c>
      <c r="N22">
        <v>0.93387500000000001</v>
      </c>
      <c r="O22">
        <v>3.4729019999999999</v>
      </c>
      <c r="P22">
        <f t="shared" si="3"/>
        <v>1.5564583333333333E-5</v>
      </c>
      <c r="Q22" cm="1">
        <f t="array" ref="Q22">[1]!PropsSI("D","T",J22+273.15,"P",101325,"Water")</f>
        <v>985.57539419008697</v>
      </c>
      <c r="R22" cm="1">
        <f t="array" ref="R22">[1]!PropsSI("D","T",K22+273.15,"P",101325,"Water")</f>
        <v>988.70187950823981</v>
      </c>
      <c r="S22">
        <f t="shared" si="4"/>
        <v>987.13863684916339</v>
      </c>
      <c r="T22" cm="1">
        <f t="array" ref="T22">[1]!PropsSI("H","T",J22+273.15,"P",101325,"Water")</f>
        <v>231344.25569647358</v>
      </c>
      <c r="U22" cm="1">
        <f t="array" ref="U22">[1]!PropsSI("H","T",K22+273.15,"P",101325,"Water")</f>
        <v>203186.38932324239</v>
      </c>
      <c r="V22">
        <f t="shared" si="5"/>
        <v>432.62876644765254</v>
      </c>
    </row>
    <row r="23" spans="1:22" x14ac:dyDescent="0.2">
      <c r="A23">
        <v>46122.625640625003</v>
      </c>
      <c r="B23">
        <v>19.931615000000001</v>
      </c>
      <c r="C23">
        <v>19.957028999999999</v>
      </c>
      <c r="D23">
        <v>19.776062</v>
      </c>
      <c r="E23">
        <v>19.820209999999999</v>
      </c>
      <c r="F23">
        <v>33.679474999999996</v>
      </c>
      <c r="G23">
        <v>30.995757000000001</v>
      </c>
      <c r="H23">
        <v>29.468076</v>
      </c>
      <c r="I23">
        <v>24.590354999999999</v>
      </c>
      <c r="J23">
        <v>55.237918999999998</v>
      </c>
      <c r="K23">
        <v>48.505184999999997</v>
      </c>
      <c r="L23">
        <v>20.816768</v>
      </c>
      <c r="M23">
        <v>-622.46000200000003</v>
      </c>
      <c r="N23">
        <v>0.93276899999999996</v>
      </c>
      <c r="O23">
        <v>3.5808040000000001</v>
      </c>
      <c r="P23">
        <f t="shared" si="3"/>
        <v>1.554615E-5</v>
      </c>
      <c r="Q23" cm="1">
        <f t="array" ref="Q23">[1]!PropsSI("D","T",J23+273.15,"P",101325,"Water")</f>
        <v>985.57771235791358</v>
      </c>
      <c r="R23" cm="1">
        <f t="array" ref="R23">[1]!PropsSI("D","T",K23+273.15,"P",101325,"Water")</f>
        <v>988.70377616553617</v>
      </c>
      <c r="S23">
        <f t="shared" si="4"/>
        <v>987.14074426172488</v>
      </c>
      <c r="T23" cm="1">
        <f t="array" ref="T23">[1]!PropsSI("H","T",J23+273.15,"P",101325,"Water")</f>
        <v>231324.2900280577</v>
      </c>
      <c r="U23" cm="1">
        <f t="array" ref="U23">[1]!PropsSI("H","T",K23+273.15,"P",101325,"Water")</f>
        <v>203168.46563967856</v>
      </c>
      <c r="V23">
        <f t="shared" si="5"/>
        <v>432.0859844422792</v>
      </c>
    </row>
    <row r="24" spans="1:22" x14ac:dyDescent="0.2">
      <c r="A24">
        <v>46122.625698495372</v>
      </c>
      <c r="B24">
        <v>19.955081</v>
      </c>
      <c r="C24">
        <v>20.000038</v>
      </c>
      <c r="D24">
        <v>19.774249000000001</v>
      </c>
      <c r="E24">
        <v>19.830825999999998</v>
      </c>
      <c r="F24">
        <v>33.649619000000001</v>
      </c>
      <c r="G24">
        <v>30.736539</v>
      </c>
      <c r="H24">
        <v>29.292351</v>
      </c>
      <c r="I24">
        <v>24.505192999999998</v>
      </c>
      <c r="J24">
        <v>55.238714000000002</v>
      </c>
      <c r="K24">
        <v>48.494863000000002</v>
      </c>
      <c r="L24">
        <v>23.161957000000001</v>
      </c>
      <c r="M24">
        <v>-622.49469399999998</v>
      </c>
      <c r="N24">
        <v>0.93266199999999999</v>
      </c>
      <c r="O24">
        <v>3.397227</v>
      </c>
      <c r="P24">
        <f t="shared" si="3"/>
        <v>1.5544366666666666E-5</v>
      </c>
      <c r="Q24" cm="1">
        <f t="array" ref="Q24">[1]!PropsSI("D","T",J24+273.15,"P",101325,"Water")</f>
        <v>985.57732624927087</v>
      </c>
      <c r="R24" cm="1">
        <f t="array" ref="R24">[1]!PropsSI("D","T",K24+273.15,"P",101325,"Water")</f>
        <v>988.70834232816901</v>
      </c>
      <c r="S24">
        <f t="shared" si="4"/>
        <v>987.14283428872</v>
      </c>
      <c r="T24" cm="1">
        <f t="array" ref="T24">[1]!PropsSI("H","T",J24+273.15,"P",101325,"Water")</f>
        <v>231327.61554734994</v>
      </c>
      <c r="U24" cm="1">
        <f t="array" ref="U24">[1]!PropsSI("H","T",K24+273.15,"P",101325,"Water")</f>
        <v>203125.31001138623</v>
      </c>
      <c r="V24">
        <f t="shared" si="5"/>
        <v>432.75056407333057</v>
      </c>
    </row>
    <row r="25" spans="1:22" x14ac:dyDescent="0.2">
      <c r="A25">
        <v>46122.625756944442</v>
      </c>
      <c r="B25">
        <v>19.998849</v>
      </c>
      <c r="C25">
        <v>20.001868000000002</v>
      </c>
      <c r="D25">
        <v>19.773060999999998</v>
      </c>
      <c r="E25">
        <v>19.832636999999998</v>
      </c>
      <c r="F25">
        <v>33.504840000000002</v>
      </c>
      <c r="G25">
        <v>31.094404000000001</v>
      </c>
      <c r="H25">
        <v>29.527894</v>
      </c>
      <c r="I25">
        <v>24.551686</v>
      </c>
      <c r="J25">
        <v>55.237122999999997</v>
      </c>
      <c r="K25">
        <v>48.492004999999999</v>
      </c>
      <c r="L25">
        <v>23.039922000000001</v>
      </c>
      <c r="M25">
        <v>-622.46775700000001</v>
      </c>
      <c r="N25">
        <v>0.93550999999999995</v>
      </c>
      <c r="O25">
        <v>3.9927290000000002</v>
      </c>
      <c r="P25">
        <f t="shared" si="3"/>
        <v>1.5591833333333332E-5</v>
      </c>
      <c r="Q25" cm="1">
        <f t="array" ref="Q25">[1]!PropsSI("D","T",J25+273.15,"P",101325,"Water")</f>
        <v>985.57809894835634</v>
      </c>
      <c r="R25" cm="1">
        <f t="array" ref="R25">[1]!PropsSI("D","T",K25+273.15,"P",101325,"Water")</f>
        <v>988.70960650126256</v>
      </c>
      <c r="S25">
        <f t="shared" si="4"/>
        <v>987.14385272480945</v>
      </c>
      <c r="T25" cm="1">
        <f t="array" ref="T25">[1]!PropsSI("H","T",J25+273.15,"P",101325,"Water")</f>
        <v>231320.96032593551</v>
      </c>
      <c r="U25" cm="1">
        <f t="array" ref="U25">[1]!PropsSI("H","T",K25+273.15,"P",101325,"Water")</f>
        <v>203113.36089926938</v>
      </c>
      <c r="V25">
        <f t="shared" si="5"/>
        <v>434.15395014346535</v>
      </c>
    </row>
    <row r="26" spans="1:22" x14ac:dyDescent="0.2">
      <c r="A26">
        <v>46122.625814814812</v>
      </c>
      <c r="B26">
        <v>19.958356999999999</v>
      </c>
      <c r="C26">
        <v>20.047177000000001</v>
      </c>
      <c r="D26">
        <v>19.796537000000001</v>
      </c>
      <c r="E26">
        <v>19.894480000000001</v>
      </c>
      <c r="F26">
        <v>33.669322000000001</v>
      </c>
      <c r="G26">
        <v>31.188493999999999</v>
      </c>
      <c r="H26">
        <v>29.263583000000001</v>
      </c>
      <c r="I26">
        <v>24.659935999999998</v>
      </c>
      <c r="J26">
        <v>55.236167999999999</v>
      </c>
      <c r="K26">
        <v>48.494228</v>
      </c>
      <c r="L26">
        <v>23.118694000000001</v>
      </c>
      <c r="M26">
        <v>-622.52897800000005</v>
      </c>
      <c r="N26">
        <v>0.93135100000000004</v>
      </c>
      <c r="O26">
        <v>3.7358530000000001</v>
      </c>
      <c r="P26">
        <f t="shared" si="3"/>
        <v>1.5522516666666669E-5</v>
      </c>
      <c r="Q26" cm="1">
        <f t="array" ref="Q26">[1]!PropsSI("D","T",J26+273.15,"P",101325,"Water")</f>
        <v>985.57856275453662</v>
      </c>
      <c r="R26" cm="1">
        <f t="array" ref="R26">[1]!PropsSI("D","T",K26+273.15,"P",101325,"Water")</f>
        <v>988.70862321107518</v>
      </c>
      <c r="S26">
        <f t="shared" si="4"/>
        <v>987.1435929828059</v>
      </c>
      <c r="T26" cm="1">
        <f t="array" ref="T26">[1]!PropsSI("H","T",J26+273.15,"P",101325,"Water")</f>
        <v>231316.96552034107</v>
      </c>
      <c r="U26" cm="1">
        <f t="array" ref="U26">[1]!PropsSI("H","T",K26+273.15,"P",101325,"Water")</f>
        <v>203122.65511755817</v>
      </c>
      <c r="V26">
        <f t="shared" si="5"/>
        <v>432.02008962998843</v>
      </c>
    </row>
    <row r="27" spans="1:22" x14ac:dyDescent="0.2">
      <c r="A27">
        <v>46122.625873263889</v>
      </c>
      <c r="B27">
        <v>19.974281999999999</v>
      </c>
      <c r="C27">
        <v>20.094783</v>
      </c>
      <c r="D27">
        <v>19.799092000000002</v>
      </c>
      <c r="E27">
        <v>19.889883999999999</v>
      </c>
      <c r="F27">
        <v>33.674531999999999</v>
      </c>
      <c r="G27">
        <v>30.834506999999999</v>
      </c>
      <c r="H27">
        <v>29.354897000000001</v>
      </c>
      <c r="I27">
        <v>24.366803000000001</v>
      </c>
      <c r="J27">
        <v>55.232985999999997</v>
      </c>
      <c r="K27">
        <v>48.492958000000002</v>
      </c>
      <c r="L27">
        <v>22.043645999999999</v>
      </c>
      <c r="M27">
        <v>-622.480817</v>
      </c>
      <c r="N27">
        <v>0.93267500000000003</v>
      </c>
      <c r="O27">
        <v>3.878333</v>
      </c>
      <c r="P27">
        <f t="shared" si="3"/>
        <v>1.5544583333333334E-5</v>
      </c>
      <c r="Q27" cm="1">
        <f t="array" ref="Q27">[1]!PropsSI("D","T",J27+273.15,"P",101325,"Water")</f>
        <v>985.58010808689494</v>
      </c>
      <c r="R27" cm="1">
        <f t="array" ref="R27">[1]!PropsSI("D","T",K27+273.15,"P",101325,"Water")</f>
        <v>988.70918496885474</v>
      </c>
      <c r="S27">
        <f t="shared" si="4"/>
        <v>987.14464652787478</v>
      </c>
      <c r="T27" cm="1">
        <f t="array" ref="T27">[1]!PropsSI("H","T",J27+273.15,"P",101325,"Water")</f>
        <v>231303.65508138447</v>
      </c>
      <c r="U27" cm="1">
        <f t="array" ref="U27">[1]!PropsSI("H","T",K27+273.15,"P",101325,"Water")</f>
        <v>203117.34533004314</v>
      </c>
      <c r="V27">
        <f t="shared" si="5"/>
        <v>432.51193913068357</v>
      </c>
    </row>
    <row r="28" spans="1:22" x14ac:dyDescent="0.2">
      <c r="A28">
        <v>46122.625931134258</v>
      </c>
      <c r="B28">
        <v>20.018232000000001</v>
      </c>
      <c r="C28">
        <v>20.083324999999999</v>
      </c>
      <c r="D28">
        <v>19.794833000000001</v>
      </c>
      <c r="E28">
        <v>19.877396000000001</v>
      </c>
      <c r="F28">
        <v>33.665847999999997</v>
      </c>
      <c r="G28">
        <v>30.800937999999999</v>
      </c>
      <c r="H28">
        <v>29.523959999999999</v>
      </c>
      <c r="I28">
        <v>24.592690999999999</v>
      </c>
      <c r="J28">
        <v>55.233941000000002</v>
      </c>
      <c r="K28">
        <v>48.489623000000002</v>
      </c>
      <c r="L28">
        <v>22.759528</v>
      </c>
      <c r="M28">
        <v>-622.53428399999996</v>
      </c>
      <c r="N28">
        <v>0.93152299999999999</v>
      </c>
      <c r="O28">
        <v>3.2035849999999999</v>
      </c>
      <c r="P28">
        <f t="shared" si="3"/>
        <v>1.5525383333333332E-5</v>
      </c>
      <c r="Q28" cm="1">
        <f t="array" ref="Q28">[1]!PropsSI("D","T",J28+273.15,"P",101325,"Water")</f>
        <v>985.57964429950493</v>
      </c>
      <c r="R28" cm="1">
        <f t="array" ref="R28">[1]!PropsSI("D","T",K28+273.15,"P",101325,"Water")</f>
        <v>988.71066008463424</v>
      </c>
      <c r="S28">
        <f t="shared" si="4"/>
        <v>987.14515219206965</v>
      </c>
      <c r="T28" cm="1">
        <f t="array" ref="T28">[1]!PropsSI("H","T",J28+273.15,"P",101325,"Water")</f>
        <v>231307.64988589086</v>
      </c>
      <c r="U28" cm="1">
        <f t="array" ref="U28">[1]!PropsSI("H","T",K28+273.15,"P",101325,"Water")</f>
        <v>203103.40191382793</v>
      </c>
      <c r="V28">
        <f t="shared" si="5"/>
        <v>432.25285799406936</v>
      </c>
    </row>
    <row r="29" spans="1:22" x14ac:dyDescent="0.2">
      <c r="A29">
        <v>46122.625989004628</v>
      </c>
      <c r="B29">
        <v>20.038917000000001</v>
      </c>
      <c r="C29">
        <v>20.084097</v>
      </c>
      <c r="D29">
        <v>19.814181000000001</v>
      </c>
      <c r="E29">
        <v>19.891030000000001</v>
      </c>
      <c r="F29">
        <v>33.934981999999998</v>
      </c>
      <c r="G29">
        <v>31.300311000000001</v>
      </c>
      <c r="H29">
        <v>29.737524000000001</v>
      </c>
      <c r="I29">
        <v>24.359677999999999</v>
      </c>
      <c r="J29">
        <v>55.231236000000003</v>
      </c>
      <c r="K29">
        <v>48.494703999999999</v>
      </c>
      <c r="L29">
        <v>21.830186999999999</v>
      </c>
      <c r="M29">
        <v>-622.48530700000003</v>
      </c>
      <c r="N29">
        <v>0.93133500000000002</v>
      </c>
      <c r="O29">
        <v>3.7253690000000002</v>
      </c>
      <c r="P29">
        <f t="shared" si="3"/>
        <v>1.5522250000000002E-5</v>
      </c>
      <c r="Q29" cm="1">
        <f t="array" ref="Q29">[1]!PropsSI("D","T",J29+273.15,"P",101325,"Water")</f>
        <v>985.58095794439032</v>
      </c>
      <c r="R29" cm="1">
        <f t="array" ref="R29">[1]!PropsSI("D","T",K29+273.15,"P",101325,"Water")</f>
        <v>988.70841265971558</v>
      </c>
      <c r="S29">
        <f t="shared" si="4"/>
        <v>987.14468530205295</v>
      </c>
      <c r="T29" cm="1">
        <f t="array" ref="T29">[1]!PropsSI("H","T",J29+273.15,"P",101325,"Water")</f>
        <v>231296.33475984016</v>
      </c>
      <c r="U29" cm="1">
        <f t="array" ref="U29">[1]!PropsSI("H","T",K29+273.15,"P",101325,"Water")</f>
        <v>203124.64524270632</v>
      </c>
      <c r="V29">
        <f t="shared" si="5"/>
        <v>431.66653265590031</v>
      </c>
    </row>
    <row r="30" spans="1:22" x14ac:dyDescent="0.2">
      <c r="A30">
        <v>46122.626047453705</v>
      </c>
      <c r="B30">
        <v>20.014213999999999</v>
      </c>
      <c r="C30">
        <v>20.010835</v>
      </c>
      <c r="D30">
        <v>19.777381999999999</v>
      </c>
      <c r="E30">
        <v>19.858516000000002</v>
      </c>
      <c r="F30">
        <v>33.707037</v>
      </c>
      <c r="G30">
        <v>30.468436000000001</v>
      </c>
      <c r="H30">
        <v>29.151140999999999</v>
      </c>
      <c r="I30">
        <v>24.471129999999999</v>
      </c>
      <c r="J30">
        <v>55.233303999999997</v>
      </c>
      <c r="K30">
        <v>48.497880000000002</v>
      </c>
      <c r="L30">
        <v>23.550101000000002</v>
      </c>
      <c r="M30">
        <v>-622.525713</v>
      </c>
      <c r="N30">
        <v>0.93114200000000003</v>
      </c>
      <c r="O30">
        <v>3.2856649999999998</v>
      </c>
      <c r="P30">
        <f t="shared" si="3"/>
        <v>1.5519033333333335E-5</v>
      </c>
      <c r="Q30" cm="1">
        <f t="array" ref="Q30">[1]!PropsSI("D","T",J30+273.15,"P",101325,"Water")</f>
        <v>985.57995365360784</v>
      </c>
      <c r="R30" cm="1">
        <f t="array" ref="R30">[1]!PropsSI("D","T",K30+273.15,"P",101325,"Water")</f>
        <v>988.70700776574347</v>
      </c>
      <c r="S30">
        <f t="shared" si="4"/>
        <v>987.14348070967571</v>
      </c>
      <c r="T30" cm="1">
        <f t="array" ref="T30">[1]!PropsSI("H","T",J30+273.15,"P",101325,"Water")</f>
        <v>231304.98528853411</v>
      </c>
      <c r="U30" cm="1">
        <f t="array" ref="U30">[1]!PropsSI("H","T",K30+273.15,"P",101325,"Water")</f>
        <v>203137.92389447187</v>
      </c>
      <c r="V30">
        <f t="shared" si="5"/>
        <v>431.50565142194114</v>
      </c>
    </row>
    <row r="31" spans="1:22" x14ac:dyDescent="0.2">
      <c r="A31">
        <v>46122.626105324074</v>
      </c>
      <c r="B31">
        <v>20.017973000000001</v>
      </c>
      <c r="C31">
        <v>20.022226</v>
      </c>
      <c r="D31">
        <v>19.776696999999999</v>
      </c>
      <c r="E31">
        <v>19.862665</v>
      </c>
      <c r="F31">
        <v>33.738078999999999</v>
      </c>
      <c r="G31">
        <v>30.378419999999998</v>
      </c>
      <c r="H31">
        <v>29.112794000000001</v>
      </c>
      <c r="I31">
        <v>24.719964999999998</v>
      </c>
      <c r="J31">
        <v>55.243965000000003</v>
      </c>
      <c r="K31">
        <v>48.492322000000001</v>
      </c>
      <c r="L31">
        <v>24.107216000000001</v>
      </c>
      <c r="M31">
        <v>-622.46979699999997</v>
      </c>
      <c r="N31">
        <v>0.93013400000000002</v>
      </c>
      <c r="O31">
        <v>3.0820850000000002</v>
      </c>
      <c r="P31">
        <f t="shared" si="3"/>
        <v>1.5502233333333332E-5</v>
      </c>
      <c r="Q31" cm="1">
        <f t="array" ref="Q31">[1]!PropsSI("D","T",J31+273.15,"P",101325,"Water")</f>
        <v>985.57477589101302</v>
      </c>
      <c r="R31" cm="1">
        <f t="array" ref="R31">[1]!PropsSI("D","T",K31+273.15,"P",101325,"Water")</f>
        <v>988.7094662860402</v>
      </c>
      <c r="S31">
        <f t="shared" si="4"/>
        <v>987.14212108852666</v>
      </c>
      <c r="T31" cm="1">
        <f t="array" ref="T31">[1]!PropsSI("H","T",J31+273.15,"P",101325,"Water")</f>
        <v>231349.58071274904</v>
      </c>
      <c r="U31" cm="1">
        <f t="array" ref="U31">[1]!PropsSI("H","T",K31+273.15,"P",101325,"Water")</f>
        <v>203114.68625554335</v>
      </c>
      <c r="V31">
        <f t="shared" si="5"/>
        <v>432.07597798926281</v>
      </c>
    </row>
    <row r="32" spans="1:22" x14ac:dyDescent="0.2">
      <c r="A32">
        <v>46122.626163194444</v>
      </c>
      <c r="B32">
        <v>19.972584999999999</v>
      </c>
      <c r="C32">
        <v>19.982790999999999</v>
      </c>
      <c r="D32">
        <v>19.773026999999999</v>
      </c>
      <c r="E32">
        <v>19.834441999999999</v>
      </c>
      <c r="F32">
        <v>33.766660999999999</v>
      </c>
      <c r="G32">
        <v>30.980022999999999</v>
      </c>
      <c r="H32">
        <v>29.511883000000001</v>
      </c>
      <c r="I32">
        <v>24.455521999999998</v>
      </c>
      <c r="J32">
        <v>55.237440999999997</v>
      </c>
      <c r="K32">
        <v>48.491686999999999</v>
      </c>
      <c r="L32">
        <v>21.902837000000002</v>
      </c>
      <c r="M32">
        <v>-622.48612300000002</v>
      </c>
      <c r="N32">
        <v>0.93528900000000004</v>
      </c>
      <c r="O32">
        <v>3.2762229999999999</v>
      </c>
      <c r="P32">
        <f t="shared" si="3"/>
        <v>1.5588150000000001E-5</v>
      </c>
      <c r="Q32" cm="1">
        <f t="array" ref="Q32">[1]!PropsSI("D","T",J32+273.15,"P",101325,"Water")</f>
        <v>985.57794450691745</v>
      </c>
      <c r="R32" cm="1">
        <f t="array" ref="R32">[1]!PropsSI("D","T",K32+273.15,"P",101325,"Water")</f>
        <v>988.70974715817022</v>
      </c>
      <c r="S32">
        <f t="shared" si="4"/>
        <v>987.14384583254378</v>
      </c>
      <c r="T32" cm="1">
        <f t="array" ref="T32">[1]!PropsSI("H","T",J32+273.15,"P",101325,"Water")</f>
        <v>231322.2905335605</v>
      </c>
      <c r="U32" cm="1">
        <f t="array" ref="U32">[1]!PropsSI("H","T",K32+273.15,"P",101325,"Water")</f>
        <v>203112.03136207396</v>
      </c>
      <c r="V32">
        <f t="shared" si="5"/>
        <v>434.09231232818854</v>
      </c>
    </row>
    <row r="33" spans="1:22" x14ac:dyDescent="0.2">
      <c r="A33">
        <v>46122.626221064813</v>
      </c>
      <c r="B33">
        <v>19.978394000000002</v>
      </c>
      <c r="C33">
        <v>19.970901999999999</v>
      </c>
      <c r="D33">
        <v>19.76323</v>
      </c>
      <c r="E33">
        <v>19.829111999999999</v>
      </c>
      <c r="F33">
        <v>33.723357</v>
      </c>
      <c r="G33">
        <v>30.970866999999998</v>
      </c>
      <c r="H33">
        <v>29.229693000000001</v>
      </c>
      <c r="I33">
        <v>24.613789000000001</v>
      </c>
      <c r="J33">
        <v>55.237758999999997</v>
      </c>
      <c r="K33">
        <v>48.490893</v>
      </c>
      <c r="L33">
        <v>25.087575000000001</v>
      </c>
      <c r="M33">
        <v>-622.52408000000003</v>
      </c>
      <c r="N33">
        <v>0.93280600000000002</v>
      </c>
      <c r="O33">
        <v>3.592241</v>
      </c>
      <c r="P33">
        <f t="shared" si="3"/>
        <v>1.5546766666666668E-5</v>
      </c>
      <c r="Q33" cm="1">
        <f t="array" ref="Q33">[1]!PropsSI("D","T",J33+273.15,"P",101325,"Water")</f>
        <v>985.57779006485089</v>
      </c>
      <c r="R33" cm="1">
        <f t="array" ref="R33">[1]!PropsSI("D","T",K33+273.15,"P",101325,"Water")</f>
        <v>988.71009835515008</v>
      </c>
      <c r="S33">
        <f t="shared" si="4"/>
        <v>987.14394421000043</v>
      </c>
      <c r="T33" cm="1">
        <f t="array" ref="T33">[1]!PropsSI("H","T",J33+273.15,"P",101325,"Water")</f>
        <v>231323.62074120226</v>
      </c>
      <c r="U33" cm="1">
        <f t="array" ref="U33">[1]!PropsSI("H","T",K33+273.15,"P",101325,"Water")</f>
        <v>203108.71170015066</v>
      </c>
      <c r="V33">
        <f t="shared" si="5"/>
        <v>433.0112907016271</v>
      </c>
    </row>
    <row r="34" spans="1:22" x14ac:dyDescent="0.2">
      <c r="A34">
        <v>46122.62627951389</v>
      </c>
      <c r="B34">
        <v>19.998176000000001</v>
      </c>
      <c r="C34">
        <v>19.999110999999999</v>
      </c>
      <c r="D34">
        <v>19.790970000000002</v>
      </c>
      <c r="E34">
        <v>19.878399000000002</v>
      </c>
      <c r="F34">
        <v>33.538849999999996</v>
      </c>
      <c r="G34">
        <v>31.093294</v>
      </c>
      <c r="H34">
        <v>29.325226000000001</v>
      </c>
      <c r="I34">
        <v>24.661365</v>
      </c>
      <c r="J34">
        <v>55.238714000000002</v>
      </c>
      <c r="K34">
        <v>48.492480999999998</v>
      </c>
      <c r="L34">
        <v>23.291338</v>
      </c>
      <c r="M34">
        <v>-622.44694100000004</v>
      </c>
      <c r="N34">
        <v>0.93364999999999998</v>
      </c>
      <c r="O34">
        <v>3.4169749999999999</v>
      </c>
      <c r="P34">
        <f t="shared" si="3"/>
        <v>1.5560833333333332E-5</v>
      </c>
      <c r="Q34" cm="1">
        <f t="array" ref="Q34">[1]!PropsSI("D","T",J34+273.15,"P",101325,"Water")</f>
        <v>985.57732624927087</v>
      </c>
      <c r="R34" cm="1">
        <f t="array" ref="R34">[1]!PropsSI("D","T",K34+273.15,"P",101325,"Water")</f>
        <v>988.70939595698133</v>
      </c>
      <c r="S34">
        <f t="shared" si="4"/>
        <v>987.14336110312615</v>
      </c>
      <c r="T34" cm="1">
        <f t="array" ref="T34">[1]!PropsSI("H","T",J34+273.15,"P",101325,"Water")</f>
        <v>231327.61554734994</v>
      </c>
      <c r="U34" cm="1">
        <f t="array" ref="U34">[1]!PropsSI("H","T",K34+273.15,"P",101325,"Water")</f>
        <v>203115.35102419608</v>
      </c>
      <c r="V34">
        <f t="shared" si="5"/>
        <v>433.36220013417153</v>
      </c>
    </row>
    <row r="35" spans="1:22" x14ac:dyDescent="0.2">
      <c r="A35">
        <v>46122.626337384259</v>
      </c>
      <c r="B35">
        <v>20.008012000000001</v>
      </c>
      <c r="C35">
        <v>20.025818000000001</v>
      </c>
      <c r="D35">
        <v>19.818601999999998</v>
      </c>
      <c r="E35">
        <v>19.897243</v>
      </c>
      <c r="F35">
        <v>33.686995000000003</v>
      </c>
      <c r="G35">
        <v>30.860029000000001</v>
      </c>
      <c r="H35">
        <v>29.590229999999998</v>
      </c>
      <c r="I35">
        <v>24.166201000000001</v>
      </c>
      <c r="J35">
        <v>55.238714000000002</v>
      </c>
      <c r="K35">
        <v>48.492640000000002</v>
      </c>
      <c r="L35">
        <v>23.568466999999998</v>
      </c>
      <c r="M35">
        <v>-622.49918400000001</v>
      </c>
      <c r="N35">
        <v>0.93277699999999997</v>
      </c>
      <c r="O35">
        <v>3.6460460000000001</v>
      </c>
      <c r="P35">
        <f t="shared" si="3"/>
        <v>1.5546283333333334E-5</v>
      </c>
      <c r="Q35" cm="1">
        <f t="array" ref="Q35">[1]!PropsSI("D","T",J35+273.15,"P",101325,"Water")</f>
        <v>985.57732624927087</v>
      </c>
      <c r="R35" cm="1">
        <f t="array" ref="R35">[1]!PropsSI("D","T",K35+273.15,"P",101325,"Water")</f>
        <v>988.70932562777045</v>
      </c>
      <c r="S35">
        <f t="shared" si="4"/>
        <v>987.14332593852066</v>
      </c>
      <c r="T35" cm="1">
        <f t="array" ref="T35">[1]!PropsSI("H","T",J35+273.15,"P",101325,"Water")</f>
        <v>231327.61554734994</v>
      </c>
      <c r="U35" cm="1">
        <f t="array" ref="U35">[1]!PropsSI("H","T",K35+273.15,"P",101325,"Water")</f>
        <v>203116.01579283187</v>
      </c>
      <c r="V35">
        <f t="shared" si="5"/>
        <v>432.94677195213637</v>
      </c>
    </row>
    <row r="36" spans="1:22" x14ac:dyDescent="0.2">
      <c r="A36">
        <v>46122.626395254629</v>
      </c>
      <c r="B36">
        <v>20.068663999999998</v>
      </c>
      <c r="C36">
        <v>20.125205000000001</v>
      </c>
      <c r="D36">
        <v>19.837174000000001</v>
      </c>
      <c r="E36">
        <v>19.928491999999999</v>
      </c>
      <c r="F36">
        <v>33.789821000000003</v>
      </c>
      <c r="G36">
        <v>30.720587999999999</v>
      </c>
      <c r="H36">
        <v>29.664625999999998</v>
      </c>
      <c r="I36">
        <v>24.625526000000001</v>
      </c>
      <c r="J36">
        <v>55.236486999999997</v>
      </c>
      <c r="K36">
        <v>48.492798999999998</v>
      </c>
      <c r="L36">
        <v>24.168029000000001</v>
      </c>
      <c r="M36">
        <v>-622.53550800000005</v>
      </c>
      <c r="N36">
        <v>0.93074000000000001</v>
      </c>
      <c r="O36">
        <v>3.9163290000000002</v>
      </c>
      <c r="P36">
        <f t="shared" si="3"/>
        <v>1.5512333333333334E-5</v>
      </c>
      <c r="Q36" cm="1">
        <f t="array" ref="Q36">[1]!PropsSI("D","T",J36+273.15,"P",101325,"Water")</f>
        <v>985.57840782932465</v>
      </c>
      <c r="R36" cm="1">
        <f t="array" ref="R36">[1]!PropsSI("D","T",K36+273.15,"P",101325,"Water")</f>
        <v>988.70925529840974</v>
      </c>
      <c r="S36">
        <f t="shared" si="4"/>
        <v>987.14383156386725</v>
      </c>
      <c r="T36" cm="1">
        <f t="array" ref="T36">[1]!PropsSI("H","T",J36+273.15,"P",101325,"Water")</f>
        <v>231318.29991087434</v>
      </c>
      <c r="U36" cm="1">
        <f t="array" ref="U36">[1]!PropsSI("H","T",K36+273.15,"P",101325,"Water")</f>
        <v>203116.68056139137</v>
      </c>
      <c r="V36">
        <f t="shared" si="5"/>
        <v>431.8486943446236</v>
      </c>
    </row>
    <row r="37" spans="1:22" x14ac:dyDescent="0.2">
      <c r="A37">
        <v>46122.626453124998</v>
      </c>
      <c r="B37">
        <v>20.117148</v>
      </c>
      <c r="C37">
        <v>20.126142000000002</v>
      </c>
      <c r="D37">
        <v>19.852274999999999</v>
      </c>
      <c r="E37">
        <v>19.929189999999998</v>
      </c>
      <c r="F37">
        <v>33.701949999999997</v>
      </c>
      <c r="G37">
        <v>31.229727</v>
      </c>
      <c r="H37">
        <v>29.207203</v>
      </c>
      <c r="I37">
        <v>24.691036</v>
      </c>
      <c r="J37">
        <v>55.234259000000002</v>
      </c>
      <c r="K37">
        <v>48.495815999999998</v>
      </c>
      <c r="L37">
        <v>24.314143999999999</v>
      </c>
      <c r="M37">
        <v>-622.50775499999997</v>
      </c>
      <c r="N37">
        <v>0.93182200000000004</v>
      </c>
      <c r="O37">
        <v>3.2240950000000002</v>
      </c>
      <c r="P37">
        <f t="shared" si="3"/>
        <v>1.5530366666666666E-5</v>
      </c>
      <c r="Q37" cm="1">
        <f t="array" ref="Q37">[1]!PropsSI("D","T",J37+273.15,"P",101325,"Water")</f>
        <v>985.57948986435679</v>
      </c>
      <c r="R37" cm="1">
        <f t="array" ref="R37">[1]!PropsSI("D","T",K37+273.15,"P",101325,"Water")</f>
        <v>988.70792077754697</v>
      </c>
      <c r="S37">
        <f t="shared" si="4"/>
        <v>987.14370532095188</v>
      </c>
      <c r="T37" cm="1">
        <f t="array" ref="T37">[1]!PropsSI("H","T",J37+273.15,"P",101325,"Water")</f>
        <v>231308.98009313847</v>
      </c>
      <c r="U37" cm="1">
        <f t="array" ref="U37">[1]!PropsSI("H","T",K37+273.15,"P",101325,"Water")</f>
        <v>203129.29444288145</v>
      </c>
      <c r="V37">
        <f t="shared" si="5"/>
        <v>432.01441095970932</v>
      </c>
    </row>
    <row r="38" spans="1:22" x14ac:dyDescent="0.2">
      <c r="A38">
        <v>44660.626510995498</v>
      </c>
      <c r="B38">
        <v>20.085623999999999</v>
      </c>
      <c r="C38">
        <v>20.088846</v>
      </c>
      <c r="D38">
        <v>19.827753000000001</v>
      </c>
      <c r="E38">
        <v>19.903082000000001</v>
      </c>
      <c r="F38">
        <v>33.727406000000002</v>
      </c>
      <c r="G38">
        <v>30.648225</v>
      </c>
      <c r="H38">
        <v>29.286283000000001</v>
      </c>
      <c r="I38">
        <v>24.803336000000002</v>
      </c>
      <c r="J38">
        <v>55.237282</v>
      </c>
      <c r="K38">
        <v>48.495181000000002</v>
      </c>
      <c r="L38">
        <v>23.061146000000001</v>
      </c>
      <c r="M38">
        <v>-622.46245099999999</v>
      </c>
      <c r="N38">
        <v>0.93428900000000004</v>
      </c>
      <c r="O38">
        <v>3.4959030000000002</v>
      </c>
      <c r="P38">
        <f t="shared" si="3"/>
        <v>1.5571483333333335E-5</v>
      </c>
      <c r="Q38" cm="1">
        <f t="array" ref="Q38">[1]!PropsSI("D","T",J38+273.15,"P",101325,"Water")</f>
        <v>985.57802172769982</v>
      </c>
      <c r="R38" cm="1">
        <f t="array" ref="R38">[1]!PropsSI("D","T",K38+273.15,"P",101325,"Water")</f>
        <v>988.70820166452177</v>
      </c>
      <c r="S38">
        <f t="shared" si="4"/>
        <v>987.14311169611074</v>
      </c>
      <c r="T38" cm="1">
        <f t="array" ref="T38">[1]!PropsSI("H","T",J38+273.15,"P",101325,"Water")</f>
        <v>231321.62542976523</v>
      </c>
      <c r="U38" cm="1">
        <f t="array" ref="U38">[1]!PropsSI("H","T",K38+273.15,"P",101325,"Water")</f>
        <v>203126.63954886526</v>
      </c>
      <c r="V38">
        <f t="shared" si="5"/>
        <v>433.3930933799881</v>
      </c>
    </row>
    <row r="39" spans="1:22" x14ac:dyDescent="0.2">
      <c r="A39">
        <v>44660.626569444597</v>
      </c>
      <c r="B39">
        <v>20.187384000000002</v>
      </c>
      <c r="C39">
        <v>20.209489999999999</v>
      </c>
      <c r="D39">
        <v>19.854583999999999</v>
      </c>
      <c r="E39">
        <v>19.970079999999999</v>
      </c>
      <c r="F39">
        <v>33.695594999999997</v>
      </c>
      <c r="G39">
        <v>30.208697999999998</v>
      </c>
      <c r="H39">
        <v>29.306270999999999</v>
      </c>
      <c r="I39">
        <v>24.594905000000001</v>
      </c>
      <c r="J39">
        <v>55.246988000000002</v>
      </c>
      <c r="K39">
        <v>48.497720999999999</v>
      </c>
      <c r="L39">
        <v>23.701522000000001</v>
      </c>
      <c r="M39">
        <v>-622.47673599999996</v>
      </c>
      <c r="N39">
        <v>0.93661300000000003</v>
      </c>
      <c r="O39">
        <v>3.191716</v>
      </c>
      <c r="P39">
        <f t="shared" si="3"/>
        <v>1.5610216666666668E-5</v>
      </c>
      <c r="Q39" cm="1">
        <f t="array" ref="Q39">[1]!PropsSI("D","T",J39+273.15,"P",101325,"Water")</f>
        <v>985.57330757269756</v>
      </c>
      <c r="R39" cm="1">
        <f t="array" ref="R39">[1]!PropsSI("D","T",K39+273.15,"P",101325,"Water")</f>
        <v>988.70707810051158</v>
      </c>
      <c r="S39">
        <f t="shared" si="4"/>
        <v>987.14019283660457</v>
      </c>
      <c r="T39" cm="1">
        <f t="array" ref="T39">[1]!PropsSI("H","T",J39+273.15,"P",101325,"Water")</f>
        <v>231362.22606008835</v>
      </c>
      <c r="U39" cm="1">
        <f t="array" ref="U39">[1]!PropsSI("H","T",K39+273.15,"P",101325,"Water")</f>
        <v>203137.2591256499</v>
      </c>
      <c r="V39">
        <f t="shared" si="5"/>
        <v>434.9318458780466</v>
      </c>
    </row>
    <row r="40" spans="1:22" x14ac:dyDescent="0.2">
      <c r="A40">
        <v>44660.626627893696</v>
      </c>
      <c r="B40">
        <v>20.118110000000001</v>
      </c>
      <c r="C40">
        <v>20.121988000000002</v>
      </c>
      <c r="D40">
        <v>19.867393</v>
      </c>
      <c r="E40">
        <v>19.940935</v>
      </c>
      <c r="F40">
        <v>33.616126999999999</v>
      </c>
      <c r="G40">
        <v>31.103119</v>
      </c>
      <c r="H40">
        <v>29.676069999999999</v>
      </c>
      <c r="I40">
        <v>24.552935000000002</v>
      </c>
      <c r="J40">
        <v>55.243169000000002</v>
      </c>
      <c r="K40">
        <v>48.507089999999998</v>
      </c>
      <c r="L40">
        <v>22.048952</v>
      </c>
      <c r="M40">
        <v>-622.51102000000003</v>
      </c>
      <c r="N40">
        <v>0.93684199999999995</v>
      </c>
      <c r="O40">
        <v>3.7670629999999998</v>
      </c>
      <c r="P40">
        <f t="shared" si="3"/>
        <v>1.5614033333333333E-5</v>
      </c>
      <c r="Q40" cm="1">
        <f t="array" ref="Q40">[1]!PropsSI("D","T",J40+273.15,"P",101325,"Water")</f>
        <v>985.57516251125867</v>
      </c>
      <c r="R40" cm="1">
        <f t="array" ref="R40">[1]!PropsSI("D","T",K40+273.15,"P",101325,"Water")</f>
        <v>988.70293336935333</v>
      </c>
      <c r="S40">
        <f t="shared" si="4"/>
        <v>987.139047940306</v>
      </c>
      <c r="T40" cm="1">
        <f t="array" ref="T40">[1]!PropsSI("H","T",J40+273.15,"P",101325,"Water")</f>
        <v>231346.25100887541</v>
      </c>
      <c r="U40" cm="1">
        <f t="array" ref="U40">[1]!PropsSI("H","T",K40+273.15,"P",101325,"Water")</f>
        <v>203176.43032706878</v>
      </c>
      <c r="V40">
        <f t="shared" si="5"/>
        <v>434.18769984563306</v>
      </c>
    </row>
    <row r="41" spans="1:22" x14ac:dyDescent="0.2">
      <c r="A41">
        <v>44660.626686342803</v>
      </c>
      <c r="B41">
        <v>20.090814000000002</v>
      </c>
      <c r="C41">
        <v>20.094920999999999</v>
      </c>
      <c r="D41">
        <v>19.856814</v>
      </c>
      <c r="E41">
        <v>19.933682999999998</v>
      </c>
      <c r="F41">
        <v>33.751224999999998</v>
      </c>
      <c r="G41">
        <v>30.931010000000001</v>
      </c>
      <c r="H41">
        <v>29.266458</v>
      </c>
      <c r="I41">
        <v>24.627801000000002</v>
      </c>
      <c r="J41">
        <v>55.245556000000001</v>
      </c>
      <c r="K41">
        <v>48.504866999999997</v>
      </c>
      <c r="L41">
        <v>24.230882999999999</v>
      </c>
      <c r="M41">
        <v>-622.48204199999998</v>
      </c>
      <c r="N41">
        <v>0.93838699999999997</v>
      </c>
      <c r="O41">
        <v>3.5739550000000002</v>
      </c>
      <c r="P41">
        <f t="shared" si="3"/>
        <v>1.5639783333333332E-5</v>
      </c>
      <c r="Q41" cm="1">
        <f t="array" ref="Q41">[1]!PropsSI("D","T",J41+273.15,"P",101325,"Water")</f>
        <v>985.57400312452717</v>
      </c>
      <c r="R41" cm="1">
        <f t="array" ref="R41">[1]!PropsSI("D","T",K41+273.15,"P",101325,"Water")</f>
        <v>988.70391685043569</v>
      </c>
      <c r="S41">
        <f t="shared" si="4"/>
        <v>987.13895998748148</v>
      </c>
      <c r="T41" cm="1">
        <f t="array" ref="T41">[1]!PropsSI("H","T",J41+273.15,"P",101325,"Water")</f>
        <v>231356.23593813006</v>
      </c>
      <c r="U41" cm="1">
        <f t="array" ref="U41">[1]!PropsSI("H","T",K41+273.15,"P",101325,"Water")</f>
        <v>203167.1361013978</v>
      </c>
      <c r="V41">
        <f t="shared" si="5"/>
        <v>435.20134891483178</v>
      </c>
    </row>
    <row r="42" spans="1:22" x14ac:dyDescent="0.2">
      <c r="A42">
        <v>46122.626744791669</v>
      </c>
      <c r="B42">
        <v>20.039522000000002</v>
      </c>
      <c r="C42">
        <v>20.081213999999999</v>
      </c>
      <c r="D42">
        <v>19.852627999999999</v>
      </c>
      <c r="E42">
        <v>19.949762</v>
      </c>
      <c r="F42">
        <v>33.373587000000001</v>
      </c>
      <c r="G42">
        <v>31.272887999999998</v>
      </c>
      <c r="H42">
        <v>29.247274999999998</v>
      </c>
      <c r="I42">
        <v>25.030162000000001</v>
      </c>
      <c r="J42">
        <v>55.247784000000003</v>
      </c>
      <c r="K42">
        <v>48.512807000000002</v>
      </c>
      <c r="L42">
        <v>24.803099</v>
      </c>
      <c r="M42">
        <v>-622.47877700000004</v>
      </c>
      <c r="N42">
        <v>0.93721900000000002</v>
      </c>
      <c r="O42">
        <v>3.480451</v>
      </c>
      <c r="P42">
        <f t="shared" si="3"/>
        <v>1.5620316666666667E-5</v>
      </c>
      <c r="Q42" cm="1">
        <f t="array" ref="Q42">[1]!PropsSI("D","T",J42+273.15,"P",101325,"Water")</f>
        <v>985.57292093363947</v>
      </c>
      <c r="R42" cm="1">
        <f t="array" ref="R42">[1]!PropsSI("D","T",K42+273.15,"P",101325,"Water")</f>
        <v>988.70040395053445</v>
      </c>
      <c r="S42">
        <f t="shared" si="4"/>
        <v>987.13666244208696</v>
      </c>
      <c r="T42" cm="1">
        <f t="array" ref="T42">[1]!PropsSI("H","T",J42+273.15,"P",101325,"Water")</f>
        <v>231365.55576512919</v>
      </c>
      <c r="U42" cm="1">
        <f t="array" ref="U42">[1]!PropsSI("H","T",K42+273.15,"P",101325,"Water")</f>
        <v>203200.33275657168</v>
      </c>
      <c r="V42">
        <f t="shared" si="5"/>
        <v>434.2904808507248</v>
      </c>
    </row>
    <row r="43" spans="1:22" x14ac:dyDescent="0.2">
      <c r="A43">
        <v>46122.626803240739</v>
      </c>
      <c r="B43">
        <v>20.073495999999999</v>
      </c>
      <c r="C43">
        <v>20.119547000000001</v>
      </c>
      <c r="D43">
        <v>19.863558000000001</v>
      </c>
      <c r="E43">
        <v>19.977584</v>
      </c>
      <c r="F43">
        <v>33.808762999999999</v>
      </c>
      <c r="G43">
        <v>30.621383999999999</v>
      </c>
      <c r="H43">
        <v>29.378557000000001</v>
      </c>
      <c r="I43">
        <v>24.605978</v>
      </c>
      <c r="J43">
        <v>55.252716999999997</v>
      </c>
      <c r="K43">
        <v>48.513441999999998</v>
      </c>
      <c r="L43">
        <v>22.910132999999998</v>
      </c>
      <c r="M43">
        <v>-622.50367300000005</v>
      </c>
      <c r="N43">
        <v>0.93010099999999996</v>
      </c>
      <c r="O43">
        <v>3.8304109999999998</v>
      </c>
      <c r="P43">
        <f t="shared" si="3"/>
        <v>1.5501683333333334E-5</v>
      </c>
      <c r="Q43" cm="1">
        <f t="array" ref="Q43">[1]!PropsSI("D","T",J43+273.15,"P",101325,"Water")</f>
        <v>985.57052475265175</v>
      </c>
      <c r="R43" cm="1">
        <f t="array" ref="R43">[1]!PropsSI("D","T",K43+273.15,"P",101325,"Water")</f>
        <v>988.70012298884058</v>
      </c>
      <c r="S43">
        <f t="shared" si="4"/>
        <v>987.13532387074611</v>
      </c>
      <c r="T43" cm="1">
        <f t="array" ref="T43">[1]!PropsSI("H","T",J43+273.15,"P",101325,"Water")</f>
        <v>231386.19073841718</v>
      </c>
      <c r="U43" cm="1">
        <f t="array" ref="U43">[1]!PropsSI("H","T",K43+273.15,"P",101325,"Water")</f>
        <v>203202.98765346885</v>
      </c>
      <c r="V43">
        <f t="shared" si="5"/>
        <v>431.2666786298833</v>
      </c>
    </row>
    <row r="44" spans="1:22" x14ac:dyDescent="0.2">
      <c r="A44">
        <v>46122.626861111108</v>
      </c>
      <c r="B44">
        <v>20.06522</v>
      </c>
      <c r="C44">
        <v>20.095085999999998</v>
      </c>
      <c r="D44">
        <v>19.872999</v>
      </c>
      <c r="E44">
        <v>19.969692999999999</v>
      </c>
      <c r="F44">
        <v>33.860548999999999</v>
      </c>
      <c r="G44">
        <v>31.144151000000001</v>
      </c>
      <c r="H44">
        <v>29.481197000000002</v>
      </c>
      <c r="I44">
        <v>24.430730000000001</v>
      </c>
      <c r="J44">
        <v>55.259241000000003</v>
      </c>
      <c r="K44">
        <v>48.514235999999997</v>
      </c>
      <c r="L44">
        <v>20.780443999999999</v>
      </c>
      <c r="M44">
        <v>-622.474695</v>
      </c>
      <c r="N44">
        <v>0.93247800000000003</v>
      </c>
      <c r="O44">
        <v>3.1709770000000002</v>
      </c>
      <c r="P44">
        <f t="shared" si="3"/>
        <v>1.55413E-5</v>
      </c>
      <c r="Q44" cm="1">
        <f t="array" ref="Q44">[1]!PropsSI("D","T",J44+273.15,"P",101325,"Water")</f>
        <v>985.56735551968291</v>
      </c>
      <c r="R44" cm="1">
        <f t="array" ref="R44">[1]!PropsSI("D","T",K44+273.15,"P",101325,"Water")</f>
        <v>988.6997716723738</v>
      </c>
      <c r="S44">
        <f t="shared" si="4"/>
        <v>987.13356359602835</v>
      </c>
      <c r="T44" cm="1">
        <f t="array" ref="T44">[1]!PropsSI("H","T",J44+273.15,"P",101325,"Water")</f>
        <v>231413.4809540525</v>
      </c>
      <c r="U44" cm="1">
        <f t="array" ref="U44">[1]!PropsSI("H","T",K44+273.15,"P",101325,"Water")</f>
        <v>203206.30731999312</v>
      </c>
      <c r="V44">
        <f t="shared" si="5"/>
        <v>432.73580877490627</v>
      </c>
    </row>
    <row r="45" spans="1:22" x14ac:dyDescent="0.2">
      <c r="A45">
        <v>46122.626919560185</v>
      </c>
      <c r="B45">
        <v>20.058240000000001</v>
      </c>
      <c r="C45">
        <v>20.128568999999999</v>
      </c>
      <c r="D45">
        <v>19.841930999999999</v>
      </c>
      <c r="E45">
        <v>19.921710999999998</v>
      </c>
      <c r="F45">
        <v>33.821185999999997</v>
      </c>
      <c r="G45">
        <v>30.534754</v>
      </c>
      <c r="H45">
        <v>29.451796000000002</v>
      </c>
      <c r="I45">
        <v>24.461634</v>
      </c>
      <c r="J45">
        <v>55.254626000000002</v>
      </c>
      <c r="K45">
        <v>48.520111999999997</v>
      </c>
      <c r="L45">
        <v>23.832944000000001</v>
      </c>
      <c r="M45">
        <v>-622.45836899999995</v>
      </c>
      <c r="N45">
        <v>0.93247400000000003</v>
      </c>
      <c r="O45">
        <v>3.5572439999999999</v>
      </c>
      <c r="P45">
        <f t="shared" si="3"/>
        <v>1.5541233333333336E-5</v>
      </c>
      <c r="Q45" cm="1">
        <f t="array" ref="Q45">[1]!PropsSI("D","T",J45+273.15,"P",101325,"Water")</f>
        <v>985.5695974246438</v>
      </c>
      <c r="R45" cm="1">
        <f t="array" ref="R45">[1]!PropsSI("D","T",K45+273.15,"P",101325,"Water")</f>
        <v>988.69717162246343</v>
      </c>
      <c r="S45">
        <f t="shared" si="4"/>
        <v>987.13338452355356</v>
      </c>
      <c r="T45" cm="1">
        <f t="array" ref="T45">[1]!PropsSI("H","T",J45+273.15,"P",101325,"Water")</f>
        <v>231394.17617852023</v>
      </c>
      <c r="U45" cm="1">
        <f t="array" ref="U45">[1]!PropsSI("H","T",K45+273.15,"P",101325,"Water")</f>
        <v>203230.87452989392</v>
      </c>
      <c r="V45">
        <f t="shared" si="5"/>
        <v>432.06082200558126</v>
      </c>
    </row>
    <row r="46" spans="1:22" x14ac:dyDescent="0.2">
      <c r="A46">
        <v>46122.626978009263</v>
      </c>
      <c r="B46">
        <v>20.013641</v>
      </c>
      <c r="C46">
        <v>20.080397999999999</v>
      </c>
      <c r="D46">
        <v>19.806999000000001</v>
      </c>
      <c r="E46">
        <v>19.897020000000001</v>
      </c>
      <c r="F46">
        <v>33.716448</v>
      </c>
      <c r="G46">
        <v>31.297367000000001</v>
      </c>
      <c r="H46">
        <v>29.439598</v>
      </c>
      <c r="I46">
        <v>24.576644999999999</v>
      </c>
      <c r="J46">
        <v>55.256535</v>
      </c>
      <c r="K46">
        <v>48.511218999999997</v>
      </c>
      <c r="L46">
        <v>24.074565</v>
      </c>
      <c r="M46">
        <v>-622.48163399999999</v>
      </c>
      <c r="N46">
        <v>0.93266199999999999</v>
      </c>
      <c r="O46">
        <v>3.5003510000000002</v>
      </c>
      <c r="P46">
        <f t="shared" si="3"/>
        <v>1.5544366666666666E-5</v>
      </c>
      <c r="Q46" cm="1">
        <f t="array" ref="Q46">[1]!PropsSI("D","T",J46+273.15,"P",101325,"Water")</f>
        <v>985.56867007409176</v>
      </c>
      <c r="R46" cm="1">
        <f t="array" ref="R46">[1]!PropsSI("D","T",K46+273.15,"P",101325,"Water")</f>
        <v>988.70110656417467</v>
      </c>
      <c r="S46">
        <f t="shared" si="4"/>
        <v>987.13488831913321</v>
      </c>
      <c r="T46" cm="1">
        <f t="array" ref="T46">[1]!PropsSI("H","T",J46+273.15,"P",101325,"Water")</f>
        <v>231402.16161994901</v>
      </c>
      <c r="U46" cm="1">
        <f t="array" ref="U46">[1]!PropsSI("H","T",K46+273.15,"P",101325,"Water")</f>
        <v>203193.69342419878</v>
      </c>
      <c r="V46">
        <f t="shared" si="5"/>
        <v>432.84164289831375</v>
      </c>
    </row>
    <row r="47" spans="1:22" x14ac:dyDescent="0.2">
      <c r="A47">
        <v>46122.627036458332</v>
      </c>
      <c r="B47">
        <v>19.971385000000001</v>
      </c>
      <c r="C47">
        <v>20.035944000000001</v>
      </c>
      <c r="D47">
        <v>19.820367000000001</v>
      </c>
      <c r="E47">
        <v>19.893705000000001</v>
      </c>
      <c r="F47">
        <v>33.772973999999998</v>
      </c>
      <c r="G47">
        <v>31.030108999999999</v>
      </c>
      <c r="H47">
        <v>29.725601000000001</v>
      </c>
      <c r="I47">
        <v>24.442913000000001</v>
      </c>
      <c r="J47">
        <v>55.260990999999997</v>
      </c>
      <c r="K47">
        <v>48.510742999999998</v>
      </c>
      <c r="L47">
        <v>21.384903000000001</v>
      </c>
      <c r="M47">
        <v>-622.50571400000001</v>
      </c>
      <c r="N47">
        <v>0.92807700000000004</v>
      </c>
      <c r="O47">
        <v>3.531612</v>
      </c>
      <c r="P47">
        <f t="shared" si="3"/>
        <v>1.5467950000000002E-5</v>
      </c>
      <c r="Q47" cm="1">
        <f t="array" ref="Q47">[1]!PropsSI("D","T",J47+273.15,"P",101325,"Water")</f>
        <v>985.56650535870756</v>
      </c>
      <c r="R47" cm="1">
        <f t="array" ref="R47">[1]!PropsSI("D","T",K47+273.15,"P",101325,"Water")</f>
        <v>988.70131716800597</v>
      </c>
      <c r="S47">
        <f t="shared" si="4"/>
        <v>987.13391126335682</v>
      </c>
      <c r="T47" cm="1">
        <f t="array" ref="T47">[1]!PropsSI("H","T",J47+273.15,"P",101325,"Water")</f>
        <v>231420.80129350745</v>
      </c>
      <c r="U47" cm="1">
        <f t="array" ref="U47">[1]!PropsSI("H","T",K47+273.15,"P",101325,"Water")</f>
        <v>203191.70329704211</v>
      </c>
      <c r="V47">
        <f t="shared" si="5"/>
        <v>431.02834661632517</v>
      </c>
    </row>
    <row r="48" spans="1:22" x14ac:dyDescent="0.2">
      <c r="A48">
        <v>46122.62709490741</v>
      </c>
      <c r="B48">
        <v>19.960467999999999</v>
      </c>
      <c r="C48">
        <v>20.010487999999999</v>
      </c>
      <c r="D48">
        <v>19.771231</v>
      </c>
      <c r="E48">
        <v>19.871732000000002</v>
      </c>
      <c r="F48">
        <v>33.571015000000003</v>
      </c>
      <c r="G48">
        <v>31.251809999999999</v>
      </c>
      <c r="H48">
        <v>29.460359</v>
      </c>
      <c r="I48">
        <v>24.693163999999999</v>
      </c>
      <c r="J48">
        <v>55.256853999999997</v>
      </c>
      <c r="K48">
        <v>48.502803</v>
      </c>
      <c r="L48">
        <v>23.060738000000001</v>
      </c>
      <c r="M48">
        <v>-622.47918500000003</v>
      </c>
      <c r="N48">
        <v>0.93341200000000002</v>
      </c>
      <c r="O48">
        <v>3.4414880000000001</v>
      </c>
      <c r="P48">
        <f t="shared" si="3"/>
        <v>1.5556866666666667E-5</v>
      </c>
      <c r="Q48" cm="1">
        <f t="array" ref="Q48">[1]!PropsSI("D","T",J48+273.15,"P",101325,"Water")</f>
        <v>985.56851510866454</v>
      </c>
      <c r="R48" cm="1">
        <f t="array" ref="R48">[1]!PropsSI("D","T",K48+273.15,"P",101325,"Water")</f>
        <v>988.70482995851137</v>
      </c>
      <c r="S48">
        <f t="shared" si="4"/>
        <v>987.1366725335879</v>
      </c>
      <c r="T48" cm="1">
        <f t="array" ref="T48">[1]!PropsSI("H","T",J48+273.15,"P",101325,"Water")</f>
        <v>231403.49601285614</v>
      </c>
      <c r="U48" cm="1">
        <f t="array" ref="U48">[1]!PropsSI("H","T",K48+273.15,"P",101325,"Water")</f>
        <v>203158.50664609668</v>
      </c>
      <c r="V48">
        <f t="shared" si="5"/>
        <v>433.75134203775531</v>
      </c>
    </row>
    <row r="49" spans="1:22" x14ac:dyDescent="0.2">
      <c r="A49">
        <v>44660.627153356698</v>
      </c>
      <c r="B49">
        <v>19.925519000000001</v>
      </c>
      <c r="C49">
        <v>20.009740000000001</v>
      </c>
      <c r="D49">
        <v>19.755621999999999</v>
      </c>
      <c r="E49">
        <v>19.836980000000001</v>
      </c>
      <c r="F49">
        <v>33.521127</v>
      </c>
      <c r="G49">
        <v>31.205300000000001</v>
      </c>
      <c r="H49">
        <v>29.717669000000001</v>
      </c>
      <c r="I49">
        <v>24.53125</v>
      </c>
      <c r="J49">
        <v>55.261308999999997</v>
      </c>
      <c r="K49">
        <v>48.506138</v>
      </c>
      <c r="L49">
        <v>23.810904000000001</v>
      </c>
      <c r="M49">
        <v>-622.47632799999997</v>
      </c>
      <c r="N49">
        <v>0.93185899999999999</v>
      </c>
      <c r="O49">
        <v>3.5123980000000001</v>
      </c>
      <c r="P49">
        <f t="shared" si="3"/>
        <v>1.5530983333333334E-5</v>
      </c>
      <c r="Q49" cm="1">
        <f t="array" ref="Q49">[1]!PropsSI("D","T",J49+273.15,"P",101325,"Water")</f>
        <v>985.56635087025802</v>
      </c>
      <c r="R49" cm="1">
        <f t="array" ref="R49">[1]!PropsSI("D","T",K49+273.15,"P",101325,"Water")</f>
        <v>988.70335454926794</v>
      </c>
      <c r="S49">
        <f t="shared" si="4"/>
        <v>987.13485270976298</v>
      </c>
      <c r="T49" cm="1">
        <f t="array" ref="T49">[1]!PropsSI("H","T",J49+273.15,"P",101325,"Water")</f>
        <v>231422.13150390936</v>
      </c>
      <c r="U49" cm="1">
        <f t="array" ref="U49">[1]!PropsSI("H","T",K49+273.15,"P",101325,"Water")</f>
        <v>203172.45007368279</v>
      </c>
      <c r="V49">
        <f t="shared" si="5"/>
        <v>433.10080815262626</v>
      </c>
    </row>
    <row r="50" spans="1:22" x14ac:dyDescent="0.2">
      <c r="A50" t="s">
        <v>19</v>
      </c>
      <c r="B50">
        <v>19.907679000000002</v>
      </c>
      <c r="C50">
        <v>20.019919000000002</v>
      </c>
      <c r="D50">
        <v>19.751169999999998</v>
      </c>
      <c r="E50">
        <v>19.832345</v>
      </c>
      <c r="F50">
        <v>33.473061000000001</v>
      </c>
      <c r="G50">
        <v>30.726652000000001</v>
      </c>
      <c r="H50">
        <v>29.509571999999999</v>
      </c>
      <c r="I50">
        <v>24.319948</v>
      </c>
      <c r="J50">
        <v>55.260195000000003</v>
      </c>
      <c r="K50">
        <v>48.502803</v>
      </c>
      <c r="L50">
        <v>23.339499</v>
      </c>
      <c r="M50">
        <v>-622.51469299999997</v>
      </c>
      <c r="N50">
        <v>0.936944</v>
      </c>
      <c r="O50">
        <v>3.045995</v>
      </c>
      <c r="P50">
        <f t="shared" si="3"/>
        <v>1.5615733333333334E-5</v>
      </c>
      <c r="Q50" cm="1">
        <f t="array" ref="Q50">[1]!PropsSI("D","T",J50+273.15,"P",101325,"Water")</f>
        <v>985.56689206285103</v>
      </c>
      <c r="R50" cm="1">
        <f t="array" ref="R50">[1]!PropsSI("D","T",K50+273.15,"P",101325,"Water")</f>
        <v>988.70482995851137</v>
      </c>
      <c r="S50">
        <f t="shared" si="4"/>
        <v>987.1358610106812</v>
      </c>
      <c r="T50" cm="1">
        <f t="array" ref="T50">[1]!PropsSI("H","T",J50+273.15,"P",101325,"Water")</f>
        <v>231417.47158466809</v>
      </c>
      <c r="U50" cm="1">
        <f t="array" ref="U50">[1]!PropsSI("H","T",K50+273.15,"P",101325,"Water")</f>
        <v>203158.50664609668</v>
      </c>
      <c r="V50">
        <f t="shared" si="5"/>
        <v>435.60771611974621</v>
      </c>
    </row>
    <row r="51" spans="1:22" x14ac:dyDescent="0.2">
      <c r="A51">
        <v>46122.627269675926</v>
      </c>
      <c r="B51">
        <v>19.882061</v>
      </c>
      <c r="C51">
        <v>19.992428</v>
      </c>
      <c r="D51">
        <v>19.735292000000001</v>
      </c>
      <c r="E51">
        <v>19.800314</v>
      </c>
      <c r="F51">
        <v>33.579675999999999</v>
      </c>
      <c r="G51">
        <v>30.476126000000001</v>
      </c>
      <c r="H51">
        <v>29.310894999999999</v>
      </c>
      <c r="I51">
        <v>24.266442999999999</v>
      </c>
      <c r="J51">
        <v>55.268788000000001</v>
      </c>
      <c r="K51">
        <v>48.492164000000002</v>
      </c>
      <c r="L51">
        <v>23.577446999999999</v>
      </c>
      <c r="M51">
        <v>-622.47591999999997</v>
      </c>
      <c r="N51">
        <v>0.93617399999999995</v>
      </c>
      <c r="O51">
        <v>3.4955219999999998</v>
      </c>
      <c r="P51">
        <f t="shared" si="3"/>
        <v>1.5602899999999999E-5</v>
      </c>
      <c r="Q51" cm="1">
        <f t="array" ref="Q51">[1]!PropsSI("D","T",J51+273.15,"P",101325,"Water")</f>
        <v>985.56271729681305</v>
      </c>
      <c r="R51" cm="1">
        <f t="array" ref="R51">[1]!PropsSI("D","T",K51+273.15,"P",101325,"Water")</f>
        <v>988.70953617256453</v>
      </c>
      <c r="S51">
        <f t="shared" si="4"/>
        <v>987.13612673468879</v>
      </c>
      <c r="T51" cm="1">
        <f t="array" ref="T51">[1]!PropsSI("H","T",J51+273.15,"P",101325,"Water")</f>
        <v>231453.41655670217</v>
      </c>
      <c r="U51" cm="1">
        <f t="array" ref="U51">[1]!PropsSI("H","T",K51+273.15,"P",101325,"Water")</f>
        <v>203114.02566790598</v>
      </c>
      <c r="V51">
        <f t="shared" si="5"/>
        <v>436.48857729940323</v>
      </c>
    </row>
    <row r="52" spans="1:22" x14ac:dyDescent="0.2">
      <c r="A52">
        <v>46122.627327546295</v>
      </c>
      <c r="B52">
        <v>19.875965000000001</v>
      </c>
      <c r="C52">
        <v>19.959907999999999</v>
      </c>
      <c r="D52">
        <v>19.723675</v>
      </c>
      <c r="E52">
        <v>19.793182999999999</v>
      </c>
      <c r="F52">
        <v>33.484523000000003</v>
      </c>
      <c r="G52">
        <v>30.446034999999998</v>
      </c>
      <c r="H52">
        <v>28.906058000000002</v>
      </c>
      <c r="I52">
        <v>24.314153999999998</v>
      </c>
      <c r="J52">
        <v>55.266083000000002</v>
      </c>
      <c r="K52">
        <v>48.494863000000002</v>
      </c>
      <c r="L52">
        <v>21.934263999999999</v>
      </c>
      <c r="M52">
        <v>-622.52856999999995</v>
      </c>
      <c r="N52">
        <v>0.92749499999999996</v>
      </c>
      <c r="O52">
        <v>3.664981</v>
      </c>
      <c r="P52">
        <f t="shared" si="3"/>
        <v>1.5458250000000001E-5</v>
      </c>
      <c r="Q52" cm="1">
        <f t="array" ref="Q52">[1]!PropsSI("D","T",J52+273.15,"P",101325,"Water")</f>
        <v>985.56403152534278</v>
      </c>
      <c r="R52" cm="1">
        <f t="array" ref="R52">[1]!PropsSI("D","T",K52+273.15,"P",101325,"Water")</f>
        <v>988.70834232816901</v>
      </c>
      <c r="S52">
        <f t="shared" si="4"/>
        <v>987.13618692675595</v>
      </c>
      <c r="T52" cm="1">
        <f t="array" ref="T52">[1]!PropsSI("H","T",J52+273.15,"P",101325,"Water")</f>
        <v>231442.10139616026</v>
      </c>
      <c r="U52" cm="1">
        <f t="array" ref="U52">[1]!PropsSI("H","T",K52+273.15,"P",101325,"Water")</f>
        <v>203125.31001138623</v>
      </c>
      <c r="V52">
        <f t="shared" si="5"/>
        <v>432.09718873475549</v>
      </c>
    </row>
    <row r="53" spans="1:22" x14ac:dyDescent="0.2">
      <c r="A53">
        <v>46122.627385995373</v>
      </c>
      <c r="B53">
        <v>19.865942</v>
      </c>
      <c r="C53">
        <v>19.933945000000001</v>
      </c>
      <c r="D53">
        <v>19.713971000000001</v>
      </c>
      <c r="E53">
        <v>19.791162</v>
      </c>
      <c r="F53">
        <v>33.495671000000002</v>
      </c>
      <c r="G53">
        <v>30.956029999999998</v>
      </c>
      <c r="H53">
        <v>29.173041999999999</v>
      </c>
      <c r="I53">
        <v>24.625150000000001</v>
      </c>
      <c r="J53">
        <v>55.26831</v>
      </c>
      <c r="K53">
        <v>48.494228</v>
      </c>
      <c r="L53">
        <v>24.010486</v>
      </c>
      <c r="M53">
        <v>-622.50122399999998</v>
      </c>
      <c r="N53">
        <v>0.93641200000000002</v>
      </c>
      <c r="O53">
        <v>3.0708139999999999</v>
      </c>
      <c r="P53">
        <f t="shared" si="3"/>
        <v>1.5606866666666668E-5</v>
      </c>
      <c r="Q53" cm="1">
        <f t="array" ref="Q53">[1]!PropsSI("D","T",J53+273.15,"P",101325,"Water")</f>
        <v>985.56294953717872</v>
      </c>
      <c r="R53" cm="1">
        <f t="array" ref="R53">[1]!PropsSI("D","T",K53+273.15,"P",101325,"Water")</f>
        <v>988.70862321107518</v>
      </c>
      <c r="S53">
        <f t="shared" si="4"/>
        <v>987.13578637412695</v>
      </c>
      <c r="T53" cm="1">
        <f t="array" ref="T53">[1]!PropsSI("H","T",J53+273.15,"P",101325,"Water")</f>
        <v>231451.41705677877</v>
      </c>
      <c r="U53" cm="1">
        <f t="array" ref="U53">[1]!PropsSI("H","T",K53+273.15,"P",101325,"Water")</f>
        <v>203122.65511755817</v>
      </c>
      <c r="V53">
        <f t="shared" si="5"/>
        <v>436.43564298939418</v>
      </c>
    </row>
    <row r="54" spans="1:22" x14ac:dyDescent="0.2">
      <c r="A54">
        <v>46122.627443865742</v>
      </c>
      <c r="B54">
        <v>19.889817000000001</v>
      </c>
      <c r="C54">
        <v>19.949024999999999</v>
      </c>
      <c r="D54">
        <v>19.730443000000001</v>
      </c>
      <c r="E54">
        <v>19.782413999999999</v>
      </c>
      <c r="F54">
        <v>33.689563</v>
      </c>
      <c r="G54">
        <v>31.158056999999999</v>
      </c>
      <c r="H54">
        <v>29.468198999999998</v>
      </c>
      <c r="I54">
        <v>24.391576000000001</v>
      </c>
      <c r="J54">
        <v>55.268151000000003</v>
      </c>
      <c r="K54">
        <v>48.498356999999999</v>
      </c>
      <c r="L54">
        <v>22.164456000000001</v>
      </c>
      <c r="M54">
        <v>-622.46367499999997</v>
      </c>
      <c r="N54">
        <v>0.93355100000000002</v>
      </c>
      <c r="O54">
        <v>3.4965510000000002</v>
      </c>
      <c r="P54">
        <f t="shared" si="3"/>
        <v>1.5559183333333335E-5</v>
      </c>
      <c r="Q54" cm="1">
        <f t="array" ref="Q54">[1]!PropsSI("D","T",J54+273.15,"P",101325,"Water")</f>
        <v>985.56302678837892</v>
      </c>
      <c r="R54" cm="1">
        <f t="array" ref="R54">[1]!PropsSI("D","T",K54+273.15,"P",101325,"Water")</f>
        <v>988.70679676040345</v>
      </c>
      <c r="S54">
        <f t="shared" si="4"/>
        <v>987.13491177439118</v>
      </c>
      <c r="T54" cm="1">
        <f t="array" ref="T54">[1]!PropsSI("H","T",J54+273.15,"P",101325,"Water")</f>
        <v>231450.75195114125</v>
      </c>
      <c r="U54" cm="1">
        <f t="array" ref="U54">[1]!PropsSI("H","T",K54+273.15,"P",101325,"Water")</f>
        <v>203139.91820104994</v>
      </c>
      <c r="V54">
        <f t="shared" si="5"/>
        <v>434.82646550621121</v>
      </c>
    </row>
    <row r="55" spans="1:22" x14ac:dyDescent="0.2">
      <c r="A55">
        <v>46122.627501736111</v>
      </c>
      <c r="B55">
        <v>19.902711</v>
      </c>
      <c r="C55">
        <v>19.965527000000002</v>
      </c>
      <c r="D55">
        <v>19.705839999999998</v>
      </c>
      <c r="E55">
        <v>19.779208000000001</v>
      </c>
      <c r="F55">
        <v>33.492496000000003</v>
      </c>
      <c r="G55">
        <v>31.025276000000002</v>
      </c>
      <c r="H55">
        <v>29.407494</v>
      </c>
      <c r="I55">
        <v>24.14255</v>
      </c>
      <c r="J55">
        <v>55.267515000000003</v>
      </c>
      <c r="K55">
        <v>48.499150999999998</v>
      </c>
      <c r="L55">
        <v>23.181547999999999</v>
      </c>
      <c r="M55">
        <v>-622.51224400000001</v>
      </c>
      <c r="N55">
        <v>0.93475200000000003</v>
      </c>
      <c r="O55">
        <v>3.0929509999999998</v>
      </c>
      <c r="P55">
        <f t="shared" si="3"/>
        <v>1.5579200000000002E-5</v>
      </c>
      <c r="Q55" cm="1">
        <f t="array" ref="Q55">[1]!PropsSI("D","T",J55+273.15,"P",101325,"Water")</f>
        <v>985.56333579153397</v>
      </c>
      <c r="R55" cm="1">
        <f t="array" ref="R55">[1]!PropsSI("D","T",K55+273.15,"P",101325,"Water")</f>
        <v>988.70644552386636</v>
      </c>
      <c r="S55">
        <f t="shared" si="4"/>
        <v>987.13489065770023</v>
      </c>
      <c r="T55" cm="1">
        <f t="array" ref="T55">[1]!PropsSI("H","T",J55+273.15,"P",101325,"Water")</f>
        <v>231448.09152886306</v>
      </c>
      <c r="U55" cm="1">
        <f t="array" ref="U55">[1]!PropsSI("H","T",K55+273.15,"P",101325,"Water")</f>
        <v>203143.23786446749</v>
      </c>
      <c r="V55">
        <f t="shared" si="5"/>
        <v>435.29388784308782</v>
      </c>
    </row>
    <row r="56" spans="1:22" x14ac:dyDescent="0.2">
      <c r="A56">
        <v>46122.627560185188</v>
      </c>
      <c r="B56">
        <v>19.909144000000001</v>
      </c>
      <c r="C56">
        <v>19.978873</v>
      </c>
      <c r="D56">
        <v>19.696891999999998</v>
      </c>
      <c r="E56">
        <v>19.755642999999999</v>
      </c>
      <c r="F56">
        <v>33.639848000000001</v>
      </c>
      <c r="G56">
        <v>31.301653000000002</v>
      </c>
      <c r="H56">
        <v>29.564864</v>
      </c>
      <c r="I56">
        <v>24.588708</v>
      </c>
      <c r="J56">
        <v>55.271970000000003</v>
      </c>
      <c r="K56">
        <v>48.496291999999997</v>
      </c>
      <c r="L56">
        <v>22.661166000000001</v>
      </c>
      <c r="M56">
        <v>-622.50653</v>
      </c>
      <c r="N56">
        <v>0.93357199999999996</v>
      </c>
      <c r="O56">
        <v>3.679074</v>
      </c>
      <c r="P56">
        <f t="shared" si="3"/>
        <v>1.5559533333333332E-5</v>
      </c>
      <c r="Q56" cm="1">
        <f t="array" ref="Q56">[1]!PropsSI("D","T",J56+273.15,"P",101325,"Water")</f>
        <v>985.56117125910498</v>
      </c>
      <c r="R56" cm="1">
        <f t="array" ref="R56">[1]!PropsSI("D","T",K56+273.15,"P",101325,"Water")</f>
        <v>988.70771022115321</v>
      </c>
      <c r="S56">
        <f t="shared" si="4"/>
        <v>987.13444074012909</v>
      </c>
      <c r="T56" cm="1">
        <f t="array" ref="T56">[1]!PropsSI("H","T",J56+273.15,"P",101325,"Water")</f>
        <v>231466.72703728359</v>
      </c>
      <c r="U56" cm="1">
        <f t="array" ref="U56">[1]!PropsSI("H","T",K56+273.15,"P",101325,"Water")</f>
        <v>203131.28456828094</v>
      </c>
      <c r="V56">
        <f t="shared" si="5"/>
        <v>435.21401328557386</v>
      </c>
    </row>
    <row r="57" spans="1:22" x14ac:dyDescent="0.2">
      <c r="A57">
        <v>46122.627618634258</v>
      </c>
      <c r="B57">
        <v>19.915120999999999</v>
      </c>
      <c r="C57">
        <v>19.945550999999998</v>
      </c>
      <c r="D57">
        <v>19.708158999999998</v>
      </c>
      <c r="E57">
        <v>19.762657000000001</v>
      </c>
      <c r="F57">
        <v>33.743479000000001</v>
      </c>
      <c r="G57">
        <v>30.854645999999999</v>
      </c>
      <c r="H57">
        <v>29.09609</v>
      </c>
      <c r="I57">
        <v>24.164390000000001</v>
      </c>
      <c r="J57">
        <v>55.270856000000002</v>
      </c>
      <c r="K57">
        <v>48.497880000000002</v>
      </c>
      <c r="L57">
        <v>21.577954999999999</v>
      </c>
      <c r="M57">
        <v>-622.48857199999998</v>
      </c>
      <c r="N57">
        <v>0.93508000000000002</v>
      </c>
      <c r="O57">
        <v>4.1438499999999996</v>
      </c>
      <c r="P57">
        <f t="shared" si="3"/>
        <v>1.5584666666666667E-5</v>
      </c>
      <c r="Q57" cm="1">
        <f t="array" ref="Q57">[1]!PropsSI("D","T",J57+273.15,"P",101325,"Water")</f>
        <v>985.56171252519789</v>
      </c>
      <c r="R57" cm="1">
        <f t="array" ref="R57">[1]!PropsSI("D","T",K57+273.15,"P",101325,"Water")</f>
        <v>988.70700776574347</v>
      </c>
      <c r="S57">
        <f t="shared" si="4"/>
        <v>987.13436014547074</v>
      </c>
      <c r="T57" cm="1">
        <f t="array" ref="T57">[1]!PropsSI("H","T",J57+273.15,"P",101325,"Water")</f>
        <v>231462.06711372771</v>
      </c>
      <c r="U57" cm="1">
        <f t="array" ref="U57">[1]!PropsSI("H","T",K57+273.15,"P",101325,"Water")</f>
        <v>203137.92389447187</v>
      </c>
      <c r="V57">
        <f t="shared" si="5"/>
        <v>435.7431499606115</v>
      </c>
    </row>
    <row r="58" spans="1:22" x14ac:dyDescent="0.2">
      <c r="A58">
        <v>46122.627676504628</v>
      </c>
      <c r="B58">
        <v>19.868472000000001</v>
      </c>
      <c r="C58">
        <v>19.906493000000001</v>
      </c>
      <c r="D58">
        <v>19.689774</v>
      </c>
      <c r="E58">
        <v>19.740555000000001</v>
      </c>
      <c r="F58">
        <v>33.51896</v>
      </c>
      <c r="G58">
        <v>31.166454000000002</v>
      </c>
      <c r="H58">
        <v>29.123678999999999</v>
      </c>
      <c r="I58">
        <v>24.768464000000002</v>
      </c>
      <c r="J58">
        <v>55.271174000000002</v>
      </c>
      <c r="K58">
        <v>48.499150999999998</v>
      </c>
      <c r="L58">
        <v>22.632595999999999</v>
      </c>
      <c r="M58">
        <v>-622.51469299999997</v>
      </c>
      <c r="N58">
        <v>0.93083099999999996</v>
      </c>
      <c r="O58">
        <v>3.5754540000000001</v>
      </c>
      <c r="P58">
        <f t="shared" si="3"/>
        <v>1.5513850000000001E-5</v>
      </c>
      <c r="Q58" cm="1">
        <f t="array" ref="Q58">[1]!PropsSI("D","T",J58+273.15,"P",101325,"Water")</f>
        <v>985.56155801735338</v>
      </c>
      <c r="R58" cm="1">
        <f t="array" ref="R58">[1]!PropsSI("D","T",K58+273.15,"P",101325,"Water")</f>
        <v>988.70644552386636</v>
      </c>
      <c r="S58">
        <f t="shared" si="4"/>
        <v>987.13400177060987</v>
      </c>
      <c r="T58" cm="1">
        <f t="array" ref="T58">[1]!PropsSI("H","T",J58+273.15,"P",101325,"Water")</f>
        <v>231463.39732523446</v>
      </c>
      <c r="U58" cm="1">
        <f t="array" ref="U58">[1]!PropsSI("H","T",K58+273.15,"P",101325,"Water")</f>
        <v>203143.23786446749</v>
      </c>
      <c r="V58">
        <f t="shared" si="5"/>
        <v>433.70196898287395</v>
      </c>
    </row>
    <row r="59" spans="1:22" x14ac:dyDescent="0.2">
      <c r="A59">
        <v>46122.627734374997</v>
      </c>
      <c r="B59">
        <v>19.880862</v>
      </c>
      <c r="C59">
        <v>19.908094999999999</v>
      </c>
      <c r="D59">
        <v>19.681622000000001</v>
      </c>
      <c r="E59">
        <v>19.729499000000001</v>
      </c>
      <c r="F59">
        <v>33.498094999999999</v>
      </c>
      <c r="G59">
        <v>30.544239999999999</v>
      </c>
      <c r="H59">
        <v>29.435047999999998</v>
      </c>
      <c r="I59">
        <v>24.155778000000002</v>
      </c>
      <c r="J59">
        <v>55.273719999999997</v>
      </c>
      <c r="K59">
        <v>48.488987999999999</v>
      </c>
      <c r="L59">
        <v>22.262819</v>
      </c>
      <c r="M59">
        <v>-622.48408199999994</v>
      </c>
      <c r="N59">
        <v>0.93444099999999997</v>
      </c>
      <c r="O59">
        <v>3.5181290000000001</v>
      </c>
      <c r="P59">
        <f t="shared" si="3"/>
        <v>1.5574016666666667E-5</v>
      </c>
      <c r="Q59" cm="1">
        <f t="array" ref="Q59">[1]!PropsSI("D","T",J59+273.15,"P",101325,"Water")</f>
        <v>985.56032096023512</v>
      </c>
      <c r="R59" cm="1">
        <f t="array" ref="R59">[1]!PropsSI("D","T",K59+273.15,"P",101325,"Water")</f>
        <v>988.71094094535476</v>
      </c>
      <c r="S59">
        <f t="shared" si="4"/>
        <v>987.13563095279494</v>
      </c>
      <c r="T59" cm="1">
        <f t="array" ref="T59">[1]!PropsSI("H","T",J59+273.15,"P",101325,"Water")</f>
        <v>231474.04738489015</v>
      </c>
      <c r="U59" cm="1">
        <f t="array" ref="U59">[1]!PropsSI("H","T",K59+273.15,"P",101325,"Water")</f>
        <v>203100.74702079315</v>
      </c>
      <c r="V59">
        <f t="shared" si="5"/>
        <v>436.2016649264105</v>
      </c>
    </row>
    <row r="60" spans="1:22" x14ac:dyDescent="0.2">
      <c r="A60">
        <v>46122.627792245374</v>
      </c>
      <c r="B60">
        <v>19.877406000000001</v>
      </c>
      <c r="C60">
        <v>19.861004000000001</v>
      </c>
      <c r="D60">
        <v>19.672158</v>
      </c>
      <c r="E60">
        <v>19.715765000000001</v>
      </c>
      <c r="F60">
        <v>33.643130999999997</v>
      </c>
      <c r="G60">
        <v>30.550449</v>
      </c>
      <c r="H60">
        <v>29.429853999999999</v>
      </c>
      <c r="I60">
        <v>24.521654999999999</v>
      </c>
      <c r="J60">
        <v>55.271970000000003</v>
      </c>
      <c r="K60">
        <v>48.488035000000004</v>
      </c>
      <c r="L60">
        <v>23.523164000000001</v>
      </c>
      <c r="M60">
        <v>-622.493878</v>
      </c>
      <c r="N60">
        <v>0.93648600000000004</v>
      </c>
      <c r="O60">
        <v>3.8292419999999998</v>
      </c>
      <c r="P60">
        <f t="shared" si="3"/>
        <v>1.5608100000000001E-5</v>
      </c>
      <c r="Q60" cm="1">
        <f t="array" ref="Q60">[1]!PropsSI("D","T",J60+273.15,"P",101325,"Water")</f>
        <v>985.56117125910498</v>
      </c>
      <c r="R60" cm="1">
        <f t="array" ref="R60">[1]!PropsSI("D","T",K60+273.15,"P",101325,"Water")</f>
        <v>988.7113624525108</v>
      </c>
      <c r="S60">
        <f t="shared" si="4"/>
        <v>987.13626685580789</v>
      </c>
      <c r="T60" cm="1">
        <f t="array" ref="T60">[1]!PropsSI("H","T",J60+273.15,"P",101325,"Water")</f>
        <v>231466.72703728359</v>
      </c>
      <c r="U60" cm="1">
        <f t="array" ref="U60">[1]!PropsSI("H","T",K60+273.15,"P",101325,"Water")</f>
        <v>203096.76259096427</v>
      </c>
      <c r="V60">
        <f t="shared" si="5"/>
        <v>437.10516506063226</v>
      </c>
    </row>
    <row r="61" spans="1:22" x14ac:dyDescent="0.2">
      <c r="A61">
        <v>46122.627850694444</v>
      </c>
      <c r="B61">
        <v>19.887204000000001</v>
      </c>
      <c r="C61">
        <v>19.863983999999999</v>
      </c>
      <c r="D61">
        <v>19.656275000000001</v>
      </c>
      <c r="E61">
        <v>19.694580999999999</v>
      </c>
      <c r="F61">
        <v>33.553840999999998</v>
      </c>
      <c r="G61">
        <v>31.15802</v>
      </c>
      <c r="H61">
        <v>29.294219999999999</v>
      </c>
      <c r="I61">
        <v>24.787016000000001</v>
      </c>
      <c r="J61">
        <v>55.274357000000002</v>
      </c>
      <c r="K61">
        <v>48.492322000000001</v>
      </c>
      <c r="L61">
        <v>24.50638</v>
      </c>
      <c r="M61">
        <v>-622.48530700000003</v>
      </c>
      <c r="N61">
        <v>0.93259300000000001</v>
      </c>
      <c r="O61">
        <v>3.8446440000000002</v>
      </c>
      <c r="P61">
        <f t="shared" si="3"/>
        <v>1.5543216666666667E-5</v>
      </c>
      <c r="Q61" cm="1">
        <f t="array" ref="Q61">[1]!PropsSI("D","T",J61+273.15,"P",101325,"Water")</f>
        <v>985.56001144674167</v>
      </c>
      <c r="R61" cm="1">
        <f t="array" ref="R61">[1]!PropsSI("D","T",K61+273.15,"P",101325,"Water")</f>
        <v>988.7094662860402</v>
      </c>
      <c r="S61">
        <f t="shared" si="4"/>
        <v>987.13473886639099</v>
      </c>
      <c r="T61" cm="1">
        <f t="array" ref="T61">[1]!PropsSI("H","T",J61+273.15,"P",101325,"Water")</f>
        <v>231476.71199166952</v>
      </c>
      <c r="U61" cm="1">
        <f t="array" ref="U61">[1]!PropsSI("H","T",K61+273.15,"P",101325,"Water")</f>
        <v>203114.68625554335</v>
      </c>
      <c r="V61">
        <f t="shared" si="5"/>
        <v>435.16562657021262</v>
      </c>
    </row>
    <row r="62" spans="1:22" x14ac:dyDescent="0.2">
      <c r="A62">
        <v>46122.627908564813</v>
      </c>
      <c r="B62">
        <v>19.943028000000002</v>
      </c>
      <c r="C62">
        <v>19.945817999999999</v>
      </c>
      <c r="D62">
        <v>19.668717000000001</v>
      </c>
      <c r="E62">
        <v>19.767289000000002</v>
      </c>
      <c r="F62">
        <v>33.541234000000003</v>
      </c>
      <c r="G62">
        <v>30.865843999999999</v>
      </c>
      <c r="H62">
        <v>29.377621999999999</v>
      </c>
      <c r="I62">
        <v>24.229005000000001</v>
      </c>
      <c r="J62">
        <v>55.271174000000002</v>
      </c>
      <c r="K62">
        <v>48.487400000000001</v>
      </c>
      <c r="L62">
        <v>21.771006</v>
      </c>
      <c r="M62">
        <v>-622.48530700000003</v>
      </c>
      <c r="N62">
        <v>0.92973600000000001</v>
      </c>
      <c r="O62">
        <v>3.4383750000000002</v>
      </c>
      <c r="P62">
        <f t="shared" si="3"/>
        <v>1.5495600000000001E-5</v>
      </c>
      <c r="Q62" cm="1">
        <f t="array" ref="Q62">[1]!PropsSI("D","T",J62+273.15,"P",101325,"Water")</f>
        <v>985.56155801735338</v>
      </c>
      <c r="R62" cm="1">
        <f t="array" ref="R62">[1]!PropsSI("D","T",K62+273.15,"P",101325,"Water")</f>
        <v>988.71164330649901</v>
      </c>
      <c r="S62">
        <f t="shared" si="4"/>
        <v>987.1366006619262</v>
      </c>
      <c r="T62" cm="1">
        <f t="array" ref="T62">[1]!PropsSI("H","T",J62+273.15,"P",101325,"Water")</f>
        <v>231463.39732523446</v>
      </c>
      <c r="U62" cm="1">
        <f t="array" ref="U62">[1]!PropsSI("H","T",K62+273.15,"P",101325,"Water")</f>
        <v>203094.10769817914</v>
      </c>
      <c r="V62">
        <f t="shared" si="5"/>
        <v>433.94442474534515</v>
      </c>
    </row>
    <row r="63" spans="1:22" x14ac:dyDescent="0.2">
      <c r="A63">
        <v>46122.627966435182</v>
      </c>
      <c r="B63">
        <v>19.935804000000001</v>
      </c>
      <c r="C63">
        <v>19.941905999999999</v>
      </c>
      <c r="D63">
        <v>19.672701</v>
      </c>
      <c r="E63">
        <v>19.751695999999999</v>
      </c>
      <c r="F63">
        <v>33.602885999999998</v>
      </c>
      <c r="G63">
        <v>31.051994000000001</v>
      </c>
      <c r="H63">
        <v>29.323784</v>
      </c>
      <c r="I63">
        <v>24.17586</v>
      </c>
      <c r="J63">
        <v>55.267195999999998</v>
      </c>
      <c r="K63">
        <v>48.486128999999998</v>
      </c>
      <c r="L63">
        <v>22.226085999999999</v>
      </c>
      <c r="M63">
        <v>-622.50897899999995</v>
      </c>
      <c r="N63">
        <v>0.93368700000000004</v>
      </c>
      <c r="O63">
        <v>3.746095</v>
      </c>
      <c r="P63">
        <f t="shared" si="3"/>
        <v>1.5561450000000003E-5</v>
      </c>
      <c r="Q63" cm="1">
        <f t="array" ref="Q63">[1]!PropsSI("D","T",J63+273.15,"P",101325,"Water")</f>
        <v>985.56349077803384</v>
      </c>
      <c r="R63" cm="1">
        <f t="array" ref="R63">[1]!PropsSI("D","T",K63+273.15,"P",101325,"Water")</f>
        <v>988.71220544864298</v>
      </c>
      <c r="S63">
        <f t="shared" si="4"/>
        <v>987.13784811333835</v>
      </c>
      <c r="T63" cm="1">
        <f t="array" ref="T63">[1]!PropsSI("H","T",J63+273.15,"P",101325,"Water")</f>
        <v>231446.75713470535</v>
      </c>
      <c r="U63" cm="1">
        <f t="array" ref="U63">[1]!PropsSI("H","T",K63+273.15,"P",101325,"Water")</f>
        <v>203088.79373199714</v>
      </c>
      <c r="V63">
        <f t="shared" si="5"/>
        <v>435.61507734422628</v>
      </c>
    </row>
    <row r="64" spans="1:22" x14ac:dyDescent="0.2">
      <c r="A64">
        <v>46122.628024305559</v>
      </c>
      <c r="B64">
        <v>19.894545999999998</v>
      </c>
      <c r="C64">
        <v>19.907496999999999</v>
      </c>
      <c r="D64">
        <v>19.681488999999999</v>
      </c>
      <c r="E64">
        <v>19.735572000000001</v>
      </c>
      <c r="F64">
        <v>33.561849000000002</v>
      </c>
      <c r="G64">
        <v>30.946262999999998</v>
      </c>
      <c r="H64">
        <v>29.105715</v>
      </c>
      <c r="I64">
        <v>24.053305000000002</v>
      </c>
      <c r="J64">
        <v>55.270060999999998</v>
      </c>
      <c r="K64">
        <v>48.487082000000001</v>
      </c>
      <c r="L64">
        <v>23.985181000000001</v>
      </c>
      <c r="M64">
        <v>-622.48938799999996</v>
      </c>
      <c r="N64">
        <v>0.93350999999999995</v>
      </c>
      <c r="O64">
        <v>3.9947620000000001</v>
      </c>
      <c r="P64">
        <f t="shared" si="3"/>
        <v>1.55585E-5</v>
      </c>
      <c r="Q64" cm="1">
        <f t="array" ref="Q64">[1]!PropsSI("D","T",J64+273.15,"P",101325,"Water")</f>
        <v>985.5620987920837</v>
      </c>
      <c r="R64" cm="1">
        <f t="array" ref="R64">[1]!PropsSI("D","T",K64+273.15,"P",101325,"Water")</f>
        <v>988.7117839536088</v>
      </c>
      <c r="S64">
        <f t="shared" si="4"/>
        <v>987.1369413728462</v>
      </c>
      <c r="T64" cm="1">
        <f t="array" ref="T64">[1]!PropsSI("H","T",J64+273.15,"P",101325,"Water")</f>
        <v>231458.74158507559</v>
      </c>
      <c r="U64" cm="1">
        <f t="array" ref="U64">[1]!PropsSI("H","T",K64+273.15,"P",101325,"Water")</f>
        <v>203092.77816136033</v>
      </c>
      <c r="V64">
        <f t="shared" si="5"/>
        <v>435.6549645711259</v>
      </c>
    </row>
    <row r="65" spans="1:22" x14ac:dyDescent="0.2">
      <c r="A65">
        <v>46122.628082754629</v>
      </c>
      <c r="B65">
        <v>19.882795999999999</v>
      </c>
      <c r="C65">
        <v>19.925573</v>
      </c>
      <c r="D65">
        <v>19.636700999999999</v>
      </c>
      <c r="E65">
        <v>19.696691000000001</v>
      </c>
      <c r="F65">
        <v>33.651966999999999</v>
      </c>
      <c r="G65">
        <v>30.667124999999999</v>
      </c>
      <c r="H65">
        <v>29.427346</v>
      </c>
      <c r="I65">
        <v>24.365469000000001</v>
      </c>
      <c r="J65">
        <v>55.273243000000001</v>
      </c>
      <c r="K65">
        <v>48.484383000000001</v>
      </c>
      <c r="L65">
        <v>24.901461999999999</v>
      </c>
      <c r="M65">
        <v>-622.51224400000001</v>
      </c>
      <c r="N65">
        <v>0.93257599999999996</v>
      </c>
      <c r="O65">
        <v>3.883988</v>
      </c>
      <c r="P65">
        <f t="shared" si="3"/>
        <v>1.5542933333333333E-5</v>
      </c>
      <c r="Q65" cm="1">
        <f t="array" ref="Q65">[1]!PropsSI("D","T",J65+273.15,"P",101325,"Water")</f>
        <v>985.56055272930587</v>
      </c>
      <c r="R65" cm="1">
        <f t="array" ref="R65">[1]!PropsSI("D","T",K65+273.15,"P",101325,"Water")</f>
        <v>988.71297765780014</v>
      </c>
      <c r="S65">
        <f t="shared" si="4"/>
        <v>987.13676519355295</v>
      </c>
      <c r="T65" cm="1">
        <f t="array" ref="T65">[1]!PropsSI("H","T",J65+273.15,"P",101325,"Water")</f>
        <v>231472.05206715135</v>
      </c>
      <c r="U65" cm="1">
        <f t="array" ref="U65">[1]!PropsSI("H","T",K65+273.15,"P",101325,"Water")</f>
        <v>203081.49382323652</v>
      </c>
      <c r="V65">
        <f t="shared" si="5"/>
        <v>435.59636160449708</v>
      </c>
    </row>
    <row r="66" spans="1:22" x14ac:dyDescent="0.2">
      <c r="A66">
        <v>46122.628140624998</v>
      </c>
      <c r="B66">
        <v>19.856280000000002</v>
      </c>
      <c r="C66">
        <v>19.866067999999999</v>
      </c>
      <c r="D66">
        <v>19.643829</v>
      </c>
      <c r="E66">
        <v>19.700320999999999</v>
      </c>
      <c r="F66">
        <v>33.555874000000003</v>
      </c>
      <c r="G66">
        <v>30.958705999999999</v>
      </c>
      <c r="H66">
        <v>29.086905000000002</v>
      </c>
      <c r="I66">
        <v>24.222505000000002</v>
      </c>
      <c r="J66">
        <v>55.26831</v>
      </c>
      <c r="K66">
        <v>48.481206999999998</v>
      </c>
      <c r="L66">
        <v>21.824881000000001</v>
      </c>
      <c r="M66">
        <v>-622.46612400000004</v>
      </c>
      <c r="N66">
        <v>0.93260900000000002</v>
      </c>
      <c r="O66">
        <v>3.812862</v>
      </c>
      <c r="P66">
        <f t="shared" si="3"/>
        <v>1.5543483333333334E-5</v>
      </c>
      <c r="Q66" cm="1">
        <f t="array" ref="Q66">[1]!PropsSI("D","T",J66+273.15,"P",101325,"Water")</f>
        <v>985.56294953717872</v>
      </c>
      <c r="R66" cm="1">
        <f t="array" ref="R66">[1]!PropsSI("D","T",K66+273.15,"P",101325,"Water")</f>
        <v>988.71438226557973</v>
      </c>
      <c r="S66">
        <f t="shared" si="4"/>
        <v>987.13866590137923</v>
      </c>
      <c r="T66" cm="1">
        <f t="array" ref="T66">[1]!PropsSI("H","T",J66+273.15,"P",101325,"Water")</f>
        <v>231451.41705677877</v>
      </c>
      <c r="U66" cm="1">
        <f t="array" ref="U66">[1]!PropsSI("H","T",K66+273.15,"P",101325,"Water")</f>
        <v>203068.21518254196</v>
      </c>
      <c r="V66">
        <f t="shared" si="5"/>
        <v>435.49974131635764</v>
      </c>
    </row>
    <row r="67" spans="1:22" x14ac:dyDescent="0.2">
      <c r="A67">
        <v>46122.628198495368</v>
      </c>
      <c r="B67">
        <v>19.899562</v>
      </c>
      <c r="C67">
        <v>19.889012999999998</v>
      </c>
      <c r="D67">
        <v>19.640908</v>
      </c>
      <c r="E67">
        <v>19.710846</v>
      </c>
      <c r="F67">
        <v>33.508253000000003</v>
      </c>
      <c r="G67">
        <v>30.849990999999999</v>
      </c>
      <c r="H67">
        <v>29.359683</v>
      </c>
      <c r="I67">
        <v>24.248808</v>
      </c>
      <c r="J67">
        <v>55.267515000000003</v>
      </c>
      <c r="K67">
        <v>48.482795000000003</v>
      </c>
      <c r="L67">
        <v>23.552142</v>
      </c>
      <c r="M67">
        <v>-622.50775499999997</v>
      </c>
      <c r="N67">
        <v>0.93056399999999995</v>
      </c>
      <c r="O67">
        <v>2.9992179999999999</v>
      </c>
      <c r="P67">
        <f t="shared" si="3"/>
        <v>1.5509399999999998E-5</v>
      </c>
      <c r="Q67" cm="1">
        <f t="array" ref="Q67">[1]!PropsSI("D","T",J67+273.15,"P",101325,"Water")</f>
        <v>985.56333579153397</v>
      </c>
      <c r="R67" cm="1">
        <f t="array" ref="R67">[1]!PropsSI("D","T",K67+273.15,"P",101325,"Water")</f>
        <v>988.71367997011748</v>
      </c>
      <c r="S67">
        <f t="shared" si="4"/>
        <v>987.13850788082573</v>
      </c>
      <c r="T67" cm="1">
        <f t="array" ref="T67">[1]!PropsSI("H","T",J67+273.15,"P",101325,"Water")</f>
        <v>231448.09152886306</v>
      </c>
      <c r="U67" cm="1">
        <f t="array" ref="U67">[1]!PropsSI("H","T",K67+273.15,"P",101325,"Water")</f>
        <v>203074.85450254931</v>
      </c>
      <c r="V67">
        <f t="shared" si="5"/>
        <v>434.39215851921938</v>
      </c>
    </row>
    <row r="68" spans="1:22" x14ac:dyDescent="0.2">
      <c r="A68">
        <v>46122.628256365744</v>
      </c>
      <c r="B68">
        <v>19.881599999999999</v>
      </c>
      <c r="C68">
        <v>19.851458999999998</v>
      </c>
      <c r="D68">
        <v>19.624236</v>
      </c>
      <c r="E68">
        <v>19.693909000000001</v>
      </c>
      <c r="F68">
        <v>33.644922000000001</v>
      </c>
      <c r="G68">
        <v>30.99381</v>
      </c>
      <c r="H68">
        <v>29.23077</v>
      </c>
      <c r="I68">
        <v>24.227515</v>
      </c>
      <c r="J68">
        <v>55.266719000000002</v>
      </c>
      <c r="K68">
        <v>48.477713000000001</v>
      </c>
      <c r="L68">
        <v>22.997067000000001</v>
      </c>
      <c r="M68">
        <v>-622.51102000000003</v>
      </c>
      <c r="N68">
        <v>0.93192900000000001</v>
      </c>
      <c r="O68">
        <v>3.520124</v>
      </c>
      <c r="P68">
        <f t="shared" si="3"/>
        <v>1.553215E-5</v>
      </c>
      <c r="Q68" cm="1">
        <f t="array" ref="Q68">[1]!PropsSI("D","T",J68+273.15,"P",101325,"Water")</f>
        <v>985.56372252782842</v>
      </c>
      <c r="R68" cm="1">
        <f t="array" ref="R68">[1]!PropsSI("D","T",K68+273.15,"P",101325,"Water")</f>
        <v>988.71592743324697</v>
      </c>
      <c r="S68">
        <f t="shared" si="4"/>
        <v>987.1398249805377</v>
      </c>
      <c r="T68" cm="1">
        <f t="array" ref="T68">[1]!PropsSI("H","T",J68+273.15,"P",101325,"Water")</f>
        <v>231444.76181812939</v>
      </c>
      <c r="U68" cm="1">
        <f t="array" ref="U68">[1]!PropsSI("H","T",K68+273.15,"P",101325,"Water")</f>
        <v>203053.60700829333</v>
      </c>
      <c r="V68">
        <f t="shared" si="5"/>
        <v>435.30465081746013</v>
      </c>
    </row>
    <row r="69" spans="1:22" x14ac:dyDescent="0.2">
      <c r="A69">
        <v>46122.628314814814</v>
      </c>
      <c r="B69">
        <v>19.878446</v>
      </c>
      <c r="C69">
        <v>19.876435000000001</v>
      </c>
      <c r="D69">
        <v>19.635846999999998</v>
      </c>
      <c r="E69">
        <v>19.701616000000001</v>
      </c>
      <c r="F69">
        <v>33.601097000000003</v>
      </c>
      <c r="G69">
        <v>30.692744000000001</v>
      </c>
      <c r="H69">
        <v>29.273812</v>
      </c>
      <c r="I69">
        <v>24.311446</v>
      </c>
      <c r="J69">
        <v>55.263536999999999</v>
      </c>
      <c r="K69">
        <v>48.482795000000003</v>
      </c>
      <c r="L69">
        <v>22.434238000000001</v>
      </c>
      <c r="M69">
        <v>-622.46367499999997</v>
      </c>
      <c r="N69">
        <v>0.93135500000000004</v>
      </c>
      <c r="O69">
        <v>3.6894049999999998</v>
      </c>
      <c r="P69">
        <f t="shared" si="3"/>
        <v>1.5522583333333333E-5</v>
      </c>
      <c r="Q69" cm="1">
        <f t="array" ref="Q69">[1]!PropsSI("D","T",J69+273.15,"P",101325,"Water")</f>
        <v>985.56526846209113</v>
      </c>
      <c r="R69" cm="1">
        <f t="array" ref="R69">[1]!PropsSI("D","T",K69+273.15,"P",101325,"Water")</f>
        <v>988.71367997011748</v>
      </c>
      <c r="S69">
        <f t="shared" si="4"/>
        <v>987.1394742161043</v>
      </c>
      <c r="T69" cm="1">
        <f t="array" ref="T69">[1]!PropsSI("H","T",J69+273.15,"P",101325,"Water")</f>
        <v>231431.451343675</v>
      </c>
      <c r="U69" cm="1">
        <f t="array" ref="U69">[1]!PropsSI("H","T",K69+273.15,"P",101325,"Water")</f>
        <v>203074.85450254931</v>
      </c>
      <c r="V69">
        <f t="shared" si="5"/>
        <v>434.50685026459792</v>
      </c>
    </row>
    <row r="70" spans="1:22" x14ac:dyDescent="0.2">
      <c r="A70">
        <v>46122.628373263891</v>
      </c>
      <c r="B70">
        <v>19.900773000000001</v>
      </c>
      <c r="C70">
        <v>19.918084</v>
      </c>
      <c r="D70">
        <v>19.666298000000001</v>
      </c>
      <c r="E70">
        <v>19.708815999999999</v>
      </c>
      <c r="F70">
        <v>33.479973000000001</v>
      </c>
      <c r="G70">
        <v>29.982565000000001</v>
      </c>
      <c r="H70">
        <v>28.990763000000001</v>
      </c>
      <c r="I70">
        <v>23.933049</v>
      </c>
      <c r="J70">
        <v>55.262422999999998</v>
      </c>
      <c r="K70">
        <v>48.472791000000001</v>
      </c>
      <c r="L70">
        <v>22.298327</v>
      </c>
      <c r="M70">
        <v>-622.48571500000003</v>
      </c>
      <c r="N70">
        <v>0.93110099999999996</v>
      </c>
      <c r="O70">
        <v>3.7993540000000001</v>
      </c>
      <c r="P70">
        <f t="shared" si="3"/>
        <v>1.551835E-5</v>
      </c>
      <c r="Q70" cm="1">
        <f t="array" ref="Q70">[1]!PropsSI("D","T",J70+273.15,"P",101325,"Water")</f>
        <v>985.56580967002867</v>
      </c>
      <c r="R70" cm="1">
        <f t="array" ref="R70">[1]!PropsSI("D","T",K70+273.15,"P",101325,"Water")</f>
        <v>988.7181039735558</v>
      </c>
      <c r="S70">
        <f t="shared" si="4"/>
        <v>987.14195682179229</v>
      </c>
      <c r="T70" cm="1">
        <f t="array" ref="T70">[1]!PropsSI("H","T",J70+273.15,"P",101325,"Water")</f>
        <v>231426.79142354336</v>
      </c>
      <c r="U70" cm="1">
        <f t="array" ref="U70">[1]!PropsSI("H","T",K70+273.15,"P",101325,"Water")</f>
        <v>203033.0284694572</v>
      </c>
      <c r="V70">
        <f t="shared" si="5"/>
        <v>434.95878440366209</v>
      </c>
    </row>
    <row r="71" spans="1:22" x14ac:dyDescent="0.2">
      <c r="A71">
        <v>46122.628431134261</v>
      </c>
      <c r="B71">
        <v>19.912213000000001</v>
      </c>
      <c r="C71">
        <v>19.901326000000001</v>
      </c>
      <c r="D71">
        <v>19.663637999999999</v>
      </c>
      <c r="E71">
        <v>19.713837000000002</v>
      </c>
      <c r="F71">
        <v>33.735683000000002</v>
      </c>
      <c r="G71">
        <v>30.818553999999999</v>
      </c>
      <c r="H71">
        <v>29.500067000000001</v>
      </c>
      <c r="I71">
        <v>24.590866999999999</v>
      </c>
      <c r="J71">
        <v>55.265127999999997</v>
      </c>
      <c r="K71">
        <v>48.468980000000002</v>
      </c>
      <c r="L71">
        <v>22.445665999999999</v>
      </c>
      <c r="M71">
        <v>-622.512652</v>
      </c>
      <c r="N71">
        <v>0.93440800000000002</v>
      </c>
      <c r="O71">
        <v>3.3742890000000001</v>
      </c>
      <c r="P71">
        <f t="shared" ref="P71:P99" si="6" xml:space="preserve"> N71*0.001/60</f>
        <v>1.5573466666666669E-5</v>
      </c>
      <c r="Q71" cm="1">
        <f t="array" ref="Q71">[1]!PropsSI("D","T",J71+273.15,"P",101325,"Water")</f>
        <v>985.5644955027924</v>
      </c>
      <c r="R71" cm="1">
        <f t="array" ref="R71">[1]!PropsSI("D","T",K71+273.15,"P",101325,"Water")</f>
        <v>988.71978911136284</v>
      </c>
      <c r="S71">
        <f t="shared" ref="S71:S99" si="7">(Q71+R71)/2</f>
        <v>987.14214230707762</v>
      </c>
      <c r="T71" cm="1">
        <f t="array" ref="T71">[1]!PropsSI("H","T",J71+273.15,"P",101325,"Water")</f>
        <v>231438.10658043952</v>
      </c>
      <c r="U71" cm="1">
        <f t="array" ref="U71">[1]!PropsSI("H","T",K71+273.15,"P",101325,"Water")</f>
        <v>203017.09494842644</v>
      </c>
      <c r="V71">
        <f t="shared" ref="V71:V99" si="8">S71*P71*(T71-U71)</f>
        <v>436.92261360864126</v>
      </c>
    </row>
    <row r="72" spans="1:22" x14ac:dyDescent="0.2">
      <c r="A72">
        <v>46122.62848900463</v>
      </c>
      <c r="B72">
        <v>19.953472999999999</v>
      </c>
      <c r="C72">
        <v>19.932718999999999</v>
      </c>
      <c r="D72">
        <v>19.673500000000001</v>
      </c>
      <c r="E72">
        <v>19.714105</v>
      </c>
      <c r="F72">
        <v>33.485866999999999</v>
      </c>
      <c r="G72">
        <v>30.783049999999999</v>
      </c>
      <c r="H72">
        <v>29.318406</v>
      </c>
      <c r="I72">
        <v>24.152221999999998</v>
      </c>
      <c r="J72">
        <v>55.262104999999998</v>
      </c>
      <c r="K72">
        <v>48.464851000000003</v>
      </c>
      <c r="L72">
        <v>24.408425000000001</v>
      </c>
      <c r="M72">
        <v>-622.493878</v>
      </c>
      <c r="N72">
        <v>0.937199</v>
      </c>
      <c r="O72">
        <v>3.0991520000000001</v>
      </c>
      <c r="P72">
        <f t="shared" si="6"/>
        <v>1.5619983333333333E-5</v>
      </c>
      <c r="Q72" cm="1">
        <f t="array" ref="Q72">[1]!PropsSI("D","T",J72+273.15,"P",101325,"Water")</f>
        <v>985.56596416065133</v>
      </c>
      <c r="R72" cm="1">
        <f t="array" ref="R72">[1]!PropsSI("D","T",K72+273.15,"P",101325,"Water")</f>
        <v>988.72161475210635</v>
      </c>
      <c r="S72">
        <f t="shared" si="7"/>
        <v>987.14378945637884</v>
      </c>
      <c r="T72" cm="1">
        <f t="array" ref="T72">[1]!PropsSI("H","T",J72+273.15,"P",101325,"Water")</f>
        <v>231425.4612129899</v>
      </c>
      <c r="U72" cm="1">
        <f t="array" ref="U72">[1]!PropsSI("H","T",K72+273.15,"P",101325,"Water")</f>
        <v>202999.83189608192</v>
      </c>
      <c r="V72">
        <f t="shared" si="8"/>
        <v>438.29959768767571</v>
      </c>
    </row>
    <row r="73" spans="1:22" x14ac:dyDescent="0.2">
      <c r="A73">
        <v>46122.628547453707</v>
      </c>
      <c r="B73">
        <v>19.957397</v>
      </c>
      <c r="C73">
        <v>19.960531</v>
      </c>
      <c r="D73">
        <v>19.723137999999999</v>
      </c>
      <c r="E73">
        <v>19.757027999999998</v>
      </c>
      <c r="F73">
        <v>33.527268999999997</v>
      </c>
      <c r="G73">
        <v>30.919917000000002</v>
      </c>
      <c r="H73">
        <v>29.203288000000001</v>
      </c>
      <c r="I73">
        <v>24.428972999999999</v>
      </c>
      <c r="J73">
        <v>55.257013000000001</v>
      </c>
      <c r="K73">
        <v>48.473108000000003</v>
      </c>
      <c r="L73">
        <v>24.658208999999999</v>
      </c>
      <c r="M73">
        <v>-622.46979699999997</v>
      </c>
      <c r="N73">
        <v>0.93217099999999997</v>
      </c>
      <c r="O73">
        <v>3.6120909999999999</v>
      </c>
      <c r="P73">
        <f t="shared" si="6"/>
        <v>1.5536183333333332E-5</v>
      </c>
      <c r="Q73" cm="1">
        <f t="array" ref="Q73">[1]!PropsSI("D","T",J73+273.15,"P",101325,"Water")</f>
        <v>985.56843786860634</v>
      </c>
      <c r="R73" cm="1">
        <f t="array" ref="R73">[1]!PropsSI("D","T",K73+273.15,"P",101325,"Water")</f>
        <v>988.71796379898774</v>
      </c>
      <c r="S73">
        <f t="shared" si="7"/>
        <v>987.14320083379698</v>
      </c>
      <c r="T73" cm="1">
        <f t="array" ref="T73">[1]!PropsSI("H","T",J73+273.15,"P",101325,"Water")</f>
        <v>231404.16111778858</v>
      </c>
      <c r="U73" cm="1">
        <f t="array" ref="U73">[1]!PropsSI("H","T",K73+273.15,"P",101325,"Water")</f>
        <v>203034.35382417429</v>
      </c>
      <c r="V73">
        <f t="shared" si="8"/>
        <v>435.09178337934918</v>
      </c>
    </row>
    <row r="74" spans="1:22" x14ac:dyDescent="0.2">
      <c r="A74">
        <v>46122.628605324076</v>
      </c>
      <c r="B74">
        <v>19.955199</v>
      </c>
      <c r="C74">
        <v>19.935824</v>
      </c>
      <c r="D74">
        <v>19.727924000000002</v>
      </c>
      <c r="E74">
        <v>19.748435000000001</v>
      </c>
      <c r="F74">
        <v>33.766154999999998</v>
      </c>
      <c r="G74">
        <v>30.912538999999999</v>
      </c>
      <c r="H74">
        <v>29.420985000000002</v>
      </c>
      <c r="I74">
        <v>24.440275</v>
      </c>
      <c r="J74">
        <v>55.260513000000003</v>
      </c>
      <c r="K74">
        <v>48.475014000000002</v>
      </c>
      <c r="L74">
        <v>22.522397000000002</v>
      </c>
      <c r="M74">
        <v>-622.50571400000001</v>
      </c>
      <c r="N74">
        <v>0.93370699999999995</v>
      </c>
      <c r="O74">
        <v>3.3799950000000001</v>
      </c>
      <c r="P74">
        <f t="shared" si="6"/>
        <v>1.5561783333333334E-5</v>
      </c>
      <c r="Q74" cm="1">
        <f t="array" ref="Q74">[1]!PropsSI("D","T",J74+273.15,"P",101325,"Water")</f>
        <v>985.56673757597093</v>
      </c>
      <c r="R74" cm="1">
        <f t="array" ref="R74">[1]!PropsSI("D","T",K74+273.15,"P",101325,"Water")</f>
        <v>988.7171209685755</v>
      </c>
      <c r="S74">
        <f t="shared" si="7"/>
        <v>987.14192927227327</v>
      </c>
      <c r="T74" cm="1">
        <f t="array" ref="T74">[1]!PropsSI("H","T",J74+273.15,"P",101325,"Water")</f>
        <v>231418.80179493781</v>
      </c>
      <c r="U74" cm="1">
        <f t="array" ref="U74">[1]!PropsSI("H","T",K74+273.15,"P",101325,"Water")</f>
        <v>203042.32267667892</v>
      </c>
      <c r="V74">
        <f t="shared" si="8"/>
        <v>435.91064209523961</v>
      </c>
    </row>
    <row r="75" spans="1:22" x14ac:dyDescent="0.2">
      <c r="A75">
        <v>46122.628663773146</v>
      </c>
      <c r="B75">
        <v>19.933420999999999</v>
      </c>
      <c r="C75">
        <v>19.910278999999999</v>
      </c>
      <c r="D75">
        <v>19.713995000000001</v>
      </c>
      <c r="E75">
        <v>19.732810000000001</v>
      </c>
      <c r="F75">
        <v>33.590614000000002</v>
      </c>
      <c r="G75">
        <v>30.84374</v>
      </c>
      <c r="H75">
        <v>29.441303999999999</v>
      </c>
      <c r="I75">
        <v>24.082031000000001</v>
      </c>
      <c r="J75">
        <v>55.263058999999998</v>
      </c>
      <c r="K75">
        <v>48.473267</v>
      </c>
      <c r="L75">
        <v>22.172211000000001</v>
      </c>
      <c r="M75">
        <v>-622.41796299999999</v>
      </c>
      <c r="N75">
        <v>0.92960900000000002</v>
      </c>
      <c r="O75">
        <v>3.0175299999999998</v>
      </c>
      <c r="P75">
        <f t="shared" si="6"/>
        <v>1.5493483333333333E-5</v>
      </c>
      <c r="Q75" cm="1">
        <f t="array" ref="Q75">[1]!PropsSI("D","T",J75+273.15,"P",101325,"Water")</f>
        <v>985.56550068689523</v>
      </c>
      <c r="R75" cm="1">
        <f t="array" ref="R75">[1]!PropsSI("D","T",K75+273.15,"P",101325,"Water")</f>
        <v>988.71789349035942</v>
      </c>
      <c r="S75">
        <f t="shared" si="7"/>
        <v>987.14169708862732</v>
      </c>
      <c r="T75" cm="1">
        <f t="array" ref="T75">[1]!PropsSI("H","T",J75+273.15,"P",101325,"Water")</f>
        <v>231429.45184469159</v>
      </c>
      <c r="U75" cm="1">
        <f t="array" ref="U75">[1]!PropsSI("H","T",K75+273.15,"P",101325,"Water")</f>
        <v>203035.01859192207</v>
      </c>
      <c r="V75">
        <f t="shared" si="8"/>
        <v>434.27194215546183</v>
      </c>
    </row>
    <row r="76" spans="1:22" x14ac:dyDescent="0.2">
      <c r="A76">
        <v>46122.628721643516</v>
      </c>
      <c r="B76">
        <v>19.876978000000001</v>
      </c>
      <c r="C76">
        <v>19.885663999999998</v>
      </c>
      <c r="D76">
        <v>19.691936999999999</v>
      </c>
      <c r="E76">
        <v>19.726837</v>
      </c>
      <c r="F76">
        <v>33.456957000000003</v>
      </c>
      <c r="G76">
        <v>30.856273999999999</v>
      </c>
      <c r="H76">
        <v>29.147269000000001</v>
      </c>
      <c r="I76">
        <v>24.321116</v>
      </c>
      <c r="J76">
        <v>55.264809999999997</v>
      </c>
      <c r="K76">
        <v>48.477395999999999</v>
      </c>
      <c r="L76">
        <v>22.134661999999999</v>
      </c>
      <c r="M76">
        <v>-622.5</v>
      </c>
      <c r="N76">
        <v>0.93206</v>
      </c>
      <c r="O76">
        <v>3.7096360000000002</v>
      </c>
      <c r="P76">
        <f t="shared" si="6"/>
        <v>1.5534333333333335E-5</v>
      </c>
      <c r="Q76" cm="1">
        <f t="array" ref="Q76">[1]!PropsSI("D","T",J76+273.15,"P",101325,"Water")</f>
        <v>985.56464999872992</v>
      </c>
      <c r="R76" cm="1">
        <f t="array" ref="R76">[1]!PropsSI("D","T",K76+273.15,"P",101325,"Water")</f>
        <v>988.71606761758915</v>
      </c>
      <c r="S76">
        <f t="shared" si="7"/>
        <v>987.14035880815959</v>
      </c>
      <c r="T76" cm="1">
        <f t="array" ref="T76">[1]!PropsSI("H","T",J76+273.15,"P",101325,"Water")</f>
        <v>231436.77636963571</v>
      </c>
      <c r="U76" cm="1">
        <f t="array" ref="U76">[1]!PropsSI("H","T",K76+273.15,"P",101325,"Water")</f>
        <v>203052.28165314972</v>
      </c>
      <c r="V76">
        <f t="shared" si="8"/>
        <v>435.26394679174757</v>
      </c>
    </row>
    <row r="77" spans="1:22" x14ac:dyDescent="0.2">
      <c r="A77">
        <v>46122.628779513892</v>
      </c>
      <c r="B77">
        <v>19.884101999999999</v>
      </c>
      <c r="C77">
        <v>19.924081999999999</v>
      </c>
      <c r="D77">
        <v>19.686228</v>
      </c>
      <c r="E77">
        <v>19.743939999999998</v>
      </c>
      <c r="F77">
        <v>33.425333000000002</v>
      </c>
      <c r="G77">
        <v>30.702348000000001</v>
      </c>
      <c r="H77">
        <v>29.568762</v>
      </c>
      <c r="I77">
        <v>24.294150999999999</v>
      </c>
      <c r="J77">
        <v>55.262104999999998</v>
      </c>
      <c r="K77">
        <v>48.483429999999998</v>
      </c>
      <c r="L77">
        <v>23.807639000000002</v>
      </c>
      <c r="M77">
        <v>-622.51550899999995</v>
      </c>
      <c r="N77">
        <v>0.93154400000000004</v>
      </c>
      <c r="O77">
        <v>3.0620959999999999</v>
      </c>
      <c r="P77">
        <f t="shared" si="6"/>
        <v>1.5525733333333336E-5</v>
      </c>
      <c r="Q77" cm="1">
        <f t="array" ref="Q77">[1]!PropsSI("D","T",J77+273.15,"P",101325,"Water")</f>
        <v>985.56596416065133</v>
      </c>
      <c r="R77" cm="1">
        <f t="array" ref="R77">[1]!PropsSI("D","T",K77+273.15,"P",101325,"Water")</f>
        <v>988.71339913568647</v>
      </c>
      <c r="S77">
        <f t="shared" si="7"/>
        <v>987.1396816481689</v>
      </c>
      <c r="T77" cm="1">
        <f t="array" ref="T77">[1]!PropsSI("H","T",J77+273.15,"P",101325,"Water")</f>
        <v>231425.4612129899</v>
      </c>
      <c r="U77" cm="1">
        <f t="array" ref="U77">[1]!PropsSI("H","T",K77+273.15,"P",101325,"Water")</f>
        <v>203077.50939452686</v>
      </c>
      <c r="V77">
        <f t="shared" si="8"/>
        <v>434.46262192319057</v>
      </c>
    </row>
    <row r="78" spans="1:22" x14ac:dyDescent="0.2">
      <c r="A78">
        <v>46122.628837384262</v>
      </c>
      <c r="B78">
        <v>19.871983</v>
      </c>
      <c r="C78">
        <v>19.929715999999999</v>
      </c>
      <c r="D78">
        <v>19.712993999999998</v>
      </c>
      <c r="E78">
        <v>19.766983</v>
      </c>
      <c r="F78">
        <v>33.511709000000003</v>
      </c>
      <c r="G78">
        <v>30.865085000000001</v>
      </c>
      <c r="H78">
        <v>29.293766999999999</v>
      </c>
      <c r="I78">
        <v>24.390592999999999</v>
      </c>
      <c r="J78">
        <v>55.260195000000003</v>
      </c>
      <c r="K78">
        <v>48.476125000000003</v>
      </c>
      <c r="L78">
        <v>22.177517000000002</v>
      </c>
      <c r="M78">
        <v>-622.48897999999997</v>
      </c>
      <c r="N78">
        <v>0.93213000000000001</v>
      </c>
      <c r="O78">
        <v>4.207033</v>
      </c>
      <c r="P78">
        <f t="shared" si="6"/>
        <v>1.5535500000000001E-5</v>
      </c>
      <c r="Q78" cm="1">
        <f t="array" ref="Q78">[1]!PropsSI("D","T",J78+273.15,"P",101325,"Water")</f>
        <v>985.56689206285103</v>
      </c>
      <c r="R78" cm="1">
        <f t="array" ref="R78">[1]!PropsSI("D","T",K78+273.15,"P",101325,"Water")</f>
        <v>988.71662967481063</v>
      </c>
      <c r="S78">
        <f t="shared" si="7"/>
        <v>987.14176086883083</v>
      </c>
      <c r="T78" cm="1">
        <f t="array" ref="T78">[1]!PropsSI("H","T",J78+273.15,"P",101325,"Water")</f>
        <v>231417.47158466809</v>
      </c>
      <c r="U78" cm="1">
        <f t="array" ref="U78">[1]!PropsSI("H","T",K78+273.15,"P",101325,"Water")</f>
        <v>203046.96769032747</v>
      </c>
      <c r="V78">
        <f t="shared" si="8"/>
        <v>435.08269482599951</v>
      </c>
    </row>
    <row r="79" spans="1:22" x14ac:dyDescent="0.2">
      <c r="A79">
        <v>46122.628895833332</v>
      </c>
      <c r="B79">
        <v>19.917933000000001</v>
      </c>
      <c r="C79">
        <v>19.949964000000001</v>
      </c>
      <c r="D79">
        <v>19.71977</v>
      </c>
      <c r="E79">
        <v>19.765415999999998</v>
      </c>
      <c r="F79">
        <v>33.581296999999999</v>
      </c>
      <c r="G79">
        <v>30.974021</v>
      </c>
      <c r="H79">
        <v>29.315268</v>
      </c>
      <c r="I79">
        <v>24.304939000000001</v>
      </c>
      <c r="J79">
        <v>55.261946000000002</v>
      </c>
      <c r="K79">
        <v>48.478507</v>
      </c>
      <c r="L79">
        <v>24.361896999999999</v>
      </c>
      <c r="M79">
        <v>-622.48122499999999</v>
      </c>
      <c r="N79">
        <v>0.93435900000000005</v>
      </c>
      <c r="O79">
        <v>3.6426910000000001</v>
      </c>
      <c r="P79">
        <f t="shared" si="6"/>
        <v>1.5572650000000001E-5</v>
      </c>
      <c r="Q79" cm="1">
        <f t="array" ref="Q79">[1]!PropsSI("D","T",J79+273.15,"P",101325,"Water")</f>
        <v>985.56604140572699</v>
      </c>
      <c r="R79" cm="1">
        <f t="array" ref="R79">[1]!PropsSI("D","T",K79+273.15,"P",101325,"Water")</f>
        <v>988.7155763061312</v>
      </c>
      <c r="S79">
        <f t="shared" si="7"/>
        <v>987.14080885592909</v>
      </c>
      <c r="T79" cm="1">
        <f t="array" ref="T79">[1]!PropsSI("H","T",J79+273.15,"P",101325,"Water")</f>
        <v>231424.79610779393</v>
      </c>
      <c r="U79" cm="1">
        <f t="array" ref="U79">[1]!PropsSI("H","T",K79+273.15,"P",101325,"Water")</f>
        <v>203056.92666753879</v>
      </c>
      <c r="V79">
        <f t="shared" si="8"/>
        <v>436.08218844111286</v>
      </c>
    </row>
    <row r="80" spans="1:22" x14ac:dyDescent="0.2">
      <c r="A80">
        <v>46122.628954282409</v>
      </c>
      <c r="B80">
        <v>19.955096000000001</v>
      </c>
      <c r="C80">
        <v>20.004000000000001</v>
      </c>
      <c r="D80">
        <v>19.732233999999998</v>
      </c>
      <c r="E80">
        <v>19.809007999999999</v>
      </c>
      <c r="F80">
        <v>33.540674000000003</v>
      </c>
      <c r="G80">
        <v>30.976451999999998</v>
      </c>
      <c r="H80">
        <v>29.586134000000001</v>
      </c>
      <c r="I80">
        <v>24.195891</v>
      </c>
      <c r="J80">
        <v>55.257331000000001</v>
      </c>
      <c r="K80">
        <v>48.478031000000001</v>
      </c>
      <c r="L80">
        <v>23.651319999999998</v>
      </c>
      <c r="M80">
        <v>-622.50408100000004</v>
      </c>
      <c r="N80">
        <v>0.93024499999999999</v>
      </c>
      <c r="O80">
        <v>3.9077389999999999</v>
      </c>
      <c r="P80">
        <f t="shared" si="6"/>
        <v>1.5504083333333333E-5</v>
      </c>
      <c r="Q80" cm="1">
        <f t="array" ref="Q80">[1]!PropsSI("D","T",J80+273.15,"P",101325,"Water")</f>
        <v>985.56828338800347</v>
      </c>
      <c r="R80" cm="1">
        <f t="array" ref="R80">[1]!PropsSI("D","T",K80+273.15,"P",101325,"Water")</f>
        <v>988.715786805991</v>
      </c>
      <c r="S80">
        <f t="shared" si="7"/>
        <v>987.14203509699723</v>
      </c>
      <c r="T80" cm="1">
        <f t="array" ref="T80">[1]!PropsSI("H","T",J80+273.15,"P",101325,"Water")</f>
        <v>231405.49132771633</v>
      </c>
      <c r="U80" cm="1">
        <f t="array" ref="U80">[1]!PropsSI("H","T",K80+273.15,"P",101325,"Water")</f>
        <v>203054.93654436822</v>
      </c>
      <c r="V80">
        <f t="shared" si="8"/>
        <v>433.89765361300425</v>
      </c>
    </row>
    <row r="81" spans="1:22" x14ac:dyDescent="0.2">
      <c r="A81">
        <v>46122.629012731479</v>
      </c>
      <c r="B81">
        <v>19.978135999999999</v>
      </c>
      <c r="C81">
        <v>20.040548000000001</v>
      </c>
      <c r="D81">
        <v>19.754614</v>
      </c>
      <c r="E81">
        <v>19.805876999999999</v>
      </c>
      <c r="F81">
        <v>33.683695</v>
      </c>
      <c r="G81">
        <v>31.332070999999999</v>
      </c>
      <c r="H81">
        <v>29.21209</v>
      </c>
      <c r="I81">
        <v>24.100771000000002</v>
      </c>
      <c r="J81">
        <v>55.254944000000002</v>
      </c>
      <c r="K81">
        <v>48.476919000000002</v>
      </c>
      <c r="L81">
        <v>22.526886999999999</v>
      </c>
      <c r="M81">
        <v>-622.49469399999998</v>
      </c>
      <c r="N81">
        <v>0.93369500000000005</v>
      </c>
      <c r="O81">
        <v>2.9162859999999999</v>
      </c>
      <c r="P81">
        <f t="shared" si="6"/>
        <v>1.5561583333333337E-5</v>
      </c>
      <c r="Q81" cm="1">
        <f t="array" ref="Q81">[1]!PropsSI("D","T",J81+273.15,"P",101325,"Water")</f>
        <v>985.56944294876348</v>
      </c>
      <c r="R81" cm="1">
        <f t="array" ref="R81">[1]!PropsSI("D","T",K81+273.15,"P",101325,"Water")</f>
        <v>988.71627855614099</v>
      </c>
      <c r="S81">
        <f t="shared" si="7"/>
        <v>987.14286075245218</v>
      </c>
      <c r="T81" cm="1">
        <f t="array" ref="T81">[1]!PropsSI("H","T",J81+273.15,"P",101325,"Water")</f>
        <v>231395.50638816223</v>
      </c>
      <c r="U81" cm="1">
        <f t="array" ref="U81">[1]!PropsSI("H","T",K81+273.15,"P",101325,"Water")</f>
        <v>203050.28734926676</v>
      </c>
      <c r="V81">
        <f t="shared" si="8"/>
        <v>435.42524920528376</v>
      </c>
    </row>
    <row r="82" spans="1:22" x14ac:dyDescent="0.2">
      <c r="A82">
        <v>46122.629070601855</v>
      </c>
      <c r="B82">
        <v>19.961611000000001</v>
      </c>
      <c r="C82">
        <v>20.019286000000001</v>
      </c>
      <c r="D82">
        <v>19.753323999999999</v>
      </c>
      <c r="E82">
        <v>19.812873</v>
      </c>
      <c r="F82">
        <v>33.428491000000001</v>
      </c>
      <c r="G82">
        <v>31.073221</v>
      </c>
      <c r="H82">
        <v>29.236619999999998</v>
      </c>
      <c r="I82">
        <v>24.319063</v>
      </c>
      <c r="J82">
        <v>55.263058999999998</v>
      </c>
      <c r="K82">
        <v>48.482635999999999</v>
      </c>
      <c r="L82">
        <v>24.359856000000001</v>
      </c>
      <c r="M82">
        <v>-622.52489700000001</v>
      </c>
      <c r="N82">
        <v>0.92683899999999997</v>
      </c>
      <c r="O82">
        <v>3.534408</v>
      </c>
      <c r="P82">
        <f t="shared" si="6"/>
        <v>1.5447316666666667E-5</v>
      </c>
      <c r="Q82" cm="1">
        <f t="array" ref="Q82">[1]!PropsSI("D","T",J82+273.15,"P",101325,"Water")</f>
        <v>985.56550068689523</v>
      </c>
      <c r="R82" cm="1">
        <f t="array" ref="R82">[1]!PropsSI("D","T",K82+273.15,"P",101325,"Water")</f>
        <v>988.71375028887519</v>
      </c>
      <c r="S82">
        <f t="shared" si="7"/>
        <v>987.13962548788527</v>
      </c>
      <c r="T82" cm="1">
        <f t="array" ref="T82">[1]!PropsSI("H","T",J82+273.15,"P",101325,"Water")</f>
        <v>231429.45184469159</v>
      </c>
      <c r="U82" cm="1">
        <f t="array" ref="U82">[1]!PropsSI("H","T",K82+273.15,"P",101325,"Water")</f>
        <v>203074.1897343302</v>
      </c>
      <c r="V82">
        <f t="shared" si="8"/>
        <v>432.37970545503174</v>
      </c>
    </row>
    <row r="83" spans="1:22" x14ac:dyDescent="0.2">
      <c r="A83">
        <v>46122.629129050925</v>
      </c>
      <c r="B83">
        <v>20.037687999999999</v>
      </c>
      <c r="C83">
        <v>20.060586000000001</v>
      </c>
      <c r="D83">
        <v>19.762111000000001</v>
      </c>
      <c r="E83">
        <v>19.804334000000001</v>
      </c>
      <c r="F83">
        <v>33.500953000000003</v>
      </c>
      <c r="G83">
        <v>30.700931000000001</v>
      </c>
      <c r="H83">
        <v>29.540182999999999</v>
      </c>
      <c r="I83">
        <v>24.165659000000002</v>
      </c>
      <c r="J83">
        <v>55.257013000000001</v>
      </c>
      <c r="K83">
        <v>48.486764999999998</v>
      </c>
      <c r="L83">
        <v>24.836158999999999</v>
      </c>
      <c r="M83">
        <v>-622.50122399999998</v>
      </c>
      <c r="N83">
        <v>0.93445699999999998</v>
      </c>
      <c r="O83">
        <v>4.0195679999999996</v>
      </c>
      <c r="P83">
        <f t="shared" si="6"/>
        <v>1.5574283333333334E-5</v>
      </c>
      <c r="Q83" cm="1">
        <f t="array" ref="Q83">[1]!PropsSI("D","T",J83+273.15,"P",101325,"Water")</f>
        <v>985.56843786860634</v>
      </c>
      <c r="R83" cm="1">
        <f t="array" ref="R83">[1]!PropsSI("D","T",K83+273.15,"P",101325,"Water")</f>
        <v>988.71192415779763</v>
      </c>
      <c r="S83">
        <f t="shared" si="7"/>
        <v>987.14018101320198</v>
      </c>
      <c r="T83" cm="1">
        <f t="array" ref="T83">[1]!PropsSI("H","T",J83+273.15,"P",101325,"Water")</f>
        <v>231404.16111778858</v>
      </c>
      <c r="U83" cm="1">
        <f t="array" ref="U83">[1]!PropsSI("H","T",K83+273.15,"P",101325,"Water")</f>
        <v>203091.45280546771</v>
      </c>
      <c r="V83">
        <f t="shared" si="8"/>
        <v>435.27960219219932</v>
      </c>
    </row>
    <row r="84" spans="1:22" x14ac:dyDescent="0.2">
      <c r="A84">
        <v>46122.629187500002</v>
      </c>
      <c r="B84">
        <v>20.003952999999999</v>
      </c>
      <c r="C84">
        <v>20.019469999999998</v>
      </c>
      <c r="D84">
        <v>19.760705999999999</v>
      </c>
      <c r="E84">
        <v>19.796278999999998</v>
      </c>
      <c r="F84">
        <v>33.710476</v>
      </c>
      <c r="G84">
        <v>30.815525999999998</v>
      </c>
      <c r="H84">
        <v>29.499316</v>
      </c>
      <c r="I84">
        <v>24.371952</v>
      </c>
      <c r="J84">
        <v>55.262104999999998</v>
      </c>
      <c r="K84">
        <v>48.481524</v>
      </c>
      <c r="L84">
        <v>22.183230999999999</v>
      </c>
      <c r="M84">
        <v>-622.50408100000004</v>
      </c>
      <c r="N84">
        <v>0.92899100000000001</v>
      </c>
      <c r="O84">
        <v>3.8634520000000001</v>
      </c>
      <c r="P84">
        <f t="shared" si="6"/>
        <v>1.5483183333333334E-5</v>
      </c>
      <c r="Q84" cm="1">
        <f t="array" ref="Q84">[1]!PropsSI("D","T",J84+273.15,"P",101325,"Water")</f>
        <v>985.56596416065133</v>
      </c>
      <c r="R84" cm="1">
        <f t="array" ref="R84">[1]!PropsSI("D","T",K84+273.15,"P",101325,"Water")</f>
        <v>988.71424207318239</v>
      </c>
      <c r="S84">
        <f t="shared" si="7"/>
        <v>987.14010311691686</v>
      </c>
      <c r="T84" cm="1">
        <f t="array" ref="T84">[1]!PropsSI("H","T",J84+273.15,"P",101325,"Water")</f>
        <v>231425.4612129899</v>
      </c>
      <c r="U84" cm="1">
        <f t="array" ref="U84">[1]!PropsSI("H","T",K84+273.15,"P",101325,"Water")</f>
        <v>203069.54053790233</v>
      </c>
      <c r="V84">
        <f t="shared" si="8"/>
        <v>433.39391031968461</v>
      </c>
    </row>
    <row r="85" spans="1:22" x14ac:dyDescent="0.2">
      <c r="A85">
        <v>46122.629245949072</v>
      </c>
      <c r="B85">
        <v>19.974623999999999</v>
      </c>
      <c r="C85">
        <v>19.982723</v>
      </c>
      <c r="D85">
        <v>19.747881</v>
      </c>
      <c r="E85">
        <v>19.791858999999999</v>
      </c>
      <c r="F85">
        <v>33.564320000000002</v>
      </c>
      <c r="G85">
        <v>31.297457999999999</v>
      </c>
      <c r="H85">
        <v>29.599914999999999</v>
      </c>
      <c r="I85">
        <v>24.093648000000002</v>
      </c>
      <c r="J85">
        <v>55.256216999999999</v>
      </c>
      <c r="K85">
        <v>48.481842</v>
      </c>
      <c r="L85">
        <v>22.784016999999999</v>
      </c>
      <c r="M85">
        <v>-622.48612300000002</v>
      </c>
      <c r="N85">
        <v>0.93034700000000004</v>
      </c>
      <c r="O85">
        <v>3.200078</v>
      </c>
      <c r="P85">
        <f t="shared" si="6"/>
        <v>1.5505783333333337E-5</v>
      </c>
      <c r="Q85" cm="1">
        <f t="array" ref="Q85">[1]!PropsSI("D","T",J85+273.15,"P",101325,"Water")</f>
        <v>985.5688245531278</v>
      </c>
      <c r="R85" cm="1">
        <f t="array" ref="R85">[1]!PropsSI("D","T",K85+273.15,"P",101325,"Water")</f>
        <v>988.71410143788069</v>
      </c>
      <c r="S85">
        <f t="shared" si="7"/>
        <v>987.1414629955043</v>
      </c>
      <c r="T85" cm="1">
        <f t="array" ref="T85">[1]!PropsSI("H","T",J85+273.15,"P",101325,"Water")</f>
        <v>231400.83141012306</v>
      </c>
      <c r="U85" cm="1">
        <f t="array" ref="U85">[1]!PropsSI("H","T",K85+273.15,"P",101325,"Water")</f>
        <v>203070.87007425728</v>
      </c>
      <c r="V85">
        <f t="shared" si="8"/>
        <v>433.62976678155991</v>
      </c>
    </row>
    <row r="86" spans="1:22" x14ac:dyDescent="0.2">
      <c r="A86">
        <v>46122.62930439815</v>
      </c>
      <c r="B86">
        <v>19.909876000000001</v>
      </c>
      <c r="C86">
        <v>19.932918000000001</v>
      </c>
      <c r="D86">
        <v>19.735468999999998</v>
      </c>
      <c r="E86">
        <v>19.776586000000002</v>
      </c>
      <c r="F86">
        <v>33.651429</v>
      </c>
      <c r="G86">
        <v>30.777093000000001</v>
      </c>
      <c r="H86">
        <v>29.679687000000001</v>
      </c>
      <c r="I86">
        <v>24.412381</v>
      </c>
      <c r="J86">
        <v>55.254148999999998</v>
      </c>
      <c r="K86">
        <v>48.480730000000001</v>
      </c>
      <c r="L86">
        <v>22.941967999999999</v>
      </c>
      <c r="M86">
        <v>-622.48857199999998</v>
      </c>
      <c r="N86">
        <v>0.93002300000000004</v>
      </c>
      <c r="O86">
        <v>3.4386930000000002</v>
      </c>
      <c r="P86">
        <f t="shared" si="6"/>
        <v>1.5500383333333335E-5</v>
      </c>
      <c r="Q86" cm="1">
        <f t="array" ref="Q86">[1]!PropsSI("D","T",J86+273.15,"P",101325,"Water")</f>
        <v>985.56982913732202</v>
      </c>
      <c r="R86" cm="1">
        <f t="array" ref="R86">[1]!PropsSI("D","T",K86+273.15,"P",101325,"Water")</f>
        <v>988.71459321629038</v>
      </c>
      <c r="S86">
        <f t="shared" si="7"/>
        <v>987.1422111768062</v>
      </c>
      <c r="T86" cm="1">
        <f t="array" ref="T86">[1]!PropsSI("H","T",J86+273.15,"P",101325,"Water")</f>
        <v>231392.18086415844</v>
      </c>
      <c r="U86" cm="1">
        <f t="array" ref="U86">[1]!PropsSI("H","T",K86+273.15,"P",101325,"Water")</f>
        <v>203066.22087802977</v>
      </c>
      <c r="V86">
        <f t="shared" si="8"/>
        <v>433.41785567452848</v>
      </c>
    </row>
    <row r="87" spans="1:22" x14ac:dyDescent="0.2">
      <c r="A87">
        <v>46122.629362268519</v>
      </c>
      <c r="B87">
        <v>19.926271</v>
      </c>
      <c r="C87">
        <v>19.986333999999999</v>
      </c>
      <c r="D87">
        <v>19.760546999999999</v>
      </c>
      <c r="E87">
        <v>19.811288999999999</v>
      </c>
      <c r="F87">
        <v>33.662754</v>
      </c>
      <c r="G87">
        <v>30.638784000000001</v>
      </c>
      <c r="H87">
        <v>29.558730000000001</v>
      </c>
      <c r="I87">
        <v>24.105174999999999</v>
      </c>
      <c r="J87">
        <v>55.253034999999997</v>
      </c>
      <c r="K87">
        <v>48.475014000000002</v>
      </c>
      <c r="L87">
        <v>23.455411999999999</v>
      </c>
      <c r="M87">
        <v>-622.48693900000001</v>
      </c>
      <c r="N87">
        <v>0.93027300000000002</v>
      </c>
      <c r="O87">
        <v>3.658525</v>
      </c>
      <c r="P87">
        <f t="shared" si="6"/>
        <v>1.550455E-5</v>
      </c>
      <c r="Q87" cm="1">
        <f t="array" ref="Q87">[1]!PropsSI("D","T",J87+273.15,"P",101325,"Water")</f>
        <v>985.57037028051275</v>
      </c>
      <c r="R87" cm="1">
        <f t="array" ref="R87">[1]!PropsSI("D","T",K87+273.15,"P",101325,"Water")</f>
        <v>988.7171209685755</v>
      </c>
      <c r="S87">
        <f t="shared" si="7"/>
        <v>987.14374562454418</v>
      </c>
      <c r="T87" cm="1">
        <f t="array" ref="T87">[1]!PropsSI("H","T",J87+273.15,"P",101325,"Water")</f>
        <v>231387.5209478311</v>
      </c>
      <c r="U87" cm="1">
        <f t="array" ref="U87">[1]!PropsSI("H","T",K87+273.15,"P",101325,"Water")</f>
        <v>203042.32267667892</v>
      </c>
      <c r="V87">
        <f t="shared" si="8"/>
        <v>433.82948304638353</v>
      </c>
    </row>
    <row r="88" spans="1:22" x14ac:dyDescent="0.2">
      <c r="A88">
        <v>46122.629420138888</v>
      </c>
      <c r="B88">
        <v>19.986795999999998</v>
      </c>
      <c r="C88">
        <v>20.022662</v>
      </c>
      <c r="D88">
        <v>19.791993999999999</v>
      </c>
      <c r="E88">
        <v>19.804722999999999</v>
      </c>
      <c r="F88">
        <v>33.616416000000001</v>
      </c>
      <c r="G88">
        <v>30.897257</v>
      </c>
      <c r="H88">
        <v>29.337419000000001</v>
      </c>
      <c r="I88">
        <v>24.209509000000001</v>
      </c>
      <c r="J88">
        <v>55.259877000000003</v>
      </c>
      <c r="K88">
        <v>48.476761000000003</v>
      </c>
      <c r="L88">
        <v>23.158691999999999</v>
      </c>
      <c r="M88">
        <v>-622.44122700000003</v>
      </c>
      <c r="N88">
        <v>0.93443299999999996</v>
      </c>
      <c r="O88">
        <v>4.0568400000000002</v>
      </c>
      <c r="P88">
        <f t="shared" si="6"/>
        <v>1.5573883333333333E-5</v>
      </c>
      <c r="Q88" cm="1">
        <f t="array" ref="Q88">[1]!PropsSI("D","T",J88+273.15,"P",101325,"Water")</f>
        <v>985.56704654908492</v>
      </c>
      <c r="R88" cm="1">
        <f t="array" ref="R88">[1]!PropsSI("D","T",K88+273.15,"P",101325,"Water")</f>
        <v>988.71634842645369</v>
      </c>
      <c r="S88">
        <f t="shared" si="7"/>
        <v>987.14169748776931</v>
      </c>
      <c r="T88" cm="1">
        <f t="array" ref="T88">[1]!PropsSI("H","T",J88+273.15,"P",101325,"Water")</f>
        <v>231416.14137444951</v>
      </c>
      <c r="U88" cm="1">
        <f t="array" ref="U88">[1]!PropsSI("H","T",K88+273.15,"P",101325,"Water")</f>
        <v>203049.62676217145</v>
      </c>
      <c r="V88">
        <f t="shared" si="8"/>
        <v>436.09628954720642</v>
      </c>
    </row>
    <row r="89" spans="1:22" x14ac:dyDescent="0.2">
      <c r="A89">
        <v>46122.629478587965</v>
      </c>
      <c r="B89">
        <v>20.050424</v>
      </c>
      <c r="C89">
        <v>20.019106000000001</v>
      </c>
      <c r="D89">
        <v>19.782634000000002</v>
      </c>
      <c r="E89">
        <v>19.828552999999999</v>
      </c>
      <c r="F89">
        <v>33.537512999999997</v>
      </c>
      <c r="G89">
        <v>31.166201999999998</v>
      </c>
      <c r="H89">
        <v>29.281189000000001</v>
      </c>
      <c r="I89">
        <v>24.261903</v>
      </c>
      <c r="J89">
        <v>55.254784999999998</v>
      </c>
      <c r="K89">
        <v>48.483111999999998</v>
      </c>
      <c r="L89">
        <v>25.765499999999999</v>
      </c>
      <c r="M89">
        <v>-622.49183700000003</v>
      </c>
      <c r="N89">
        <v>0.93395700000000004</v>
      </c>
      <c r="O89">
        <v>3.9632079999999998</v>
      </c>
      <c r="P89">
        <f t="shared" si="6"/>
        <v>1.556595E-5</v>
      </c>
      <c r="Q89" cm="1">
        <f t="array" ref="Q89">[1]!PropsSI("D","T",J89+273.15,"P",101325,"Water")</f>
        <v>985.56952018678635</v>
      </c>
      <c r="R89" cm="1">
        <f t="array" ref="R89">[1]!PropsSI("D","T",K89+273.15,"P",101325,"Water")</f>
        <v>988.71353977434921</v>
      </c>
      <c r="S89">
        <f t="shared" si="7"/>
        <v>987.14152998056784</v>
      </c>
      <c r="T89" cm="1">
        <f t="array" ref="T89">[1]!PropsSI("H","T",J89+273.15,"P",101325,"Water")</f>
        <v>231394.84128331355</v>
      </c>
      <c r="U89" cm="1">
        <f t="array" ref="U89">[1]!PropsSI("H","T",K89+273.15,"P",101325,"Water")</f>
        <v>203076.17985808852</v>
      </c>
      <c r="V89">
        <f t="shared" si="8"/>
        <v>435.13876591786135</v>
      </c>
    </row>
    <row r="90" spans="1:22" x14ac:dyDescent="0.2">
      <c r="A90">
        <v>46122.629536458335</v>
      </c>
      <c r="B90">
        <v>20.051251000000001</v>
      </c>
      <c r="C90">
        <v>20.036878999999999</v>
      </c>
      <c r="D90">
        <v>19.785544000000002</v>
      </c>
      <c r="E90">
        <v>19.836948</v>
      </c>
      <c r="F90">
        <v>33.757353000000002</v>
      </c>
      <c r="G90">
        <v>30.690657999999999</v>
      </c>
      <c r="H90">
        <v>29.378558999999999</v>
      </c>
      <c r="I90">
        <v>24.205287999999999</v>
      </c>
      <c r="J90">
        <v>55.260513000000003</v>
      </c>
      <c r="K90">
        <v>48.485177</v>
      </c>
      <c r="L90">
        <v>22.911766</v>
      </c>
      <c r="M90">
        <v>-622.50204099999996</v>
      </c>
      <c r="N90">
        <v>0.93293700000000002</v>
      </c>
      <c r="O90">
        <v>4.0250830000000004</v>
      </c>
      <c r="P90">
        <f t="shared" si="6"/>
        <v>1.554895E-5</v>
      </c>
      <c r="Q90" cm="1">
        <f t="array" ref="Q90">[1]!PropsSI("D","T",J90+273.15,"P",101325,"Water")</f>
        <v>985.56673757597093</v>
      </c>
      <c r="R90" cm="1">
        <f t="array" ref="R90">[1]!PropsSI("D","T",K90+273.15,"P",101325,"Water")</f>
        <v>988.71262649533901</v>
      </c>
      <c r="S90">
        <f t="shared" si="7"/>
        <v>987.13968203565491</v>
      </c>
      <c r="T90" cm="1">
        <f t="array" ref="T90">[1]!PropsSI("H","T",J90+273.15,"P",101325,"Water")</f>
        <v>231418.80179493781</v>
      </c>
      <c r="U90" cm="1">
        <f t="array" ref="U90">[1]!PropsSI("H","T",K90+273.15,"P",101325,"Water")</f>
        <v>203084.81348382545</v>
      </c>
      <c r="V90">
        <f t="shared" si="8"/>
        <v>434.89797741580685</v>
      </c>
    </row>
    <row r="91" spans="1:22" x14ac:dyDescent="0.2">
      <c r="A91">
        <v>46122.629594907405</v>
      </c>
      <c r="B91">
        <v>20.035847</v>
      </c>
      <c r="C91">
        <v>20.023229000000001</v>
      </c>
      <c r="D91">
        <v>19.773752999999999</v>
      </c>
      <c r="E91">
        <v>19.850099</v>
      </c>
      <c r="F91">
        <v>33.695568999999999</v>
      </c>
      <c r="G91">
        <v>30.977546</v>
      </c>
      <c r="H91">
        <v>29.537475000000001</v>
      </c>
      <c r="I91">
        <v>24.029399000000002</v>
      </c>
      <c r="J91">
        <v>55.260354</v>
      </c>
      <c r="K91">
        <v>48.485017999999997</v>
      </c>
      <c r="L91">
        <v>23.539080999999999</v>
      </c>
      <c r="M91">
        <v>-622.50163299999997</v>
      </c>
      <c r="N91">
        <v>0.93289999999999995</v>
      </c>
      <c r="O91">
        <v>3.6263619999999999</v>
      </c>
      <c r="P91">
        <f t="shared" si="6"/>
        <v>1.5548333333333332E-5</v>
      </c>
      <c r="Q91" cm="1">
        <f t="array" ref="Q91">[1]!PropsSI("D","T",J91+273.15,"P",101325,"Water")</f>
        <v>985.56681481949897</v>
      </c>
      <c r="R91" cm="1">
        <f t="array" ref="R91">[1]!PropsSI("D","T",K91+273.15,"P",101325,"Water")</f>
        <v>988.71269681661556</v>
      </c>
      <c r="S91">
        <f t="shared" si="7"/>
        <v>987.13975581805721</v>
      </c>
      <c r="T91" cm="1">
        <f t="array" ref="T91">[1]!PropsSI("H","T",J91+273.15,"P",101325,"Water")</f>
        <v>231418.13668981497</v>
      </c>
      <c r="U91" cm="1">
        <f t="array" ref="U91">[1]!PropsSI("H","T",K91+273.15,"P",101325,"Water")</f>
        <v>203084.14871551027</v>
      </c>
      <c r="V91">
        <f t="shared" si="8"/>
        <v>434.88075682832203</v>
      </c>
    </row>
    <row r="92" spans="1:22" x14ac:dyDescent="0.2">
      <c r="A92">
        <v>46122.629652777781</v>
      </c>
      <c r="B92">
        <v>19.993804999999998</v>
      </c>
      <c r="C92">
        <v>19.983861000000001</v>
      </c>
      <c r="D92">
        <v>19.74391</v>
      </c>
      <c r="E92">
        <v>19.812978999999999</v>
      </c>
      <c r="F92">
        <v>33.515138</v>
      </c>
      <c r="G92">
        <v>30.531531000000001</v>
      </c>
      <c r="H92">
        <v>29.338543000000001</v>
      </c>
      <c r="I92">
        <v>23.973710000000001</v>
      </c>
      <c r="J92">
        <v>55.265605000000001</v>
      </c>
      <c r="K92">
        <v>48.493274999999997</v>
      </c>
      <c r="L92">
        <v>24.503523000000001</v>
      </c>
      <c r="M92">
        <v>-622.52203999999995</v>
      </c>
      <c r="N92">
        <v>0.93213000000000001</v>
      </c>
      <c r="O92">
        <v>3.7785250000000001</v>
      </c>
      <c r="P92">
        <f t="shared" si="6"/>
        <v>1.5535500000000001E-5</v>
      </c>
      <c r="Q92" cm="1">
        <f t="array" ref="Q92">[1]!PropsSI("D","T",J92+273.15,"P",101325,"Water")</f>
        <v>985.564263757704</v>
      </c>
      <c r="R92" cm="1">
        <f t="array" ref="R92">[1]!PropsSI("D","T",K92+273.15,"P",101325,"Water")</f>
        <v>988.70904475157511</v>
      </c>
      <c r="S92">
        <f t="shared" si="7"/>
        <v>987.13665425463955</v>
      </c>
      <c r="T92" cm="1">
        <f t="array" ref="T92">[1]!PropsSI("H","T",J92+273.15,"P",101325,"Water")</f>
        <v>231440.10189673552</v>
      </c>
      <c r="U92" cm="1">
        <f t="array" ref="U92">[1]!PropsSI("H","T",K92+273.15,"P",101325,"Water")</f>
        <v>203118.67068641912</v>
      </c>
      <c r="V92">
        <f t="shared" si="8"/>
        <v>434.32788201527444</v>
      </c>
    </row>
    <row r="93" spans="1:22" x14ac:dyDescent="0.2">
      <c r="A93">
        <v>46122.629711226851</v>
      </c>
      <c r="B93">
        <v>19.993169000000002</v>
      </c>
      <c r="C93">
        <v>19.956755999999999</v>
      </c>
      <c r="D93">
        <v>19.747228</v>
      </c>
      <c r="E93">
        <v>19.817412000000001</v>
      </c>
      <c r="F93">
        <v>33.426620999999997</v>
      </c>
      <c r="G93">
        <v>31.314125000000001</v>
      </c>
      <c r="H93">
        <v>29.521445</v>
      </c>
      <c r="I93">
        <v>24.522670000000002</v>
      </c>
      <c r="J93">
        <v>55.267355999999999</v>
      </c>
      <c r="K93">
        <v>48.496291999999997</v>
      </c>
      <c r="L93">
        <v>23.497858999999998</v>
      </c>
      <c r="M93">
        <v>-622.44694100000004</v>
      </c>
      <c r="N93">
        <v>0.93146600000000002</v>
      </c>
      <c r="O93">
        <v>3.400315</v>
      </c>
      <c r="P93">
        <f t="shared" si="6"/>
        <v>1.5524433333333333E-5</v>
      </c>
      <c r="Q93" cm="1">
        <f t="array" ref="Q93">[1]!PropsSI("D","T",J93+273.15,"P",101325,"Water")</f>
        <v>985.56341304193791</v>
      </c>
      <c r="R93" cm="1">
        <f t="array" ref="R93">[1]!PropsSI("D","T",K93+273.15,"P",101325,"Water")</f>
        <v>988.70771022115321</v>
      </c>
      <c r="S93">
        <f t="shared" si="7"/>
        <v>987.13556163154556</v>
      </c>
      <c r="T93" cm="1">
        <f t="array" ref="T93">[1]!PropsSI("H","T",J93+273.15,"P",101325,"Water")</f>
        <v>231447.42642332724</v>
      </c>
      <c r="U93" cm="1">
        <f t="array" ref="U93">[1]!PropsSI("H","T",K93+273.15,"P",101325,"Water")</f>
        <v>203131.28456828094</v>
      </c>
      <c r="V93">
        <f t="shared" si="8"/>
        <v>433.93695156795121</v>
      </c>
    </row>
    <row r="94" spans="1:22" x14ac:dyDescent="0.2">
      <c r="A94">
        <v>46122.629769675928</v>
      </c>
      <c r="B94">
        <v>20.038186</v>
      </c>
      <c r="C94">
        <v>20.059453999999999</v>
      </c>
      <c r="D94">
        <v>19.770268000000002</v>
      </c>
      <c r="E94">
        <v>19.834699000000001</v>
      </c>
      <c r="F94">
        <v>33.629877999999998</v>
      </c>
      <c r="G94">
        <v>30.758378</v>
      </c>
      <c r="H94">
        <v>29.258300999999999</v>
      </c>
      <c r="I94">
        <v>24.336148000000001</v>
      </c>
      <c r="J94">
        <v>55.266877999999998</v>
      </c>
      <c r="K94">
        <v>48.498198000000002</v>
      </c>
      <c r="L94">
        <v>23.495818</v>
      </c>
      <c r="M94">
        <v>-622.48000100000002</v>
      </c>
      <c r="N94">
        <v>0.93230999999999997</v>
      </c>
      <c r="O94">
        <v>3.119408</v>
      </c>
      <c r="P94">
        <f t="shared" si="6"/>
        <v>1.55385E-5</v>
      </c>
      <c r="Q94" cm="1">
        <f t="array" ref="Q94">[1]!PropsSI("D","T",J94+273.15,"P",101325,"Water")</f>
        <v>985.563645278065</v>
      </c>
      <c r="R94" cm="1">
        <f t="array" ref="R94">[1]!PropsSI("D","T",K94+273.15,"P",101325,"Water")</f>
        <v>988.70686709569634</v>
      </c>
      <c r="S94">
        <f t="shared" si="7"/>
        <v>987.13525618688072</v>
      </c>
      <c r="T94" cm="1">
        <f t="array" ref="T94">[1]!PropsSI("H","T",J94+273.15,"P",101325,"Water")</f>
        <v>231445.42692360989</v>
      </c>
      <c r="U94" cm="1">
        <f t="array" ref="U94">[1]!PropsSI("H","T",K94+273.15,"P",101325,"Water")</f>
        <v>203139.25343217916</v>
      </c>
      <c r="V94">
        <f t="shared" si="8"/>
        <v>434.17710606768702</v>
      </c>
    </row>
    <row r="95" spans="1:22" x14ac:dyDescent="0.2">
      <c r="A95">
        <v>46122.629828124998</v>
      </c>
      <c r="B95">
        <v>20.034132</v>
      </c>
      <c r="C95">
        <v>20.093982</v>
      </c>
      <c r="D95">
        <v>19.786217000000001</v>
      </c>
      <c r="E95">
        <v>19.813025</v>
      </c>
      <c r="F95">
        <v>33.613951999999998</v>
      </c>
      <c r="G95">
        <v>30.738939999999999</v>
      </c>
      <c r="H95">
        <v>29.318726999999999</v>
      </c>
      <c r="I95">
        <v>23.909164000000001</v>
      </c>
      <c r="J95">
        <v>55.271493</v>
      </c>
      <c r="K95">
        <v>48.496769</v>
      </c>
      <c r="L95">
        <v>22.646881</v>
      </c>
      <c r="M95">
        <v>-622.5</v>
      </c>
      <c r="N95">
        <v>0.93271999999999999</v>
      </c>
      <c r="O95">
        <v>3.3482129999999999</v>
      </c>
      <c r="P95">
        <f t="shared" si="6"/>
        <v>1.5545333333333335E-5</v>
      </c>
      <c r="Q95" cm="1">
        <f t="array" ref="Q95">[1]!PropsSI("D","T",J95+273.15,"P",101325,"Water")</f>
        <v>985.56140302298536</v>
      </c>
      <c r="R95" cm="1">
        <f t="array" ref="R95">[1]!PropsSI("D","T",K95+273.15,"P",101325,"Water")</f>
        <v>988.70749922089624</v>
      </c>
      <c r="S95">
        <f t="shared" si="7"/>
        <v>987.13445112194086</v>
      </c>
      <c r="T95" cm="1">
        <f t="array" ref="T95">[1]!PropsSI("H","T",J95+273.15,"P",101325,"Water")</f>
        <v>231464.73171984724</v>
      </c>
      <c r="U95" cm="1">
        <f t="array" ref="U95">[1]!PropsSI("H","T",K95+273.15,"P",101325,"Water")</f>
        <v>203133.27887459606</v>
      </c>
      <c r="V95">
        <f t="shared" si="8"/>
        <v>434.75560909484761</v>
      </c>
    </row>
    <row r="96" spans="1:22" x14ac:dyDescent="0.2">
      <c r="A96">
        <v>46122.629886574075</v>
      </c>
      <c r="B96">
        <v>20.053688000000001</v>
      </c>
      <c r="C96">
        <v>20.140309999999999</v>
      </c>
      <c r="D96">
        <v>19.791906999999998</v>
      </c>
      <c r="E96">
        <v>19.840259</v>
      </c>
      <c r="F96">
        <v>33.733663</v>
      </c>
      <c r="G96">
        <v>31.019957000000002</v>
      </c>
      <c r="H96">
        <v>29.365867999999999</v>
      </c>
      <c r="I96">
        <v>24.108512999999999</v>
      </c>
      <c r="J96">
        <v>55.268946999999997</v>
      </c>
      <c r="K96">
        <v>48.499626999999997</v>
      </c>
      <c r="L96">
        <v>24.004771999999999</v>
      </c>
      <c r="M96">
        <v>-622.50367300000005</v>
      </c>
      <c r="N96">
        <v>0.933338</v>
      </c>
      <c r="O96">
        <v>4.079332</v>
      </c>
      <c r="P96">
        <f t="shared" si="6"/>
        <v>1.5555633333333334E-5</v>
      </c>
      <c r="Q96" cm="1">
        <f t="array" ref="Q96">[1]!PropsSI("D","T",J96+273.15,"P",101325,"Water")</f>
        <v>985.56264004502043</v>
      </c>
      <c r="R96" cm="1">
        <f t="array" ref="R96">[1]!PropsSI("D","T",K96+273.15,"P",101325,"Water")</f>
        <v>988.70623495687721</v>
      </c>
      <c r="S96">
        <f t="shared" si="7"/>
        <v>987.13443750094882</v>
      </c>
      <c r="T96" cm="1">
        <f t="array" ref="T96">[1]!PropsSI("H","T",J96+273.15,"P",101325,"Water")</f>
        <v>231454.08166230808</v>
      </c>
      <c r="U96" cm="1">
        <f t="array" ref="U96">[1]!PropsSI("H","T",K96+273.15,"P",101325,"Water")</f>
        <v>203145.22799028893</v>
      </c>
      <c r="V96">
        <f t="shared" si="8"/>
        <v>434.69664107406476</v>
      </c>
    </row>
    <row r="97" spans="1:22" x14ac:dyDescent="0.2">
      <c r="A97">
        <v>46122.629944444445</v>
      </c>
      <c r="B97">
        <v>20.031099999999999</v>
      </c>
      <c r="C97">
        <v>20.059626000000002</v>
      </c>
      <c r="D97">
        <v>19.756042999999998</v>
      </c>
      <c r="E97">
        <v>19.792123</v>
      </c>
      <c r="F97">
        <v>33.738317000000002</v>
      </c>
      <c r="G97">
        <v>30.436095000000002</v>
      </c>
      <c r="H97">
        <v>29.398178999999999</v>
      </c>
      <c r="I97">
        <v>24.38119</v>
      </c>
      <c r="J97">
        <v>55.273083999999997</v>
      </c>
      <c r="K97">
        <v>48.502803</v>
      </c>
      <c r="L97">
        <v>22.630147000000001</v>
      </c>
      <c r="M97">
        <v>-622.49020499999995</v>
      </c>
      <c r="N97">
        <v>0.93410099999999996</v>
      </c>
      <c r="O97">
        <v>3.603602</v>
      </c>
      <c r="P97">
        <f t="shared" si="6"/>
        <v>1.5568350000000001E-5</v>
      </c>
      <c r="Q97" cm="1">
        <f t="array" ref="Q97">[1]!PropsSI("D","T",J97+273.15,"P",101325,"Water")</f>
        <v>985.56062998534298</v>
      </c>
      <c r="R97" cm="1">
        <f t="array" ref="R97">[1]!PropsSI("D","T",K97+273.15,"P",101325,"Water")</f>
        <v>988.70482995851137</v>
      </c>
      <c r="S97">
        <f t="shared" si="7"/>
        <v>987.13272997192712</v>
      </c>
      <c r="T97" cm="1">
        <f t="array" ref="T97">[1]!PropsSI("H","T",J97+273.15,"P",101325,"Water")</f>
        <v>231471.38696127341</v>
      </c>
      <c r="U97" cm="1">
        <f t="array" ref="U97">[1]!PropsSI("H","T",K97+273.15,"P",101325,"Water")</f>
        <v>203158.50664609668</v>
      </c>
      <c r="V97">
        <f t="shared" si="8"/>
        <v>435.11313281961526</v>
      </c>
    </row>
    <row r="98" spans="1:22" x14ac:dyDescent="0.2">
      <c r="A98">
        <v>46122.630002893522</v>
      </c>
      <c r="B98">
        <v>19.964293000000001</v>
      </c>
      <c r="C98">
        <v>20.008476000000002</v>
      </c>
      <c r="D98">
        <v>19.733691</v>
      </c>
      <c r="E98">
        <v>19.790225</v>
      </c>
      <c r="F98">
        <v>33.496786</v>
      </c>
      <c r="G98">
        <v>30.749374</v>
      </c>
      <c r="H98">
        <v>29.114573</v>
      </c>
      <c r="I98">
        <v>23.884416000000002</v>
      </c>
      <c r="J98">
        <v>55.275312</v>
      </c>
      <c r="K98">
        <v>48.500739000000003</v>
      </c>
      <c r="L98">
        <v>22.972987</v>
      </c>
      <c r="M98">
        <v>-622.49714300000005</v>
      </c>
      <c r="N98">
        <v>0.93515800000000004</v>
      </c>
      <c r="O98">
        <v>3.4135949999999999</v>
      </c>
      <c r="P98">
        <f t="shared" si="6"/>
        <v>1.5585966666666666E-5</v>
      </c>
      <c r="Q98" cm="1">
        <f t="array" ref="Q98">[1]!PropsSI("D","T",J98+273.15,"P",101325,"Water")</f>
        <v>985.55954741475148</v>
      </c>
      <c r="R98" cm="1">
        <f t="array" ref="R98">[1]!PropsSI("D","T",K98+273.15,"P",101325,"Water")</f>
        <v>988.70574303815465</v>
      </c>
      <c r="S98">
        <f t="shared" si="7"/>
        <v>987.13264522645306</v>
      </c>
      <c r="T98" cm="1">
        <f t="array" ref="T98">[1]!PropsSI("H","T",J98+273.15,"P",101325,"Water")</f>
        <v>231480.70681060155</v>
      </c>
      <c r="U98" cm="1">
        <f t="array" ref="U98">[1]!PropsSI("H","T",K98+273.15,"P",101325,"Water")</f>
        <v>203149.8771919063</v>
      </c>
      <c r="V98">
        <f t="shared" si="8"/>
        <v>435.88161358969546</v>
      </c>
    </row>
    <row r="99" spans="1:22" x14ac:dyDescent="0.2">
      <c r="A99">
        <v>46122.630060763891</v>
      </c>
      <c r="B99">
        <v>19.938579000000001</v>
      </c>
      <c r="C99">
        <v>19.961379999999998</v>
      </c>
      <c r="D99">
        <v>19.768104999999998</v>
      </c>
      <c r="E99">
        <v>19.811875000000001</v>
      </c>
      <c r="F99">
        <v>33.775675999999997</v>
      </c>
      <c r="G99">
        <v>30.664431</v>
      </c>
      <c r="H99">
        <v>29.185172000000001</v>
      </c>
      <c r="I99">
        <v>24.043333000000001</v>
      </c>
      <c r="J99">
        <v>55.280244000000003</v>
      </c>
      <c r="K99">
        <v>48.503121</v>
      </c>
      <c r="L99">
        <v>23.926409</v>
      </c>
      <c r="M99">
        <v>-622.50326500000006</v>
      </c>
      <c r="N99">
        <v>0.93183000000000005</v>
      </c>
      <c r="O99">
        <v>3.740847</v>
      </c>
      <c r="P99">
        <f t="shared" si="6"/>
        <v>1.55305E-5</v>
      </c>
      <c r="Q99" cm="1">
        <f t="array" ref="Q99">[1]!PropsSI("D","T",J99+273.15,"P",101325,"Water")</f>
        <v>985.5571508789709</v>
      </c>
      <c r="R99" cm="1">
        <f t="array" ref="R99">[1]!PropsSI("D","T",K99+273.15,"P",101325,"Water")</f>
        <v>988.70468927801699</v>
      </c>
      <c r="S99">
        <f t="shared" si="7"/>
        <v>987.130920078494</v>
      </c>
      <c r="T99" cm="1">
        <f t="array" ref="T99">[1]!PropsSI("H","T",J99+273.15,"P",101325,"Water")</f>
        <v>231501.33765062364</v>
      </c>
      <c r="U99" cm="1">
        <f t="array" ref="U99">[1]!PropsSI("H","T",K99+273.15,"P",101325,"Water")</f>
        <v>203159.83618419495</v>
      </c>
      <c r="V99">
        <f t="shared" si="8"/>
        <v>434.49326405268522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54AB1-8889-D543-B205-CF4CF7D92358}">
  <dimension ref="A1:W74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44660.631657407597</v>
      </c>
      <c r="B2">
        <v>19.937186000000001</v>
      </c>
      <c r="C2">
        <v>19.908207000000001</v>
      </c>
      <c r="D2">
        <v>19.759758000000001</v>
      </c>
      <c r="E2">
        <v>19.786147</v>
      </c>
      <c r="F2">
        <v>31.00572</v>
      </c>
      <c r="G2">
        <v>28.730153000000001</v>
      </c>
      <c r="H2">
        <v>26.638231000000001</v>
      </c>
      <c r="I2">
        <v>23.092186999999999</v>
      </c>
      <c r="J2">
        <v>55.249375000000001</v>
      </c>
      <c r="K2">
        <v>47.755916999999997</v>
      </c>
      <c r="L2">
        <v>39.303598000000001</v>
      </c>
      <c r="M2">
        <v>-622.52163199999995</v>
      </c>
      <c r="N2">
        <v>0.92908500000000005</v>
      </c>
      <c r="O2">
        <v>3.5853410000000001</v>
      </c>
      <c r="P2">
        <f t="shared" ref="P2:P11" si="0" xml:space="preserve"> N2*0.001/60</f>
        <v>1.5484750000000001E-5</v>
      </c>
      <c r="Q2" cm="1">
        <f t="array" ref="Q2">[1]!PropsSI("D","T",J2+273.15,"P",101325,"Water")</f>
        <v>985.57214812951452</v>
      </c>
      <c r="R2" cm="1">
        <f t="array" ref="R2">[1]!PropsSI("D","T",K2+273.15,"P",101325,"Water")</f>
        <v>989.03337768234098</v>
      </c>
      <c r="S2">
        <f t="shared" ref="S2:S11" si="1">(Q2+R2)/2</f>
        <v>987.30276290592769</v>
      </c>
      <c r="T2" cm="1">
        <f t="array" ref="T2">[1]!PropsSI("H","T",J2+273.15,"P",101325,"Water")</f>
        <v>231372.21099268959</v>
      </c>
      <c r="U2" cm="1">
        <f t="array" ref="U2">[1]!PropsSI("H","T",K2+273.15,"P",101325,"Water")</f>
        <v>200035.8937805013</v>
      </c>
      <c r="V2">
        <f t="shared" ref="V2:V11" si="2">S2*P2*(T2-U2)</f>
        <v>479.07389362821226</v>
      </c>
      <c r="W2" s="2">
        <f>AVERAGE(V16:V74)</f>
        <v>482.65672646957887</v>
      </c>
    </row>
    <row r="3" spans="1:23" x14ac:dyDescent="0.2">
      <c r="A3">
        <v>44660.631715278003</v>
      </c>
      <c r="B3">
        <v>19.872744000000001</v>
      </c>
      <c r="C3">
        <v>19.86149</v>
      </c>
      <c r="D3">
        <v>19.728376999999998</v>
      </c>
      <c r="E3">
        <v>19.727509000000001</v>
      </c>
      <c r="F3">
        <v>30.902131000000001</v>
      </c>
      <c r="G3">
        <v>28.544550999999998</v>
      </c>
      <c r="H3">
        <v>26.426933999999999</v>
      </c>
      <c r="I3">
        <v>23.275366999999999</v>
      </c>
      <c r="J3">
        <v>55.243805999999999</v>
      </c>
      <c r="K3">
        <v>47.754012000000003</v>
      </c>
      <c r="L3">
        <v>39.821531</v>
      </c>
      <c r="M3">
        <v>-622.46285899999998</v>
      </c>
      <c r="N3">
        <v>0.92870799999999998</v>
      </c>
      <c r="O3">
        <v>3.5659109999999998</v>
      </c>
      <c r="P3">
        <f t="shared" si="0"/>
        <v>1.5478466666666668E-5</v>
      </c>
      <c r="Q3" cm="1">
        <f t="array" ref="Q3">[1]!PropsSI("D","T",J3+273.15,"P",101325,"Water")</f>
        <v>985.57485311823325</v>
      </c>
      <c r="R3" cm="1">
        <f t="array" ref="R3">[1]!PropsSI("D","T",K3+273.15,"P",101325,"Water")</f>
        <v>989.03421088321056</v>
      </c>
      <c r="S3">
        <f t="shared" si="1"/>
        <v>987.30453200072191</v>
      </c>
      <c r="T3" cm="1">
        <f t="array" ref="T3">[1]!PropsSI("H","T",J3+273.15,"P",101325,"Water")</f>
        <v>231348.91560855898</v>
      </c>
      <c r="U3" cm="1">
        <f t="array" ref="U3">[1]!PropsSI("H","T",K3+273.15,"P",101325,"Water")</f>
        <v>200027.92945301224</v>
      </c>
      <c r="V3">
        <f t="shared" si="2"/>
        <v>478.64606662328384</v>
      </c>
      <c r="W3" s="2"/>
    </row>
    <row r="4" spans="1:23" x14ac:dyDescent="0.2">
      <c r="A4">
        <v>44660.6317731483</v>
      </c>
      <c r="B4">
        <v>19.856719999999999</v>
      </c>
      <c r="C4">
        <v>19.859304000000002</v>
      </c>
      <c r="D4">
        <v>19.660067000000002</v>
      </c>
      <c r="E4">
        <v>19.694545999999999</v>
      </c>
      <c r="F4">
        <v>30.831175999999999</v>
      </c>
      <c r="G4">
        <v>28.473092000000001</v>
      </c>
      <c r="H4">
        <v>26.620251</v>
      </c>
      <c r="I4">
        <v>23.294039999999999</v>
      </c>
      <c r="J4">
        <v>55.244283000000003</v>
      </c>
      <c r="K4">
        <v>47.75179</v>
      </c>
      <c r="L4">
        <v>39.237479</v>
      </c>
      <c r="M4">
        <v>-622.487348</v>
      </c>
      <c r="N4">
        <v>0.93147400000000002</v>
      </c>
      <c r="O4">
        <v>3.803166</v>
      </c>
      <c r="P4">
        <f t="shared" si="0"/>
        <v>1.5524566666666667E-5</v>
      </c>
      <c r="Q4" cm="1">
        <f t="array" ref="Q4">[1]!PropsSI("D","T",J4+273.15,"P",101325,"Water")</f>
        <v>985.57462143613873</v>
      </c>
      <c r="R4" cm="1">
        <f t="array" ref="R4">[1]!PropsSI("D","T",K4+273.15,"P",101325,"Water")</f>
        <v>989.03518270129871</v>
      </c>
      <c r="S4">
        <f t="shared" si="1"/>
        <v>987.30490206871877</v>
      </c>
      <c r="T4" cm="1">
        <f t="array" ref="T4">[1]!PropsSI("H","T",J4+273.15,"P",101325,"Water")</f>
        <v>231350.91092110556</v>
      </c>
      <c r="U4" cm="1">
        <f t="array" ref="U4">[1]!PropsSI("H","T",K4+273.15,"P",101325,"Water")</f>
        <v>200018.63982912543</v>
      </c>
      <c r="V4">
        <f t="shared" si="2"/>
        <v>480.24478272085213</v>
      </c>
      <c r="W4" s="2"/>
    </row>
    <row r="5" spans="1:23" x14ac:dyDescent="0.2">
      <c r="A5">
        <v>44660.631831018698</v>
      </c>
      <c r="B5">
        <v>19.775946000000001</v>
      </c>
      <c r="C5">
        <v>19.845869</v>
      </c>
      <c r="D5">
        <v>19.640008999999999</v>
      </c>
      <c r="E5">
        <v>19.695271999999999</v>
      </c>
      <c r="F5">
        <v>30.822354000000001</v>
      </c>
      <c r="G5">
        <v>28.365957999999999</v>
      </c>
      <c r="H5">
        <v>26.481354</v>
      </c>
      <c r="I5">
        <v>23.117757000000001</v>
      </c>
      <c r="J5">
        <v>55.247146999999998</v>
      </c>
      <c r="K5">
        <v>47.752425000000002</v>
      </c>
      <c r="L5">
        <v>37.847344</v>
      </c>
      <c r="M5">
        <v>-622.45510400000001</v>
      </c>
      <c r="N5">
        <v>0.93362500000000004</v>
      </c>
      <c r="O5">
        <v>3.391089</v>
      </c>
      <c r="P5">
        <f t="shared" si="0"/>
        <v>1.5560416666666668E-5</v>
      </c>
      <c r="Q5" cm="1">
        <f t="array" ref="Q5">[1]!PropsSI("D","T",J5+273.15,"P",101325,"Water")</f>
        <v>985.57323034235628</v>
      </c>
      <c r="R5" cm="1">
        <f t="array" ref="R5">[1]!PropsSI("D","T",K5+273.15,"P",101325,"Water")</f>
        <v>989.03490497991015</v>
      </c>
      <c r="S5">
        <f t="shared" si="1"/>
        <v>987.30406766113322</v>
      </c>
      <c r="T5" cm="1">
        <f t="array" ref="T5">[1]!PropsSI("H","T",J5+273.15,"P",101325,"Water")</f>
        <v>231362.89116446185</v>
      </c>
      <c r="U5" cm="1">
        <f t="array" ref="U5">[1]!PropsSI("H","T",K5+273.15,"P",101325,"Water")</f>
        <v>200021.29460450541</v>
      </c>
      <c r="V5">
        <f t="shared" si="2"/>
        <v>481.49664379354994</v>
      </c>
      <c r="W5" s="2"/>
    </row>
    <row r="6" spans="1:23" x14ac:dyDescent="0.2">
      <c r="A6">
        <v>46122.631889467593</v>
      </c>
      <c r="B6">
        <v>19.785561999999999</v>
      </c>
      <c r="C6">
        <v>19.770160000000001</v>
      </c>
      <c r="D6">
        <v>19.638586</v>
      </c>
      <c r="E6">
        <v>19.693674999999999</v>
      </c>
      <c r="F6">
        <v>30.821456999999999</v>
      </c>
      <c r="G6">
        <v>28.536068</v>
      </c>
      <c r="H6">
        <v>26.413152</v>
      </c>
      <c r="I6">
        <v>23.011775</v>
      </c>
      <c r="J6">
        <v>55.243009999999998</v>
      </c>
      <c r="K6">
        <v>47.742741000000002</v>
      </c>
      <c r="L6">
        <v>41.045552000000001</v>
      </c>
      <c r="M6">
        <v>-622.53795700000001</v>
      </c>
      <c r="N6">
        <v>0.92921200000000004</v>
      </c>
      <c r="O6">
        <v>3.4275859999999998</v>
      </c>
      <c r="P6">
        <f t="shared" si="0"/>
        <v>1.5486866666666666E-5</v>
      </c>
      <c r="Q6" cm="1">
        <f t="array" ref="Q6">[1]!PropsSI("D","T",J6+273.15,"P",101325,"Water")</f>
        <v>985.57523973767047</v>
      </c>
      <c r="R6" cm="1">
        <f t="array" ref="R6">[1]!PropsSI("D","T",K6+273.15,"P",101325,"Water")</f>
        <v>989.03914004546834</v>
      </c>
      <c r="S6">
        <f t="shared" si="1"/>
        <v>987.30718989156935</v>
      </c>
      <c r="T6" cm="1">
        <f t="array" ref="T6">[1]!PropsSI("H","T",J6+273.15,"P",101325,"Water")</f>
        <v>231345.58590474652</v>
      </c>
      <c r="U6" cm="1">
        <f t="array" ref="U6">[1]!PropsSI("H","T",K6+273.15,"P",101325,"Water")</f>
        <v>199980.80824540733</v>
      </c>
      <c r="V6">
        <f t="shared" si="2"/>
        <v>479.57669702664833</v>
      </c>
      <c r="W6" s="2"/>
    </row>
    <row r="7" spans="1:23" x14ac:dyDescent="0.2">
      <c r="A7">
        <v>46122.631947916663</v>
      </c>
      <c r="B7">
        <v>19.872561999999999</v>
      </c>
      <c r="C7">
        <v>19.849464000000001</v>
      </c>
      <c r="D7">
        <v>19.666194000000001</v>
      </c>
      <c r="E7">
        <v>19.727558999999999</v>
      </c>
      <c r="F7">
        <v>30.783850999999999</v>
      </c>
      <c r="G7">
        <v>28.026703000000001</v>
      </c>
      <c r="H7">
        <v>26.809426999999999</v>
      </c>
      <c r="I7">
        <v>22.864038000000001</v>
      </c>
      <c r="J7">
        <v>55.240464000000003</v>
      </c>
      <c r="K7">
        <v>47.735754999999997</v>
      </c>
      <c r="L7">
        <v>38.359155000000001</v>
      </c>
      <c r="M7">
        <v>-622.46122600000001</v>
      </c>
      <c r="N7">
        <v>0.93164999999999998</v>
      </c>
      <c r="O7">
        <v>3.664091</v>
      </c>
      <c r="P7">
        <f t="shared" si="0"/>
        <v>1.55275E-5</v>
      </c>
      <c r="Q7" cm="1">
        <f t="array" ref="Q7">[1]!PropsSI("D","T",J7+273.15,"P",101325,"Water")</f>
        <v>985.57647631070415</v>
      </c>
      <c r="R7" cm="1">
        <f t="array" ref="R7">[1]!PropsSI("D","T",K7+273.15,"P",101325,"Water")</f>
        <v>989.04219481305699</v>
      </c>
      <c r="S7">
        <f t="shared" si="1"/>
        <v>987.30933556188052</v>
      </c>
      <c r="T7" cm="1">
        <f t="array" ref="T7">[1]!PropsSI("H","T",J7+273.15,"P",101325,"Water")</f>
        <v>231334.93587369996</v>
      </c>
      <c r="U7" cm="1">
        <f t="array" ref="U7">[1]!PropsSI("H","T",K7+273.15,"P",101325,"Water")</f>
        <v>199951.60155736344</v>
      </c>
      <c r="V7">
        <f t="shared" si="2"/>
        <v>481.1205028706363</v>
      </c>
    </row>
    <row r="8" spans="1:23" x14ac:dyDescent="0.2">
      <c r="A8">
        <v>46122.63200578704</v>
      </c>
      <c r="B8">
        <v>19.913440000000001</v>
      </c>
      <c r="C8">
        <v>19.904401</v>
      </c>
      <c r="D8">
        <v>19.656518999999999</v>
      </c>
      <c r="E8">
        <v>19.698032999999999</v>
      </c>
      <c r="F8">
        <v>30.85688</v>
      </c>
      <c r="G8">
        <v>28.656433</v>
      </c>
      <c r="H8">
        <v>26.646609999999999</v>
      </c>
      <c r="I8">
        <v>22.809017999999998</v>
      </c>
      <c r="J8">
        <v>55.238396000000002</v>
      </c>
      <c r="K8">
        <v>47.729246000000003</v>
      </c>
      <c r="L8">
        <v>41.896121000000001</v>
      </c>
      <c r="M8">
        <v>-622.48449100000005</v>
      </c>
      <c r="N8">
        <v>0.92789200000000005</v>
      </c>
      <c r="O8">
        <v>3.7822360000000002</v>
      </c>
      <c r="P8">
        <f t="shared" si="0"/>
        <v>1.5464866666666668E-5</v>
      </c>
      <c r="Q8" cm="1">
        <f t="array" ref="Q8">[1]!PropsSI("D","T",J8+273.15,"P",101325,"Water")</f>
        <v>985.57748069317313</v>
      </c>
      <c r="R8" cm="1">
        <f t="array" ref="R8">[1]!PropsSI("D","T",K8+273.15,"P",101325,"Water")</f>
        <v>989.0450407070208</v>
      </c>
      <c r="S8">
        <f t="shared" si="1"/>
        <v>987.31126070009691</v>
      </c>
      <c r="T8" cm="1">
        <f t="array" ref="T8">[1]!PropsSI("H","T",J8+273.15,"P",101325,"Water")</f>
        <v>231326.28533965605</v>
      </c>
      <c r="U8" cm="1">
        <f t="array" ref="U8">[1]!PropsSI("H","T",K8+273.15,"P",101325,"Water")</f>
        <v>199924.3890956839</v>
      </c>
      <c r="V8">
        <f t="shared" si="2"/>
        <v>479.46415502496711</v>
      </c>
    </row>
    <row r="9" spans="1:23" x14ac:dyDescent="0.2">
      <c r="A9">
        <v>46122.632063657409</v>
      </c>
      <c r="B9">
        <v>19.887910999999999</v>
      </c>
      <c r="C9">
        <v>19.918568</v>
      </c>
      <c r="D9">
        <v>19.661064</v>
      </c>
      <c r="E9">
        <v>19.714122</v>
      </c>
      <c r="F9">
        <v>30.937730999999999</v>
      </c>
      <c r="G9">
        <v>28.747844000000001</v>
      </c>
      <c r="H9">
        <v>26.735177</v>
      </c>
      <c r="I9">
        <v>23.355857</v>
      </c>
      <c r="J9">
        <v>55.238554999999998</v>
      </c>
      <c r="K9">
        <v>47.726230000000001</v>
      </c>
      <c r="L9">
        <v>42.609963</v>
      </c>
      <c r="M9">
        <v>-622.47183800000005</v>
      </c>
      <c r="N9">
        <v>0.93436300000000005</v>
      </c>
      <c r="O9">
        <v>3.8181229999999999</v>
      </c>
      <c r="P9">
        <f t="shared" si="0"/>
        <v>1.5572716666666668E-5</v>
      </c>
      <c r="Q9" cm="1">
        <f t="array" ref="Q9">[1]!PropsSI("D","T",J9+273.15,"P",101325,"Water")</f>
        <v>985.57740347130584</v>
      </c>
      <c r="R9" cm="1">
        <f t="array" ref="R9">[1]!PropsSI("D","T",K9+273.15,"P",101325,"Water")</f>
        <v>989.04635927919298</v>
      </c>
      <c r="S9">
        <f t="shared" si="1"/>
        <v>987.31188137524941</v>
      </c>
      <c r="T9" cm="1">
        <f t="array" ref="T9">[1]!PropsSI("H","T",J9+273.15,"P",101325,"Water")</f>
        <v>231326.9504434673</v>
      </c>
      <c r="U9" cm="1">
        <f t="array" ref="U9">[1]!PropsSI("H","T",K9+273.15,"P",101325,"Water")</f>
        <v>199911.77997571728</v>
      </c>
      <c r="V9">
        <f t="shared" si="2"/>
        <v>483.01227306148093</v>
      </c>
    </row>
    <row r="10" spans="1:23" x14ac:dyDescent="0.2">
      <c r="A10">
        <v>44660.632121527997</v>
      </c>
      <c r="B10">
        <v>19.910236999999999</v>
      </c>
      <c r="C10">
        <v>19.923985999999999</v>
      </c>
      <c r="D10">
        <v>19.668019000000001</v>
      </c>
      <c r="E10">
        <v>19.706151999999999</v>
      </c>
      <c r="F10">
        <v>30.993442999999999</v>
      </c>
      <c r="G10">
        <v>28.472977</v>
      </c>
      <c r="H10">
        <v>26.810309</v>
      </c>
      <c r="I10">
        <v>23.140889000000001</v>
      </c>
      <c r="J10">
        <v>55.232827</v>
      </c>
      <c r="K10">
        <v>47.727341000000003</v>
      </c>
      <c r="L10">
        <v>36.659241000000002</v>
      </c>
      <c r="M10">
        <v>-622.52979400000004</v>
      </c>
      <c r="N10">
        <v>0.93423999999999996</v>
      </c>
      <c r="O10">
        <v>3.7011599999999998</v>
      </c>
      <c r="P10">
        <f t="shared" si="0"/>
        <v>1.5570666666666666E-5</v>
      </c>
      <c r="Q10" cm="1">
        <f t="array" ref="Q10">[1]!PropsSI("D","T",J10+273.15,"P",101325,"Water")</f>
        <v>985.5801853033181</v>
      </c>
      <c r="R10" cm="1">
        <f t="array" ref="R10">[1]!PropsSI("D","T",K10+273.15,"P",101325,"Water")</f>
        <v>989.04587356560614</v>
      </c>
      <c r="S10">
        <f t="shared" si="1"/>
        <v>987.31302943446212</v>
      </c>
      <c r="T10" cm="1">
        <f t="array" ref="T10">[1]!PropsSI("H","T",J10+273.15,"P",101325,"Water")</f>
        <v>231302.98997781449</v>
      </c>
      <c r="U10" cm="1">
        <f t="array" ref="U10">[1]!PropsSI("H","T",K10+273.15,"P",101325,"Water")</f>
        <v>199916.42478062637</v>
      </c>
      <c r="V10">
        <f t="shared" si="2"/>
        <v>482.50949835349189</v>
      </c>
    </row>
    <row r="11" spans="1:23" x14ac:dyDescent="0.2">
      <c r="A11">
        <v>44660.632179977001</v>
      </c>
      <c r="B11">
        <v>19.823801</v>
      </c>
      <c r="C11">
        <v>19.846868000000001</v>
      </c>
      <c r="D11">
        <v>19.624290999999999</v>
      </c>
      <c r="E11">
        <v>19.686377</v>
      </c>
      <c r="F11">
        <v>30.856490999999998</v>
      </c>
      <c r="G11">
        <v>28.709613999999998</v>
      </c>
      <c r="H11">
        <v>26.495615000000001</v>
      </c>
      <c r="I11">
        <v>22.991631999999999</v>
      </c>
      <c r="J11">
        <v>55.228848999999997</v>
      </c>
      <c r="K11">
        <v>47.723531000000001</v>
      </c>
      <c r="L11">
        <v>39.277068999999997</v>
      </c>
      <c r="M11">
        <v>-622.48897999999997</v>
      </c>
      <c r="N11">
        <v>0.93150299999999997</v>
      </c>
      <c r="O11">
        <v>3.9165830000000001</v>
      </c>
      <c r="P11">
        <f t="shared" si="0"/>
        <v>1.5525049999999998E-5</v>
      </c>
      <c r="Q11" cm="1">
        <f t="array" ref="Q11">[1]!PropsSI("D","T",J11+273.15,"P",101325,"Water")</f>
        <v>985.58211711943682</v>
      </c>
      <c r="R11" cm="1">
        <f t="array" ref="R11">[1]!PropsSI("D","T",K11+273.15,"P",101325,"Water")</f>
        <v>989.04753920938538</v>
      </c>
      <c r="S11">
        <f t="shared" si="1"/>
        <v>987.3148281644111</v>
      </c>
      <c r="T11" cm="1">
        <f t="array" ref="T11">[1]!PropsSI("H","T",J11+273.15,"P",101325,"Water")</f>
        <v>231286.34984307984</v>
      </c>
      <c r="U11" cm="1">
        <f t="array" ref="U11">[1]!PropsSI("H","T",K11+273.15,"P",101325,"Water")</f>
        <v>199900.49615319408</v>
      </c>
      <c r="V11">
        <f t="shared" si="2"/>
        <v>481.08588286515766</v>
      </c>
    </row>
    <row r="12" spans="1:23" x14ac:dyDescent="0.2">
      <c r="A12">
        <v>44660.6322378474</v>
      </c>
      <c r="B12">
        <v>19.800183000000001</v>
      </c>
      <c r="C12">
        <v>19.814622</v>
      </c>
      <c r="D12">
        <v>19.615957999999999</v>
      </c>
      <c r="E12">
        <v>19.665233000000001</v>
      </c>
      <c r="F12">
        <v>30.777035000000001</v>
      </c>
      <c r="G12">
        <v>28.313389000000001</v>
      </c>
      <c r="H12">
        <v>26.556308999999999</v>
      </c>
      <c r="I12">
        <v>23.002604999999999</v>
      </c>
      <c r="J12">
        <v>55.226461999999998</v>
      </c>
      <c r="K12">
        <v>47.714958000000003</v>
      </c>
      <c r="L12">
        <v>40.133760000000002</v>
      </c>
      <c r="M12">
        <v>-622.50775499999997</v>
      </c>
      <c r="N12">
        <v>0.93359199999999998</v>
      </c>
      <c r="O12">
        <v>3.5397449999999999</v>
      </c>
      <c r="P12">
        <f t="shared" ref="P12:P74" si="3" xml:space="preserve"> N12*0.001/60</f>
        <v>1.5559866666666666E-5</v>
      </c>
      <c r="Q12" cm="1">
        <f t="array" ref="Q12">[1]!PropsSI("D","T",J12+273.15,"P",101325,"Water")</f>
        <v>985.58327625921891</v>
      </c>
      <c r="R12" cm="1">
        <f t="array" ref="R12">[1]!PropsSI("D","T",K12+273.15,"P",101325,"Water")</f>
        <v>989.0512867688949</v>
      </c>
      <c r="S12">
        <f t="shared" ref="S12:S74" si="4">(Q12+R12)/2</f>
        <v>987.31728151405696</v>
      </c>
      <c r="T12" cm="1">
        <f t="array" ref="T12">[1]!PropsSI("H","T",J12+273.15,"P",101325,"Water")</f>
        <v>231276.36492834886</v>
      </c>
      <c r="U12" cm="1">
        <f t="array" ref="U12">[1]!PropsSI("H","T",K12+273.15,"P",101325,"Water")</f>
        <v>199864.65466396546</v>
      </c>
      <c r="V12">
        <f t="shared" ref="V12:V74" si="5">S12*P12*(T12-U12)</f>
        <v>482.56319233528063</v>
      </c>
    </row>
    <row r="13" spans="1:23" x14ac:dyDescent="0.2">
      <c r="A13">
        <v>44660.632295717798</v>
      </c>
      <c r="B13">
        <v>19.797726000000001</v>
      </c>
      <c r="C13">
        <v>19.885116</v>
      </c>
      <c r="D13">
        <v>19.645985</v>
      </c>
      <c r="E13">
        <v>19.725605999999999</v>
      </c>
      <c r="F13">
        <v>30.781466000000002</v>
      </c>
      <c r="G13">
        <v>27.982562999999999</v>
      </c>
      <c r="H13">
        <v>26.741347999999999</v>
      </c>
      <c r="I13">
        <v>22.771688999999999</v>
      </c>
      <c r="J13">
        <v>55.227099000000003</v>
      </c>
      <c r="K13">
        <v>47.704639</v>
      </c>
      <c r="L13">
        <v>41.575729000000003</v>
      </c>
      <c r="M13">
        <v>-622.45224700000006</v>
      </c>
      <c r="N13">
        <v>0.93499399999999999</v>
      </c>
      <c r="O13">
        <v>3.5684010000000002</v>
      </c>
      <c r="P13">
        <f t="shared" si="3"/>
        <v>1.5583233333333334E-5</v>
      </c>
      <c r="Q13" cm="1">
        <f t="array" ref="Q13">[1]!PropsSI("D","T",J13+273.15,"P",101325,"Water")</f>
        <v>985.58296693210571</v>
      </c>
      <c r="R13" cm="1">
        <f t="array" ref="R13">[1]!PropsSI("D","T",K13+273.15,"P",101325,"Water")</f>
        <v>989.05579690942773</v>
      </c>
      <c r="S13">
        <f t="shared" si="4"/>
        <v>987.31938192076677</v>
      </c>
      <c r="T13" cm="1">
        <f t="array" ref="T13">[1]!PropsSI("H","T",J13+273.15,"P",101325,"Water")</f>
        <v>231279.02952414821</v>
      </c>
      <c r="U13" cm="1">
        <f t="array" ref="U13">[1]!PropsSI("H","T",K13+273.15,"P",101325,"Water")</f>
        <v>199821.51362555596</v>
      </c>
      <c r="V13">
        <f t="shared" si="5"/>
        <v>483.99364695125695</v>
      </c>
    </row>
    <row r="14" spans="1:23" x14ac:dyDescent="0.2">
      <c r="A14">
        <v>44660.632354166803</v>
      </c>
      <c r="B14">
        <v>19.884086</v>
      </c>
      <c r="C14">
        <v>19.944967999999999</v>
      </c>
      <c r="D14">
        <v>19.656679</v>
      </c>
      <c r="E14">
        <v>19.728985000000002</v>
      </c>
      <c r="F14">
        <v>30.944469000000002</v>
      </c>
      <c r="G14">
        <v>28.617146000000002</v>
      </c>
      <c r="H14">
        <v>26.675142000000001</v>
      </c>
      <c r="I14">
        <v>22.953931999999998</v>
      </c>
      <c r="J14">
        <v>55.218505999999998</v>
      </c>
      <c r="K14">
        <v>47.704639</v>
      </c>
      <c r="L14">
        <v>38.535473000000003</v>
      </c>
      <c r="M14">
        <v>-622.51673400000004</v>
      </c>
      <c r="N14">
        <v>0.93117099999999997</v>
      </c>
      <c r="O14">
        <v>3.6296020000000002</v>
      </c>
      <c r="P14">
        <f t="shared" si="3"/>
        <v>1.5519516666666666E-5</v>
      </c>
      <c r="Q14" cm="1">
        <f t="array" ref="Q14">[1]!PropsSI("D","T",J14+273.15,"P",101325,"Water")</f>
        <v>985.58713947985984</v>
      </c>
      <c r="R14" cm="1">
        <f t="array" ref="R14">[1]!PropsSI("D","T",K14+273.15,"P",101325,"Water")</f>
        <v>989.05579690942773</v>
      </c>
      <c r="S14">
        <f t="shared" si="4"/>
        <v>987.32146819464378</v>
      </c>
      <c r="T14" cm="1">
        <f t="array" ref="T14">[1]!PropsSI("H","T",J14+273.15,"P",101325,"Water")</f>
        <v>231243.08468310142</v>
      </c>
      <c r="U14" cm="1">
        <f t="array" ref="U14">[1]!PropsSI("H","T",K14+273.15,"P",101325,"Water")</f>
        <v>199821.51362555596</v>
      </c>
      <c r="V14">
        <f t="shared" si="5"/>
        <v>481.46494016828075</v>
      </c>
    </row>
    <row r="15" spans="1:23" x14ac:dyDescent="0.2">
      <c r="A15">
        <v>46122.632412037034</v>
      </c>
      <c r="B15">
        <v>19.890989999999999</v>
      </c>
      <c r="C15">
        <v>19.915351999999999</v>
      </c>
      <c r="D15">
        <v>19.695148</v>
      </c>
      <c r="E15">
        <v>19.778048999999999</v>
      </c>
      <c r="F15">
        <v>30.991132</v>
      </c>
      <c r="G15">
        <v>28.472252999999998</v>
      </c>
      <c r="H15">
        <v>26.440189</v>
      </c>
      <c r="I15">
        <v>23.295541</v>
      </c>
      <c r="J15">
        <v>55.219937999999999</v>
      </c>
      <c r="K15">
        <v>47.710037</v>
      </c>
      <c r="L15">
        <v>37.478791000000001</v>
      </c>
      <c r="M15">
        <v>-622.47183800000005</v>
      </c>
      <c r="N15">
        <v>0.92866300000000002</v>
      </c>
      <c r="O15">
        <v>3.8324699999999998</v>
      </c>
      <c r="P15">
        <f t="shared" si="3"/>
        <v>1.5477716666666666E-5</v>
      </c>
      <c r="Q15" cm="1">
        <f t="array" ref="Q15">[1]!PropsSI("D","T",J15+273.15,"P",101325,"Water")</f>
        <v>985.58644416793095</v>
      </c>
      <c r="R15" cm="1">
        <f t="array" ref="R15">[1]!PropsSI("D","T",K15+273.15,"P",101325,"Water")</f>
        <v>989.05343768712839</v>
      </c>
      <c r="S15">
        <f t="shared" si="4"/>
        <v>987.31994092752961</v>
      </c>
      <c r="T15" cm="1">
        <f t="array" ref="T15">[1]!PropsSI("H","T",J15+273.15,"P",101325,"Water")</f>
        <v>231249.07479087656</v>
      </c>
      <c r="U15" cm="1">
        <f t="array" ref="U15">[1]!PropsSI("H","T",K15+273.15,"P",101325,"Water")</f>
        <v>199844.08124764467</v>
      </c>
      <c r="V15">
        <f t="shared" si="5"/>
        <v>479.91409940052057</v>
      </c>
    </row>
    <row r="16" spans="1:23" x14ac:dyDescent="0.2">
      <c r="A16">
        <v>46122.632470486111</v>
      </c>
      <c r="B16">
        <v>19.969183000000001</v>
      </c>
      <c r="C16">
        <v>19.980578999999999</v>
      </c>
      <c r="D16">
        <v>19.717872</v>
      </c>
      <c r="E16">
        <v>19.831334999999999</v>
      </c>
      <c r="F16">
        <v>31.004725000000001</v>
      </c>
      <c r="G16">
        <v>28.774287999999999</v>
      </c>
      <c r="H16">
        <v>26.688950999999999</v>
      </c>
      <c r="I16">
        <v>23.135586</v>
      </c>
      <c r="J16">
        <v>55.220255999999999</v>
      </c>
      <c r="K16">
        <v>47.708449000000002</v>
      </c>
      <c r="L16">
        <v>36.802090999999997</v>
      </c>
      <c r="M16">
        <v>-622.49836700000003</v>
      </c>
      <c r="N16">
        <v>0.93404699999999996</v>
      </c>
      <c r="O16">
        <v>3.6372909999999998</v>
      </c>
      <c r="P16">
        <f t="shared" si="3"/>
        <v>1.5567449999999999E-5</v>
      </c>
      <c r="Q16" cm="1">
        <f t="array" ref="Q16">[1]!PropsSI("D","T",J16+273.15,"P",101325,"Water")</f>
        <v>985.5862897603364</v>
      </c>
      <c r="R16" cm="1">
        <f t="array" ref="R16">[1]!PropsSI("D","T",K16+273.15,"P",101325,"Water")</f>
        <v>989.05413175067815</v>
      </c>
      <c r="S16">
        <f t="shared" si="4"/>
        <v>987.32021075550733</v>
      </c>
      <c r="T16" cm="1">
        <f t="array" ref="T16">[1]!PropsSI("H","T",J16+273.15,"P",101325,"Water")</f>
        <v>231250.40499648932</v>
      </c>
      <c r="U16" cm="1">
        <f t="array" ref="U16">[1]!PropsSI("H","T",K16+273.15,"P",101325,"Water")</f>
        <v>199837.44223538545</v>
      </c>
      <c r="V16">
        <f t="shared" si="5"/>
        <v>482.81906005887095</v>
      </c>
    </row>
    <row r="17" spans="1:22" x14ac:dyDescent="0.2">
      <c r="A17">
        <v>46122.63252835648</v>
      </c>
      <c r="B17">
        <v>20.013266999999999</v>
      </c>
      <c r="C17">
        <v>20.056342000000001</v>
      </c>
      <c r="D17">
        <v>19.752991000000002</v>
      </c>
      <c r="E17">
        <v>19.883326</v>
      </c>
      <c r="F17">
        <v>31.042701999999998</v>
      </c>
      <c r="G17">
        <v>28.761120999999999</v>
      </c>
      <c r="H17">
        <v>26.711203000000001</v>
      </c>
      <c r="I17">
        <v>23.293662999999999</v>
      </c>
      <c r="J17">
        <v>55.221210999999997</v>
      </c>
      <c r="K17">
        <v>47.714323</v>
      </c>
      <c r="L17">
        <v>38.562002</v>
      </c>
      <c r="M17">
        <v>-622.50326500000006</v>
      </c>
      <c r="N17">
        <v>0.93436699999999995</v>
      </c>
      <c r="O17">
        <v>3.9056419999999998</v>
      </c>
      <c r="P17">
        <f t="shared" si="3"/>
        <v>1.5572783333333334E-5</v>
      </c>
      <c r="Q17" cm="1">
        <f t="array" ref="Q17">[1]!PropsSI("D","T",J17+273.15,"P",101325,"Water")</f>
        <v>985.58582604825892</v>
      </c>
      <c r="R17" cm="1">
        <f t="array" ref="R17">[1]!PropsSI("D","T",K17+273.15,"P",101325,"Water")</f>
        <v>989.0515643299874</v>
      </c>
      <c r="S17">
        <f t="shared" si="4"/>
        <v>987.31869518912322</v>
      </c>
      <c r="T17" cm="1">
        <f t="array" ref="T17">[1]!PropsSI("H","T",J17+273.15,"P",101325,"Water")</f>
        <v>231254.39979658797</v>
      </c>
      <c r="U17" cm="1">
        <f t="array" ref="U17">[1]!PropsSI("H","T",K17+273.15,"P",101325,"Water")</f>
        <v>199861.99989446136</v>
      </c>
      <c r="V17">
        <f t="shared" si="5"/>
        <v>482.66757001771583</v>
      </c>
    </row>
    <row r="18" spans="1:22" x14ac:dyDescent="0.2">
      <c r="A18">
        <v>46122.63258622685</v>
      </c>
      <c r="B18">
        <v>20.071339999999999</v>
      </c>
      <c r="C18">
        <v>20.092098</v>
      </c>
      <c r="D18">
        <v>19.753450000000001</v>
      </c>
      <c r="E18">
        <v>19.847010999999998</v>
      </c>
      <c r="F18">
        <v>30.925971000000001</v>
      </c>
      <c r="G18">
        <v>28.353926000000001</v>
      </c>
      <c r="H18">
        <v>26.541606000000002</v>
      </c>
      <c r="I18">
        <v>22.875388999999998</v>
      </c>
      <c r="J18">
        <v>55.218347000000001</v>
      </c>
      <c r="K18">
        <v>47.721784999999997</v>
      </c>
      <c r="L18">
        <v>42.149577999999998</v>
      </c>
      <c r="M18">
        <v>-622.44979799999999</v>
      </c>
      <c r="N18">
        <v>0.93231399999999998</v>
      </c>
      <c r="O18">
        <v>3.5552489999999999</v>
      </c>
      <c r="P18">
        <f t="shared" si="3"/>
        <v>1.5538566666666667E-5</v>
      </c>
      <c r="Q18" cm="1">
        <f t="array" ref="Q18">[1]!PropsSI("D","T",J18+273.15,"P",101325,"Water")</f>
        <v>985.58721668201156</v>
      </c>
      <c r="R18" cm="1">
        <f t="array" ref="R18">[1]!PropsSI("D","T",K18+273.15,"P",101325,"Water")</f>
        <v>989.0483024874959</v>
      </c>
      <c r="S18">
        <f t="shared" si="4"/>
        <v>987.31775958475373</v>
      </c>
      <c r="T18" cm="1">
        <f t="array" ref="T18">[1]!PropsSI("H","T",J18+273.15,"P",101325,"Water")</f>
        <v>231242.41958040034</v>
      </c>
      <c r="U18" cm="1">
        <f t="array" ref="U18">[1]!PropsSI("H","T",K18+273.15,"P",101325,"Water")</f>
        <v>199893.19657864905</v>
      </c>
      <c r="V18">
        <f t="shared" si="5"/>
        <v>480.94419335238354</v>
      </c>
    </row>
    <row r="19" spans="1:22" x14ac:dyDescent="0.2">
      <c r="A19">
        <v>46122.632644675927</v>
      </c>
      <c r="B19">
        <v>20.062840000000001</v>
      </c>
      <c r="C19">
        <v>20.029095999999999</v>
      </c>
      <c r="D19">
        <v>19.750129999999999</v>
      </c>
      <c r="E19">
        <v>19.853836999999999</v>
      </c>
      <c r="F19">
        <v>31.055344999999999</v>
      </c>
      <c r="G19">
        <v>28.699501000000001</v>
      </c>
      <c r="H19">
        <v>26.962149</v>
      </c>
      <c r="I19">
        <v>23.176914</v>
      </c>
      <c r="J19">
        <v>55.219143000000003</v>
      </c>
      <c r="K19">
        <v>47.721150000000002</v>
      </c>
      <c r="L19">
        <v>37.510218000000002</v>
      </c>
      <c r="M19">
        <v>-622.51673400000004</v>
      </c>
      <c r="N19">
        <v>0.93328900000000004</v>
      </c>
      <c r="O19">
        <v>3.751331</v>
      </c>
      <c r="P19">
        <f t="shared" si="3"/>
        <v>1.5554816666666666E-5</v>
      </c>
      <c r="Q19" cm="1">
        <f t="array" ref="Q19">[1]!PropsSI("D","T",J19+273.15,"P",101325,"Water")</f>
        <v>985.58683018414763</v>
      </c>
      <c r="R19" cm="1">
        <f t="array" ref="R19">[1]!PropsSI("D","T",K19+273.15,"P",101325,"Water")</f>
        <v>989.04858007781957</v>
      </c>
      <c r="S19">
        <f t="shared" si="4"/>
        <v>987.31770513098354</v>
      </c>
      <c r="T19" cm="1">
        <f t="array" ref="T19">[1]!PropsSI("H","T",J19+273.15,"P",101325,"Water")</f>
        <v>231245.74927704476</v>
      </c>
      <c r="U19" cm="1">
        <f t="array" ref="U19">[1]!PropsSI("H","T",K19+273.15,"P",101325,"Water")</f>
        <v>199890.54180800778</v>
      </c>
      <c r="V19">
        <f t="shared" si="5"/>
        <v>481.53903775506751</v>
      </c>
    </row>
    <row r="20" spans="1:22" x14ac:dyDescent="0.2">
      <c r="A20">
        <v>46122.632703124997</v>
      </c>
      <c r="B20">
        <v>20.053294000000001</v>
      </c>
      <c r="C20">
        <v>20.075828000000001</v>
      </c>
      <c r="D20">
        <v>19.761794999999999</v>
      </c>
      <c r="E20">
        <v>19.885833999999999</v>
      </c>
      <c r="F20">
        <v>30.982505</v>
      </c>
      <c r="G20">
        <v>28.302147000000001</v>
      </c>
      <c r="H20">
        <v>26.945271000000002</v>
      </c>
      <c r="I20">
        <v>22.761512</v>
      </c>
      <c r="J20">
        <v>55.219301999999999</v>
      </c>
      <c r="K20">
        <v>47.718451000000002</v>
      </c>
      <c r="L20">
        <v>41.624706000000003</v>
      </c>
      <c r="M20">
        <v>-622.47959300000002</v>
      </c>
      <c r="N20">
        <v>0.93344499999999997</v>
      </c>
      <c r="O20">
        <v>3.7725529999999998</v>
      </c>
      <c r="P20">
        <f t="shared" si="3"/>
        <v>1.5557416666666668E-5</v>
      </c>
      <c r="Q20" cm="1">
        <f t="array" ref="Q20">[1]!PropsSI("D","T",J20+273.15,"P",101325,"Water")</f>
        <v>985.58675298120909</v>
      </c>
      <c r="R20" cm="1">
        <f t="array" ref="R20">[1]!PropsSI("D","T",K20+273.15,"P",101325,"Water")</f>
        <v>989.04975991566153</v>
      </c>
      <c r="S20">
        <f t="shared" si="4"/>
        <v>987.31825644843525</v>
      </c>
      <c r="T20" cm="1">
        <f t="array" ref="T20">[1]!PropsSI("H","T",J20+273.15,"P",101325,"Water")</f>
        <v>231246.41437980908</v>
      </c>
      <c r="U20" cm="1">
        <f t="array" ref="U20">[1]!PropsSI("H","T",K20+273.15,"P",101325,"Water")</f>
        <v>199879.25798875076</v>
      </c>
      <c r="V20">
        <f t="shared" si="5"/>
        <v>481.80333321891732</v>
      </c>
    </row>
    <row r="21" spans="1:22" x14ac:dyDescent="0.2">
      <c r="A21">
        <v>46122.632761574074</v>
      </c>
      <c r="B21">
        <v>20.047750000000001</v>
      </c>
      <c r="C21">
        <v>20.114916000000001</v>
      </c>
      <c r="D21">
        <v>19.782536</v>
      </c>
      <c r="E21">
        <v>19.857641999999998</v>
      </c>
      <c r="F21">
        <v>31.168776999999999</v>
      </c>
      <c r="G21">
        <v>28.480993000000002</v>
      </c>
      <c r="H21">
        <v>26.899127</v>
      </c>
      <c r="I21">
        <v>23.136412</v>
      </c>
      <c r="J21">
        <v>55.216597</v>
      </c>
      <c r="K21">
        <v>47.721943000000003</v>
      </c>
      <c r="L21">
        <v>41.009635000000003</v>
      </c>
      <c r="M21">
        <v>-622.52285600000005</v>
      </c>
      <c r="N21">
        <v>0.93493199999999999</v>
      </c>
      <c r="O21">
        <v>3.5385</v>
      </c>
      <c r="P21">
        <f t="shared" si="3"/>
        <v>1.5582199999999998E-5</v>
      </c>
      <c r="Q21" cm="1">
        <f t="array" ref="Q21">[1]!PropsSI("D","T",J21+273.15,"P",101325,"Water")</f>
        <v>985.58806638083524</v>
      </c>
      <c r="R21" cm="1">
        <f t="array" ref="R21">[1]!PropsSI("D","T",K21+273.15,"P",101325,"Water")</f>
        <v>989.04823341736881</v>
      </c>
      <c r="S21">
        <f t="shared" si="4"/>
        <v>987.31814989910208</v>
      </c>
      <c r="T21" cm="1">
        <f t="array" ref="T21">[1]!PropsSI("H","T",J21+273.15,"P",101325,"Water")</f>
        <v>231235.09926818966</v>
      </c>
      <c r="U21" cm="1">
        <f t="array" ref="U21">[1]!PropsSI("H","T",K21+273.15,"P",101325,"Water")</f>
        <v>199893.8571357301</v>
      </c>
      <c r="V21">
        <f t="shared" si="5"/>
        <v>482.1721250509321</v>
      </c>
    </row>
    <row r="22" spans="1:22" x14ac:dyDescent="0.2">
      <c r="A22">
        <v>46122.632819444443</v>
      </c>
      <c r="B22">
        <v>19.927043999999999</v>
      </c>
      <c r="C22">
        <v>20.064432</v>
      </c>
      <c r="D22">
        <v>19.700240999999998</v>
      </c>
      <c r="E22">
        <v>19.795500000000001</v>
      </c>
      <c r="F22">
        <v>30.742650999999999</v>
      </c>
      <c r="G22">
        <v>28.492757999999998</v>
      </c>
      <c r="H22">
        <v>26.696749000000001</v>
      </c>
      <c r="I22">
        <v>23.479894999999999</v>
      </c>
      <c r="J22">
        <v>55.218665000000001</v>
      </c>
      <c r="K22">
        <v>47.718133000000002</v>
      </c>
      <c r="L22">
        <v>37.835507999999997</v>
      </c>
      <c r="M22">
        <v>-622.48897999999997</v>
      </c>
      <c r="N22">
        <v>0.93432199999999999</v>
      </c>
      <c r="O22">
        <v>3.7225350000000001</v>
      </c>
      <c r="P22">
        <f t="shared" si="3"/>
        <v>1.5572033333333333E-5</v>
      </c>
      <c r="Q22" cm="1">
        <f t="array" ref="Q22">[1]!PropsSI("D","T",J22+273.15,"P",101325,"Water")</f>
        <v>985.58706227755636</v>
      </c>
      <c r="R22" cm="1">
        <f t="array" ref="R22">[1]!PropsSI("D","T",K22+273.15,"P",101325,"Water")</f>
        <v>989.04989892260096</v>
      </c>
      <c r="S22">
        <f t="shared" si="4"/>
        <v>987.3184806000786</v>
      </c>
      <c r="T22" cm="1">
        <f t="array" ref="T22">[1]!PropsSI("H","T",J22+273.15,"P",101325,"Water")</f>
        <v>231243.74978582529</v>
      </c>
      <c r="U22" cm="1">
        <f t="array" ref="U22">[1]!PropsSI("H","T",K22+273.15,"P",101325,"Water")</f>
        <v>199877.92851328521</v>
      </c>
      <c r="V22">
        <f t="shared" si="5"/>
        <v>482.23558475307107</v>
      </c>
    </row>
    <row r="23" spans="1:22" x14ac:dyDescent="0.2">
      <c r="A23">
        <v>46122.63287789352</v>
      </c>
      <c r="B23">
        <v>19.898719</v>
      </c>
      <c r="C23">
        <v>20.006622</v>
      </c>
      <c r="D23">
        <v>19.744609000000001</v>
      </c>
      <c r="E23">
        <v>19.835044</v>
      </c>
      <c r="F23">
        <v>30.959565999999999</v>
      </c>
      <c r="G23">
        <v>28.467692</v>
      </c>
      <c r="H23">
        <v>26.597207999999998</v>
      </c>
      <c r="I23">
        <v>23.257048000000001</v>
      </c>
      <c r="J23">
        <v>55.216915</v>
      </c>
      <c r="K23">
        <v>47.721784999999997</v>
      </c>
      <c r="L23">
        <v>40.319873999999999</v>
      </c>
      <c r="M23">
        <v>-622.48040900000001</v>
      </c>
      <c r="N23">
        <v>0.93181400000000003</v>
      </c>
      <c r="O23">
        <v>3.4166189999999999</v>
      </c>
      <c r="P23">
        <f t="shared" si="3"/>
        <v>1.5530233333333336E-5</v>
      </c>
      <c r="Q23" cm="1">
        <f t="array" ref="Q23">[1]!PropsSI("D","T",J23+273.15,"P",101325,"Water")</f>
        <v>985.58791197984078</v>
      </c>
      <c r="R23" cm="1">
        <f t="array" ref="R23">[1]!PropsSI("D","T",K23+273.15,"P",101325,"Water")</f>
        <v>989.0483024874959</v>
      </c>
      <c r="S23">
        <f t="shared" si="4"/>
        <v>987.31810723366834</v>
      </c>
      <c r="T23" cm="1">
        <f t="array" ref="T23">[1]!PropsSI("H","T",J23+273.15,"P",101325,"Water")</f>
        <v>231236.42947340923</v>
      </c>
      <c r="U23" cm="1">
        <f t="array" ref="U23">[1]!PropsSI("H","T",K23+273.15,"P",101325,"Water")</f>
        <v>199893.19657864905</v>
      </c>
      <c r="V23">
        <f t="shared" si="5"/>
        <v>480.59458424597443</v>
      </c>
    </row>
    <row r="24" spans="1:22" x14ac:dyDescent="0.2">
      <c r="A24">
        <v>46122.63293634259</v>
      </c>
      <c r="B24">
        <v>19.980142000000001</v>
      </c>
      <c r="C24">
        <v>20.025817</v>
      </c>
      <c r="D24">
        <v>19.744759999999999</v>
      </c>
      <c r="E24">
        <v>19.791067999999999</v>
      </c>
      <c r="F24">
        <v>30.994005000000001</v>
      </c>
      <c r="G24">
        <v>28.37116</v>
      </c>
      <c r="H24">
        <v>26.335035000000001</v>
      </c>
      <c r="I24">
        <v>23.213480000000001</v>
      </c>
      <c r="J24">
        <v>55.221528999999997</v>
      </c>
      <c r="K24">
        <v>47.715276000000003</v>
      </c>
      <c r="L24">
        <v>39.588073000000001</v>
      </c>
      <c r="M24">
        <v>-622.46571600000004</v>
      </c>
      <c r="N24">
        <v>0.93352299999999999</v>
      </c>
      <c r="O24">
        <v>3.1174010000000001</v>
      </c>
      <c r="P24">
        <f t="shared" si="3"/>
        <v>1.5558716666666667E-5</v>
      </c>
      <c r="Q24" cm="1">
        <f t="array" ref="Q24">[1]!PropsSI("D","T",J24+273.15,"P",101325,"Water")</f>
        <v>985.58567163814405</v>
      </c>
      <c r="R24" cm="1">
        <f t="array" ref="R24">[1]!PropsSI("D","T",K24+273.15,"P",101325,"Water")</f>
        <v>989.05114776877497</v>
      </c>
      <c r="S24">
        <f t="shared" si="4"/>
        <v>987.31840970345957</v>
      </c>
      <c r="T24" cm="1">
        <f t="array" ref="T24">[1]!PropsSI("H","T",J24+273.15,"P",101325,"Water")</f>
        <v>231255.73000230675</v>
      </c>
      <c r="U24" cm="1">
        <f t="array" ref="U24">[1]!PropsSI("H","T",K24+273.15,"P",101325,"Water")</f>
        <v>199865.98413921369</v>
      </c>
      <c r="V24">
        <f t="shared" si="5"/>
        <v>482.19067427117994</v>
      </c>
    </row>
    <row r="25" spans="1:22" x14ac:dyDescent="0.2">
      <c r="A25">
        <v>46122.632994791667</v>
      </c>
      <c r="B25">
        <v>19.999041999999999</v>
      </c>
      <c r="C25">
        <v>20.005542999999999</v>
      </c>
      <c r="D25">
        <v>19.766518999999999</v>
      </c>
      <c r="E25">
        <v>19.836734</v>
      </c>
      <c r="F25">
        <v>31.111563</v>
      </c>
      <c r="G25">
        <v>28.79993</v>
      </c>
      <c r="H25">
        <v>26.793645000000001</v>
      </c>
      <c r="I25">
        <v>22.927271999999999</v>
      </c>
      <c r="J25">
        <v>55.229804000000001</v>
      </c>
      <c r="K25">
        <v>47.714005999999998</v>
      </c>
      <c r="L25">
        <v>40.957393000000003</v>
      </c>
      <c r="M25">
        <v>-622.51714200000004</v>
      </c>
      <c r="N25">
        <v>0.935141</v>
      </c>
      <c r="O25">
        <v>3.4009119999999999</v>
      </c>
      <c r="P25">
        <f t="shared" si="3"/>
        <v>1.5585683333333332E-5</v>
      </c>
      <c r="Q25" cm="1">
        <f t="array" ref="Q25">[1]!PropsSI("D","T",J25+273.15,"P",101325,"Water")</f>
        <v>985.58165335655508</v>
      </c>
      <c r="R25" cm="1">
        <f t="array" ref="R25">[1]!PropsSI("D","T",K25+273.15,"P",101325,"Water")</f>
        <v>989.05170289097589</v>
      </c>
      <c r="S25">
        <f t="shared" si="4"/>
        <v>987.31667812376554</v>
      </c>
      <c r="T25" cm="1">
        <f t="array" ref="T25">[1]!PropsSI("H","T",J25+273.15,"P",101325,"Water")</f>
        <v>231290.34464610214</v>
      </c>
      <c r="U25" cm="1">
        <f t="array" ref="U25">[1]!PropsSI("H","T",K25+273.15,"P",101325,"Water")</f>
        <v>199860.67460003795</v>
      </c>
      <c r="V25">
        <f t="shared" si="5"/>
        <v>483.6399228016092</v>
      </c>
    </row>
    <row r="26" spans="1:22" x14ac:dyDescent="0.2">
      <c r="A26">
        <v>46122.633052662037</v>
      </c>
      <c r="B26">
        <v>20.042373999999999</v>
      </c>
      <c r="C26">
        <v>20.065000000000001</v>
      </c>
      <c r="D26">
        <v>19.757701000000001</v>
      </c>
      <c r="E26">
        <v>19.817436000000001</v>
      </c>
      <c r="F26">
        <v>31.161975999999999</v>
      </c>
      <c r="G26">
        <v>28.298355000000001</v>
      </c>
      <c r="H26">
        <v>27.006215000000001</v>
      </c>
      <c r="I26">
        <v>22.719524</v>
      </c>
      <c r="J26">
        <v>55.223120999999999</v>
      </c>
      <c r="K26">
        <v>47.713371000000002</v>
      </c>
      <c r="L26">
        <v>38.418743999999997</v>
      </c>
      <c r="M26">
        <v>-622.46898099999999</v>
      </c>
      <c r="N26">
        <v>0.93345699999999998</v>
      </c>
      <c r="O26">
        <v>3.5516779999999999</v>
      </c>
      <c r="P26">
        <f t="shared" si="3"/>
        <v>1.5557616666666665E-5</v>
      </c>
      <c r="Q26" cm="1">
        <f t="array" ref="Q26">[1]!PropsSI("D","T",J26+273.15,"P",101325,"Water")</f>
        <v>985.58489860713394</v>
      </c>
      <c r="R26" cm="1">
        <f t="array" ref="R26">[1]!PropsSI("D","T",K26+273.15,"P",101325,"Water")</f>
        <v>989.05198044800909</v>
      </c>
      <c r="S26">
        <f t="shared" si="4"/>
        <v>987.31843952757151</v>
      </c>
      <c r="T26" cm="1">
        <f t="array" ref="T26">[1]!PropsSI("H","T",J26+273.15,"P",101325,"Water")</f>
        <v>231262.38939768309</v>
      </c>
      <c r="U26" cm="1">
        <f t="array" ref="U26">[1]!PropsSI("H","T",K26+273.15,"P",101325,"Water")</f>
        <v>199858.01983065519</v>
      </c>
      <c r="V26">
        <f t="shared" si="5"/>
        <v>482.38122279290548</v>
      </c>
    </row>
    <row r="27" spans="1:22" x14ac:dyDescent="0.2">
      <c r="A27">
        <v>46122.633111111114</v>
      </c>
      <c r="B27">
        <v>19.994319000000001</v>
      </c>
      <c r="C27">
        <v>19.969276000000001</v>
      </c>
      <c r="D27">
        <v>19.759281999999999</v>
      </c>
      <c r="E27">
        <v>19.753959999999999</v>
      </c>
      <c r="F27">
        <v>30.929176999999999</v>
      </c>
      <c r="G27">
        <v>28.154631999999999</v>
      </c>
      <c r="H27">
        <v>26.795895999999999</v>
      </c>
      <c r="I27">
        <v>23.137326999999999</v>
      </c>
      <c r="J27">
        <v>55.230598999999998</v>
      </c>
      <c r="K27">
        <v>47.711148000000001</v>
      </c>
      <c r="L27">
        <v>39.289313</v>
      </c>
      <c r="M27">
        <v>-622.47632799999997</v>
      </c>
      <c r="N27">
        <v>0.93323199999999995</v>
      </c>
      <c r="O27">
        <v>3.7763779999999998</v>
      </c>
      <c r="P27">
        <f t="shared" si="3"/>
        <v>1.5553866666666667E-5</v>
      </c>
      <c r="Q27" cm="1">
        <f t="array" ref="Q27">[1]!PropsSI("D","T",J27+273.15,"P",101325,"Water")</f>
        <v>985.58126728780712</v>
      </c>
      <c r="R27" cm="1">
        <f t="array" ref="R27">[1]!PropsSI("D","T",K27+273.15,"P",101325,"Water")</f>
        <v>989.05295209477663</v>
      </c>
      <c r="S27">
        <f t="shared" si="4"/>
        <v>987.31710969129188</v>
      </c>
      <c r="T27" cm="1">
        <f t="array" ref="T27">[1]!PropsSI("H","T",J27+273.15,"P",101325,"Water")</f>
        <v>231293.67016307951</v>
      </c>
      <c r="U27" cm="1">
        <f t="array" ref="U27">[1]!PropsSI("H","T",K27+273.15,"P",101325,"Water")</f>
        <v>199848.72604809221</v>
      </c>
      <c r="V27">
        <f t="shared" si="5"/>
        <v>482.88738734728298</v>
      </c>
    </row>
    <row r="28" spans="1:22" x14ac:dyDescent="0.2">
      <c r="A28">
        <v>46122.633169560184</v>
      </c>
      <c r="B28">
        <v>19.894480999999999</v>
      </c>
      <c r="C28">
        <v>19.930890000000002</v>
      </c>
      <c r="D28">
        <v>19.698377000000001</v>
      </c>
      <c r="E28">
        <v>19.73321</v>
      </c>
      <c r="F28">
        <v>30.935699</v>
      </c>
      <c r="G28">
        <v>28.044172</v>
      </c>
      <c r="H28">
        <v>26.483886999999999</v>
      </c>
      <c r="I28">
        <v>22.933108000000001</v>
      </c>
      <c r="J28">
        <v>55.228371000000003</v>
      </c>
      <c r="K28">
        <v>47.712259000000003</v>
      </c>
      <c r="L28">
        <v>36.708626000000002</v>
      </c>
      <c r="M28">
        <v>-622.50326500000006</v>
      </c>
      <c r="N28">
        <v>0.92969999999999997</v>
      </c>
      <c r="O28">
        <v>3.8966569999999998</v>
      </c>
      <c r="P28">
        <f t="shared" si="3"/>
        <v>1.5495E-5</v>
      </c>
      <c r="Q28" cm="1">
        <f t="array" ref="Q28">[1]!PropsSI("D","T",J28+273.15,"P",101325,"Water")</f>
        <v>985.58234924157546</v>
      </c>
      <c r="R28" cm="1">
        <f t="array" ref="R28">[1]!PropsSI("D","T",K28+273.15,"P",101325,"Water")</f>
        <v>989.0524664940873</v>
      </c>
      <c r="S28">
        <f t="shared" si="4"/>
        <v>987.31740786783143</v>
      </c>
      <c r="T28" cm="1">
        <f t="array" ref="T28">[1]!PropsSI("H","T",J28+273.15,"P",101325,"Water")</f>
        <v>231284.35035015849</v>
      </c>
      <c r="U28" cm="1">
        <f t="array" ref="U28">[1]!PropsSI("H","T",K28+273.15,"P",101325,"Water")</f>
        <v>199853.37084883309</v>
      </c>
      <c r="V28">
        <f t="shared" si="5"/>
        <v>480.84631295789092</v>
      </c>
    </row>
    <row r="29" spans="1:22" x14ac:dyDescent="0.2">
      <c r="A29">
        <v>46122.633228009261</v>
      </c>
      <c r="B29">
        <v>19.971603000000002</v>
      </c>
      <c r="C29">
        <v>19.984373000000001</v>
      </c>
      <c r="D29">
        <v>19.703783999999999</v>
      </c>
      <c r="E29">
        <v>19.780621</v>
      </c>
      <c r="F29">
        <v>31.06861</v>
      </c>
      <c r="G29">
        <v>28.665856999999999</v>
      </c>
      <c r="H29">
        <v>26.417342000000001</v>
      </c>
      <c r="I29">
        <v>23.004954000000001</v>
      </c>
      <c r="J29">
        <v>55.230280999999998</v>
      </c>
      <c r="K29">
        <v>47.704163000000001</v>
      </c>
      <c r="L29">
        <v>37.728166999999999</v>
      </c>
      <c r="M29">
        <v>-622.51346899999999</v>
      </c>
      <c r="N29">
        <v>0.93089599999999995</v>
      </c>
      <c r="O29">
        <v>3.3334459999999999</v>
      </c>
      <c r="P29">
        <f t="shared" si="3"/>
        <v>1.5514933333333333E-5</v>
      </c>
      <c r="Q29" cm="1">
        <f t="array" ref="Q29">[1]!PropsSI("D","T",J29+273.15,"P",101325,"Water")</f>
        <v>985.58142171577333</v>
      </c>
      <c r="R29" cm="1">
        <f t="array" ref="R29">[1]!PropsSI("D","T",K29+273.15,"P",101325,"Water")</f>
        <v>989.05600493814029</v>
      </c>
      <c r="S29">
        <f t="shared" si="4"/>
        <v>987.31871332695687</v>
      </c>
      <c r="T29" cm="1">
        <f t="array" ref="T29">[1]!PropsSI("H","T",J29+273.15,"P",101325,"Water")</f>
        <v>231292.33995631777</v>
      </c>
      <c r="U29" cm="1">
        <f t="array" ref="U29">[1]!PropsSI("H","T",K29+273.15,"P",101325,"Water")</f>
        <v>199819.52359476118</v>
      </c>
      <c r="V29">
        <f t="shared" si="5"/>
        <v>482.10639252873449</v>
      </c>
    </row>
    <row r="30" spans="1:22" x14ac:dyDescent="0.2">
      <c r="A30">
        <v>46122.63328587963</v>
      </c>
      <c r="B30">
        <v>19.940335999999999</v>
      </c>
      <c r="C30">
        <v>19.995170000000002</v>
      </c>
      <c r="D30">
        <v>19.744071999999999</v>
      </c>
      <c r="E30">
        <v>19.784412</v>
      </c>
      <c r="F30">
        <v>31.062365</v>
      </c>
      <c r="G30">
        <v>28.442996000000001</v>
      </c>
      <c r="H30">
        <v>26.518401000000001</v>
      </c>
      <c r="I30">
        <v>23.034542999999999</v>
      </c>
      <c r="J30">
        <v>55.223280000000003</v>
      </c>
      <c r="K30">
        <v>47.703209999999999</v>
      </c>
      <c r="L30">
        <v>37.126156000000002</v>
      </c>
      <c r="M30">
        <v>-622.49959200000001</v>
      </c>
      <c r="N30">
        <v>0.93164199999999997</v>
      </c>
      <c r="O30">
        <v>3.5955330000000001</v>
      </c>
      <c r="P30">
        <f t="shared" si="3"/>
        <v>1.5527366666666666E-5</v>
      </c>
      <c r="Q30" cm="1">
        <f t="array" ref="Q30">[1]!PropsSI("D","T",J30+273.15,"P",101325,"Water")</f>
        <v>985.58482140027013</v>
      </c>
      <c r="R30" cm="1">
        <f t="array" ref="R30">[1]!PropsSI("D","T",K30+273.15,"P",101325,"Water")</f>
        <v>989.05642142799866</v>
      </c>
      <c r="S30">
        <f t="shared" si="4"/>
        <v>987.32062141413439</v>
      </c>
      <c r="T30" cm="1">
        <f t="array" ref="T30">[1]!PropsSI("H","T",J30+273.15,"P",101325,"Water")</f>
        <v>231263.05450070454</v>
      </c>
      <c r="U30" cm="1">
        <f t="array" ref="U30">[1]!PropsSI("H","T",K30+273.15,"P",101325,"Water")</f>
        <v>199815.53935256961</v>
      </c>
      <c r="V30">
        <f t="shared" si="5"/>
        <v>482.1057946868832</v>
      </c>
    </row>
    <row r="31" spans="1:22" x14ac:dyDescent="0.2">
      <c r="A31">
        <v>46122.63334375</v>
      </c>
      <c r="B31">
        <v>19.894845</v>
      </c>
      <c r="C31">
        <v>19.929625000000001</v>
      </c>
      <c r="D31">
        <v>19.692235</v>
      </c>
      <c r="E31">
        <v>19.725752</v>
      </c>
      <c r="F31">
        <v>30.847705000000001</v>
      </c>
      <c r="G31">
        <v>28.329158</v>
      </c>
      <c r="H31">
        <v>26.411908</v>
      </c>
      <c r="I31">
        <v>23.252641000000001</v>
      </c>
      <c r="J31">
        <v>55.224074999999999</v>
      </c>
      <c r="K31">
        <v>47.702893000000003</v>
      </c>
      <c r="L31">
        <v>36.884943999999997</v>
      </c>
      <c r="M31">
        <v>-622.48000100000002</v>
      </c>
      <c r="N31">
        <v>0.930585</v>
      </c>
      <c r="O31">
        <v>3.5301130000000001</v>
      </c>
      <c r="P31">
        <f t="shared" si="3"/>
        <v>1.5509750000000002E-5</v>
      </c>
      <c r="Q31" cm="1">
        <f t="array" ref="Q31">[1]!PropsSI("D","T",J31+273.15,"P",101325,"Water")</f>
        <v>985.58443536368111</v>
      </c>
      <c r="R31" cm="1">
        <f t="array" ref="R31">[1]!PropsSI("D","T",K31+273.15,"P",101325,"Water")</f>
        <v>989.05655996523626</v>
      </c>
      <c r="S31">
        <f t="shared" si="4"/>
        <v>987.32049766445868</v>
      </c>
      <c r="T31" cm="1">
        <f t="array" ref="T31">[1]!PropsSI("H","T",J31+273.15,"P",101325,"Water")</f>
        <v>231266.38001576706</v>
      </c>
      <c r="U31" cm="1">
        <f t="array" ref="U31">[1]!PropsSI("H","T",K31+273.15,"P",101325,"Water")</f>
        <v>199814.21405908337</v>
      </c>
      <c r="V31">
        <f t="shared" si="5"/>
        <v>481.62997658657389</v>
      </c>
    </row>
    <row r="32" spans="1:22" x14ac:dyDescent="0.2">
      <c r="A32">
        <v>46122.633401620369</v>
      </c>
      <c r="B32">
        <v>19.869902</v>
      </c>
      <c r="C32">
        <v>19.873073000000002</v>
      </c>
      <c r="D32">
        <v>19.665158999999999</v>
      </c>
      <c r="E32">
        <v>19.719664000000002</v>
      </c>
      <c r="F32">
        <v>30.978179999999998</v>
      </c>
      <c r="G32">
        <v>28.358461999999999</v>
      </c>
      <c r="H32">
        <v>26.655104000000001</v>
      </c>
      <c r="I32">
        <v>22.966873</v>
      </c>
      <c r="J32">
        <v>55.22869</v>
      </c>
      <c r="K32">
        <v>47.699083000000002</v>
      </c>
      <c r="L32">
        <v>39.802348000000002</v>
      </c>
      <c r="M32">
        <v>-622.48693900000001</v>
      </c>
      <c r="N32">
        <v>0.93494500000000003</v>
      </c>
      <c r="O32">
        <v>3.3715950000000001</v>
      </c>
      <c r="P32">
        <f t="shared" si="3"/>
        <v>1.5582416666666668E-5</v>
      </c>
      <c r="Q32" cm="1">
        <f t="array" ref="Q32">[1]!PropsSI("D","T",J32+273.15,"P",101325,"Water")</f>
        <v>985.58219433178658</v>
      </c>
      <c r="R32" cm="1">
        <f t="array" ref="R32">[1]!PropsSI("D","T",K32+273.15,"P",101325,"Water")</f>
        <v>989.05822498131852</v>
      </c>
      <c r="S32">
        <f t="shared" si="4"/>
        <v>987.32020965655261</v>
      </c>
      <c r="T32" cm="1">
        <f t="array" ref="T32">[1]!PropsSI("H","T",J32+273.15,"P",101325,"Water")</f>
        <v>231285.68473973664</v>
      </c>
      <c r="U32" cm="1">
        <f t="array" ref="U32">[1]!PropsSI("H","T",K32+273.15,"P",101325,"Water")</f>
        <v>199798.28545434517</v>
      </c>
      <c r="V32">
        <f t="shared" si="5"/>
        <v>484.42843913035455</v>
      </c>
    </row>
    <row r="33" spans="1:22" x14ac:dyDescent="0.2">
      <c r="A33">
        <v>46122.633459490738</v>
      </c>
      <c r="B33">
        <v>19.928003</v>
      </c>
      <c r="C33">
        <v>19.903514000000001</v>
      </c>
      <c r="D33">
        <v>19.656323</v>
      </c>
      <c r="E33">
        <v>19.710715</v>
      </c>
      <c r="F33">
        <v>30.920739000000001</v>
      </c>
      <c r="G33">
        <v>28.423009</v>
      </c>
      <c r="H33">
        <v>26.733844999999999</v>
      </c>
      <c r="I33">
        <v>23.003965000000001</v>
      </c>
      <c r="J33">
        <v>55.234259000000002</v>
      </c>
      <c r="K33">
        <v>47.700194000000003</v>
      </c>
      <c r="L33">
        <v>41.738169999999997</v>
      </c>
      <c r="M33">
        <v>-622.49469399999998</v>
      </c>
      <c r="N33">
        <v>0.93079000000000001</v>
      </c>
      <c r="O33">
        <v>3.118125</v>
      </c>
      <c r="P33">
        <f t="shared" si="3"/>
        <v>1.5513166666666666E-5</v>
      </c>
      <c r="Q33" cm="1">
        <f t="array" ref="Q33">[1]!PropsSI("D","T",J33+273.15,"P",101325,"Water")</f>
        <v>985.57948986435679</v>
      </c>
      <c r="R33" cm="1">
        <f t="array" ref="R33">[1]!PropsSI("D","T",K33+273.15,"P",101325,"Water")</f>
        <v>989.05773947098646</v>
      </c>
      <c r="S33">
        <f t="shared" si="4"/>
        <v>987.31861466767168</v>
      </c>
      <c r="T33" cm="1">
        <f t="array" ref="T33">[1]!PropsSI("H","T",J33+273.15,"P",101325,"Water")</f>
        <v>231308.98009313847</v>
      </c>
      <c r="U33" cm="1">
        <f t="array" ref="U33">[1]!PropsSI("H","T",K33+273.15,"P",101325,"Water")</f>
        <v>199802.93025185529</v>
      </c>
      <c r="V33">
        <f t="shared" si="5"/>
        <v>482.56046602719351</v>
      </c>
    </row>
    <row r="34" spans="1:22" x14ac:dyDescent="0.2">
      <c r="A34">
        <v>46122.633517939816</v>
      </c>
      <c r="B34">
        <v>19.878256</v>
      </c>
      <c r="C34">
        <v>19.889485000000001</v>
      </c>
      <c r="D34">
        <v>19.638045000000002</v>
      </c>
      <c r="E34">
        <v>19.708784999999999</v>
      </c>
      <c r="F34">
        <v>30.789145999999999</v>
      </c>
      <c r="G34">
        <v>28.623327</v>
      </c>
      <c r="H34">
        <v>26.560044999999999</v>
      </c>
      <c r="I34">
        <v>22.850325999999999</v>
      </c>
      <c r="J34">
        <v>55.226621000000002</v>
      </c>
      <c r="K34">
        <v>47.695273</v>
      </c>
      <c r="L34">
        <v>42.362220000000001</v>
      </c>
      <c r="M34">
        <v>-622.49142900000004</v>
      </c>
      <c r="N34">
        <v>0.93132199999999998</v>
      </c>
      <c r="O34">
        <v>3.3137750000000001</v>
      </c>
      <c r="P34">
        <f t="shared" si="3"/>
        <v>1.5522033333333335E-5</v>
      </c>
      <c r="Q34" cm="1">
        <f t="array" ref="Q34">[1]!PropsSI("D","T",J34+273.15,"P",101325,"Water")</f>
        <v>985.58319904907603</v>
      </c>
      <c r="R34" cm="1">
        <f t="array" ref="R34">[1]!PropsSI("D","T",K34+273.15,"P",101325,"Water")</f>
        <v>989.05988989955847</v>
      </c>
      <c r="S34">
        <f t="shared" si="4"/>
        <v>987.32154447431731</v>
      </c>
      <c r="T34" cm="1">
        <f t="array" ref="T34">[1]!PropsSI("H","T",J34+273.15,"P",101325,"Water")</f>
        <v>231277.03003153633</v>
      </c>
      <c r="U34" cm="1">
        <f t="array" ref="U34">[1]!PropsSI("H","T",K34+273.15,"P",101325,"Water")</f>
        <v>199782.35685319049</v>
      </c>
      <c r="V34">
        <f t="shared" si="5"/>
        <v>482.66335979829887</v>
      </c>
    </row>
    <row r="35" spans="1:22" x14ac:dyDescent="0.2">
      <c r="A35">
        <v>46122.633576388886</v>
      </c>
      <c r="B35">
        <v>19.817121</v>
      </c>
      <c r="C35">
        <v>19.879263999999999</v>
      </c>
      <c r="D35">
        <v>19.65766</v>
      </c>
      <c r="E35">
        <v>19.700507999999999</v>
      </c>
      <c r="F35">
        <v>30.852965999999999</v>
      </c>
      <c r="G35">
        <v>28.338773</v>
      </c>
      <c r="H35">
        <v>26.589110999999999</v>
      </c>
      <c r="I35">
        <v>23.181630999999999</v>
      </c>
      <c r="J35">
        <v>55.228211999999999</v>
      </c>
      <c r="K35">
        <v>47.697971000000003</v>
      </c>
      <c r="L35">
        <v>41.717762999999998</v>
      </c>
      <c r="M35">
        <v>-622.53469199999995</v>
      </c>
      <c r="N35">
        <v>0.93100700000000003</v>
      </c>
      <c r="O35">
        <v>3.3599679999999998</v>
      </c>
      <c r="P35">
        <f t="shared" si="3"/>
        <v>1.5516783333333334E-5</v>
      </c>
      <c r="Q35" cm="1">
        <f t="array" ref="Q35">[1]!PropsSI("D","T",J35+273.15,"P",101325,"Water")</f>
        <v>985.58242645344058</v>
      </c>
      <c r="R35" cm="1">
        <f t="array" ref="R35">[1]!PropsSI("D","T",K35+273.15,"P",101325,"Water")</f>
        <v>989.058710920311</v>
      </c>
      <c r="S35">
        <f t="shared" si="4"/>
        <v>987.32056868687573</v>
      </c>
      <c r="T35" cm="1">
        <f t="array" ref="T35">[1]!PropsSI("H","T",J35+273.15,"P",101325,"Water")</f>
        <v>231283.68524685127</v>
      </c>
      <c r="U35" cm="1">
        <f t="array" ref="U35">[1]!PropsSI("H","T",K35+273.15,"P",101325,"Water")</f>
        <v>199793.63647644431</v>
      </c>
      <c r="V35">
        <f t="shared" si="5"/>
        <v>482.42878613412239</v>
      </c>
    </row>
    <row r="36" spans="1:22" x14ac:dyDescent="0.2">
      <c r="A36">
        <v>46122.633634837963</v>
      </c>
      <c r="B36">
        <v>19.818165</v>
      </c>
      <c r="C36">
        <v>19.889125</v>
      </c>
      <c r="D36">
        <v>19.669622</v>
      </c>
      <c r="E36">
        <v>19.704291000000001</v>
      </c>
      <c r="F36">
        <v>30.847619000000002</v>
      </c>
      <c r="G36">
        <v>28.352558999999999</v>
      </c>
      <c r="H36">
        <v>26.674354000000001</v>
      </c>
      <c r="I36">
        <v>23.036299</v>
      </c>
      <c r="J36">
        <v>55.220734</v>
      </c>
      <c r="K36">
        <v>47.697178000000001</v>
      </c>
      <c r="L36">
        <v>39.191358999999999</v>
      </c>
      <c r="M36">
        <v>-622.47061399999996</v>
      </c>
      <c r="N36">
        <v>0.92933900000000003</v>
      </c>
      <c r="O36">
        <v>3.7173120000000002</v>
      </c>
      <c r="P36">
        <f t="shared" si="3"/>
        <v>1.5488983333333334E-5</v>
      </c>
      <c r="Q36" cm="1">
        <f t="array" ref="Q36">[1]!PropsSI("D","T",J36+273.15,"P",101325,"Water")</f>
        <v>985.58605766221774</v>
      </c>
      <c r="R36" cm="1">
        <f t="array" ref="R36">[1]!PropsSI("D","T",K36+273.15,"P",101325,"Water")</f>
        <v>989.05905745267899</v>
      </c>
      <c r="S36">
        <f t="shared" si="4"/>
        <v>987.32255755744836</v>
      </c>
      <c r="T36" cm="1">
        <f t="array" ref="T36">[1]!PropsSI("H","T",J36+273.15,"P",101325,"Water")</f>
        <v>231252.40448802983</v>
      </c>
      <c r="U36" cm="1">
        <f t="array" ref="U36">[1]!PropsSI("H","T",K36+273.15,"P",101325,"Water")</f>
        <v>199790.3211533218</v>
      </c>
      <c r="V36">
        <f t="shared" si="5"/>
        <v>481.13776786286246</v>
      </c>
    </row>
    <row r="37" spans="1:22" x14ac:dyDescent="0.2">
      <c r="A37">
        <v>46122.633692708332</v>
      </c>
      <c r="B37">
        <v>19.838695000000001</v>
      </c>
      <c r="C37">
        <v>19.889507999999999</v>
      </c>
      <c r="D37">
        <v>19.645485000000001</v>
      </c>
      <c r="E37">
        <v>19.708117999999999</v>
      </c>
      <c r="F37">
        <v>31.031492</v>
      </c>
      <c r="G37">
        <v>28.492711</v>
      </c>
      <c r="H37">
        <v>26.825081000000001</v>
      </c>
      <c r="I37">
        <v>22.991534999999999</v>
      </c>
      <c r="J37">
        <v>55.226621000000002</v>
      </c>
      <c r="K37">
        <v>47.688445999999999</v>
      </c>
      <c r="L37">
        <v>39.206052</v>
      </c>
      <c r="M37">
        <v>-622.49142900000004</v>
      </c>
      <c r="N37">
        <v>0.93198599999999998</v>
      </c>
      <c r="O37">
        <v>3.601658</v>
      </c>
      <c r="P37">
        <f t="shared" si="3"/>
        <v>1.5533099999999999E-5</v>
      </c>
      <c r="Q37" cm="1">
        <f t="array" ref="Q37">[1]!PropsSI("D","T",J37+273.15,"P",101325,"Water")</f>
        <v>985.58319904907603</v>
      </c>
      <c r="R37" cm="1">
        <f t="array" ref="R37">[1]!PropsSI("D","T",K37+273.15,"P",101325,"Water")</f>
        <v>989.06287296105018</v>
      </c>
      <c r="S37">
        <f t="shared" si="4"/>
        <v>987.32303600506316</v>
      </c>
      <c r="T37" cm="1">
        <f t="array" ref="T37">[1]!PropsSI("H","T",J37+273.15,"P",101325,"Water")</f>
        <v>231277.03003153633</v>
      </c>
      <c r="U37" cm="1">
        <f t="array" ref="U37">[1]!PropsSI("H","T",K37+273.15,"P",101325,"Water")</f>
        <v>199753.81498276553</v>
      </c>
      <c r="V37">
        <f t="shared" si="5"/>
        <v>483.44593503258585</v>
      </c>
    </row>
    <row r="38" spans="1:22" x14ac:dyDescent="0.2">
      <c r="A38">
        <v>44660.633751157598</v>
      </c>
      <c r="B38">
        <v>19.858481000000001</v>
      </c>
      <c r="C38">
        <v>19.906573000000002</v>
      </c>
      <c r="D38">
        <v>19.667096000000001</v>
      </c>
      <c r="E38">
        <v>19.705698000000002</v>
      </c>
      <c r="F38">
        <v>30.953253</v>
      </c>
      <c r="G38">
        <v>27.927446</v>
      </c>
      <c r="H38">
        <v>26.832968999999999</v>
      </c>
      <c r="I38">
        <v>22.826215999999999</v>
      </c>
      <c r="J38">
        <v>55.229166999999997</v>
      </c>
      <c r="K38">
        <v>47.691304000000002</v>
      </c>
      <c r="L38">
        <v>40.851683999999999</v>
      </c>
      <c r="M38">
        <v>-622.46326699999997</v>
      </c>
      <c r="N38">
        <v>0.93401900000000004</v>
      </c>
      <c r="O38">
        <v>3.8750800000000001</v>
      </c>
      <c r="P38">
        <f t="shared" si="3"/>
        <v>1.5566983333333335E-5</v>
      </c>
      <c r="Q38" cm="1">
        <f t="array" ref="Q38">[1]!PropsSI("D","T",J38+273.15,"P",101325,"Water")</f>
        <v>985.58196269430425</v>
      </c>
      <c r="R38" cm="1">
        <f t="array" ref="R38">[1]!PropsSI("D","T",K38+273.15,"P",101325,"Water")</f>
        <v>989.06162419457621</v>
      </c>
      <c r="S38">
        <f t="shared" si="4"/>
        <v>987.32179344444023</v>
      </c>
      <c r="T38" cm="1">
        <f t="array" ref="T38">[1]!PropsSI("H","T",J38+273.15,"P",101325,"Water")</f>
        <v>231287.68004969216</v>
      </c>
      <c r="U38" cm="1">
        <f t="array" ref="U38">[1]!PropsSI("H","T",K38+273.15,"P",101325,"Water")</f>
        <v>199765.76351889462</v>
      </c>
      <c r="V38">
        <f t="shared" si="5"/>
        <v>484.47993874215877</v>
      </c>
    </row>
    <row r="39" spans="1:22" x14ac:dyDescent="0.2">
      <c r="A39">
        <v>44660.633809606697</v>
      </c>
      <c r="B39">
        <v>19.856161</v>
      </c>
      <c r="C39">
        <v>19.864324</v>
      </c>
      <c r="D39">
        <v>19.675013</v>
      </c>
      <c r="E39">
        <v>19.731002</v>
      </c>
      <c r="F39">
        <v>31.015270000000001</v>
      </c>
      <c r="G39">
        <v>28.662234000000002</v>
      </c>
      <c r="H39">
        <v>26.346629</v>
      </c>
      <c r="I39">
        <v>22.895171000000001</v>
      </c>
      <c r="J39">
        <v>55.229484999999997</v>
      </c>
      <c r="K39">
        <v>47.688287000000003</v>
      </c>
      <c r="L39">
        <v>38.531391999999997</v>
      </c>
      <c r="M39">
        <v>-622.46612400000004</v>
      </c>
      <c r="N39">
        <v>0.93245699999999998</v>
      </c>
      <c r="O39">
        <v>3.7181510000000002</v>
      </c>
      <c r="P39">
        <f t="shared" si="3"/>
        <v>1.5540949999999999E-5</v>
      </c>
      <c r="Q39" cm="1">
        <f t="array" ref="Q39">[1]!PropsSI("D","T",J39+273.15,"P",101325,"Water")</f>
        <v>985.58180826854243</v>
      </c>
      <c r="R39" cm="1">
        <f t="array" ref="R39">[1]!PropsSI("D","T",K39+273.15,"P",101325,"Water")</f>
        <v>989.06294243242985</v>
      </c>
      <c r="S39">
        <f t="shared" si="4"/>
        <v>987.32237535048614</v>
      </c>
      <c r="T39" cm="1">
        <f t="array" ref="T39">[1]!PropsSI("H","T",J39+273.15,"P",101325,"Water")</f>
        <v>231289.01025636334</v>
      </c>
      <c r="U39" cm="1">
        <f t="array" ref="U39">[1]!PropsSI("H","T",K39+273.15,"P",101325,"Water")</f>
        <v>199753.15024623577</v>
      </c>
      <c r="V39">
        <f t="shared" si="5"/>
        <v>483.88395498151306</v>
      </c>
    </row>
    <row r="40" spans="1:22" x14ac:dyDescent="0.2">
      <c r="A40">
        <v>44660.633867477001</v>
      </c>
      <c r="B40">
        <v>19.873479</v>
      </c>
      <c r="C40">
        <v>19.882193000000001</v>
      </c>
      <c r="D40">
        <v>19.656611000000002</v>
      </c>
      <c r="E40">
        <v>19.699729999999999</v>
      </c>
      <c r="F40">
        <v>30.920558</v>
      </c>
      <c r="G40">
        <v>28.786681999999999</v>
      </c>
      <c r="H40">
        <v>26.579408999999998</v>
      </c>
      <c r="I40">
        <v>23.034196999999999</v>
      </c>
      <c r="J40">
        <v>55.228530999999997</v>
      </c>
      <c r="K40">
        <v>47.689715999999997</v>
      </c>
      <c r="L40">
        <v>40.760668000000003</v>
      </c>
      <c r="M40">
        <v>-622.51632600000005</v>
      </c>
      <c r="N40">
        <v>0.93134700000000004</v>
      </c>
      <c r="O40">
        <v>3.3816730000000002</v>
      </c>
      <c r="P40">
        <f t="shared" si="3"/>
        <v>1.5522449999999999E-5</v>
      </c>
      <c r="Q40" cm="1">
        <f t="array" ref="Q40">[1]!PropsSI("D","T",J40+273.15,"P",101325,"Water")</f>
        <v>985.58227154395388</v>
      </c>
      <c r="R40" cm="1">
        <f t="array" ref="R40">[1]!PropsSI("D","T",K40+273.15,"P",101325,"Water")</f>
        <v>989.06231805762502</v>
      </c>
      <c r="S40">
        <f t="shared" si="4"/>
        <v>987.32229480078945</v>
      </c>
      <c r="T40" cm="1">
        <f t="array" ref="T40">[1]!PropsSI("H","T",J40+273.15,"P",101325,"Water")</f>
        <v>231285.01963645511</v>
      </c>
      <c r="U40" cm="1">
        <f t="array" ref="U40">[1]!PropsSI("H","T",K40+273.15,"P",101325,"Water")</f>
        <v>199759.12451392243</v>
      </c>
      <c r="V40">
        <f t="shared" si="5"/>
        <v>483.1551799486333</v>
      </c>
    </row>
    <row r="41" spans="1:22" x14ac:dyDescent="0.2">
      <c r="A41">
        <v>44660.6339259261</v>
      </c>
      <c r="B41">
        <v>19.931616000000002</v>
      </c>
      <c r="C41">
        <v>19.940771999999999</v>
      </c>
      <c r="D41">
        <v>19.631305000000001</v>
      </c>
      <c r="E41">
        <v>19.685759999999998</v>
      </c>
      <c r="F41">
        <v>30.857244000000001</v>
      </c>
      <c r="G41">
        <v>27.930012999999999</v>
      </c>
      <c r="H41">
        <v>26.367039999999999</v>
      </c>
      <c r="I41">
        <v>22.983388999999999</v>
      </c>
      <c r="J41">
        <v>55.230916999999998</v>
      </c>
      <c r="K41">
        <v>47.691620999999998</v>
      </c>
      <c r="L41">
        <v>41.022286999999999</v>
      </c>
      <c r="M41">
        <v>-622.45388000000003</v>
      </c>
      <c r="N41">
        <v>0.93054800000000004</v>
      </c>
      <c r="O41">
        <v>3.7000039999999998</v>
      </c>
      <c r="P41">
        <f t="shared" si="3"/>
        <v>1.5509133333333334E-5</v>
      </c>
      <c r="Q41" cm="1">
        <f t="array" ref="Q41">[1]!PropsSI("D","T",J41+273.15,"P",101325,"Water")</f>
        <v>985.58111285922269</v>
      </c>
      <c r="R41" cm="1">
        <f t="array" ref="R41">[1]!PropsSI("D","T",K41+273.15,"P",101325,"Water")</f>
        <v>989.061485682117</v>
      </c>
      <c r="S41">
        <f t="shared" si="4"/>
        <v>987.3212992706699</v>
      </c>
      <c r="T41" cm="1">
        <f t="array" ref="T41">[1]!PropsSI("H","T",J41+273.15,"P",101325,"Water")</f>
        <v>231295.00036990363</v>
      </c>
      <c r="U41" cm="1">
        <f t="array" ref="U41">[1]!PropsSI("H","T",K41+273.15,"P",101325,"Water")</f>
        <v>199767.08881151251</v>
      </c>
      <c r="V41">
        <f t="shared" si="5"/>
        <v>482.77107237962497</v>
      </c>
    </row>
    <row r="42" spans="1:22" x14ac:dyDescent="0.2">
      <c r="A42">
        <v>46122.633983796295</v>
      </c>
      <c r="B42">
        <v>20.008109000000001</v>
      </c>
      <c r="C42">
        <v>20.042401999999999</v>
      </c>
      <c r="D42">
        <v>19.641500000000001</v>
      </c>
      <c r="E42">
        <v>19.743361</v>
      </c>
      <c r="F42">
        <v>30.989331</v>
      </c>
      <c r="G42">
        <v>28.700023999999999</v>
      </c>
      <c r="H42">
        <v>26.606379</v>
      </c>
      <c r="I42">
        <v>23.047705000000001</v>
      </c>
      <c r="J42">
        <v>55.228530999999997</v>
      </c>
      <c r="K42">
        <v>47.690510000000003</v>
      </c>
      <c r="L42">
        <v>39.303598000000001</v>
      </c>
      <c r="M42">
        <v>-622.46081800000002</v>
      </c>
      <c r="N42">
        <v>0.92750699999999997</v>
      </c>
      <c r="O42">
        <v>3.7262710000000001</v>
      </c>
      <c r="P42">
        <f t="shared" si="3"/>
        <v>1.5458449999999998E-5</v>
      </c>
      <c r="Q42" cm="1">
        <f t="array" ref="Q42">[1]!PropsSI("D","T",J42+273.15,"P",101325,"Water")</f>
        <v>985.58227154395388</v>
      </c>
      <c r="R42" cm="1">
        <f t="array" ref="R42">[1]!PropsSI("D","T",K42+273.15,"P",101325,"Water")</f>
        <v>989.06197112821394</v>
      </c>
      <c r="S42">
        <f t="shared" si="4"/>
        <v>987.32212133608391</v>
      </c>
      <c r="T42" cm="1">
        <f t="array" ref="T42">[1]!PropsSI("H","T",J42+273.15,"P",101325,"Water")</f>
        <v>231285.01963645511</v>
      </c>
      <c r="U42" cm="1">
        <f t="array" ref="U42">[1]!PropsSI("H","T",K42+273.15,"P",101325,"Water")</f>
        <v>199762.44401637476</v>
      </c>
      <c r="V42">
        <f t="shared" si="5"/>
        <v>481.11235358311393</v>
      </c>
    </row>
    <row r="43" spans="1:22" x14ac:dyDescent="0.2">
      <c r="A43">
        <v>46122.634041666664</v>
      </c>
      <c r="B43">
        <v>19.953112000000001</v>
      </c>
      <c r="C43">
        <v>19.881730000000001</v>
      </c>
      <c r="D43">
        <v>19.634363</v>
      </c>
      <c r="E43">
        <v>19.731448</v>
      </c>
      <c r="F43">
        <v>31.039555</v>
      </c>
      <c r="G43">
        <v>28.847314000000001</v>
      </c>
      <c r="H43">
        <v>26.621523</v>
      </c>
      <c r="I43">
        <v>23.231204000000002</v>
      </c>
      <c r="J43">
        <v>55.232348999999999</v>
      </c>
      <c r="K43">
        <v>47.690033999999997</v>
      </c>
      <c r="L43">
        <v>40.273752999999999</v>
      </c>
      <c r="M43">
        <v>-622.51591800000006</v>
      </c>
      <c r="N43">
        <v>0.92854000000000003</v>
      </c>
      <c r="O43">
        <v>3.7233480000000001</v>
      </c>
      <c r="P43">
        <f t="shared" si="3"/>
        <v>1.5475666666666668E-5</v>
      </c>
      <c r="Q43" cm="1">
        <f t="array" ref="Q43">[1]!PropsSI("D","T",J43+273.15,"P",101325,"Water")</f>
        <v>985.58041743721606</v>
      </c>
      <c r="R43" cm="1">
        <f t="array" ref="R43">[1]!PropsSI("D","T",K43+273.15,"P",101325,"Water")</f>
        <v>989.06217911159877</v>
      </c>
      <c r="S43">
        <f t="shared" si="4"/>
        <v>987.32129827440735</v>
      </c>
      <c r="T43" cm="1">
        <f t="array" ref="T43">[1]!PropsSI("H","T",J43+273.15,"P",101325,"Water")</f>
        <v>231300.99048420441</v>
      </c>
      <c r="U43" cm="1">
        <f t="array" ref="U43">[1]!PropsSI("H","T",K43+273.15,"P",101325,"Water")</f>
        <v>199760.45398721588</v>
      </c>
      <c r="V43">
        <f t="shared" si="5"/>
        <v>481.92221770130936</v>
      </c>
    </row>
    <row r="44" spans="1:22" x14ac:dyDescent="0.2">
      <c r="A44">
        <v>46122.634099537034</v>
      </c>
      <c r="B44">
        <v>19.886106999999999</v>
      </c>
      <c r="C44">
        <v>19.901682999999998</v>
      </c>
      <c r="D44">
        <v>19.632428000000001</v>
      </c>
      <c r="E44">
        <v>19.720625999999999</v>
      </c>
      <c r="F44">
        <v>31.051116</v>
      </c>
      <c r="G44">
        <v>28.492350999999999</v>
      </c>
      <c r="H44">
        <v>26.405657000000001</v>
      </c>
      <c r="I44">
        <v>23.268488999999999</v>
      </c>
      <c r="J44">
        <v>55.235213999999999</v>
      </c>
      <c r="K44">
        <v>47.699083000000002</v>
      </c>
      <c r="L44">
        <v>41.603890999999997</v>
      </c>
      <c r="M44">
        <v>-622.50489800000003</v>
      </c>
      <c r="N44">
        <v>0.93019099999999999</v>
      </c>
      <c r="O44">
        <v>3.5525929999999999</v>
      </c>
      <c r="P44">
        <f t="shared" si="3"/>
        <v>1.5503183333333334E-5</v>
      </c>
      <c r="Q44" cm="1">
        <f t="array" ref="Q44">[1]!PropsSI("D","T",J44+273.15,"P",101325,"Water")</f>
        <v>985.57902606944424</v>
      </c>
      <c r="R44" cm="1">
        <f t="array" ref="R44">[1]!PropsSI("D","T",K44+273.15,"P",101325,"Water")</f>
        <v>989.05822498131852</v>
      </c>
      <c r="S44">
        <f t="shared" si="4"/>
        <v>987.31862552538132</v>
      </c>
      <c r="T44" cm="1">
        <f t="array" ref="T44">[1]!PropsSI("H","T",J44+273.15,"P",101325,"Water")</f>
        <v>231312.97489809216</v>
      </c>
      <c r="U44" cm="1">
        <f t="array" ref="U44">[1]!PropsSI("H","T",K44+273.15,"P",101325,"Water")</f>
        <v>199798.28545434517</v>
      </c>
      <c r="V44">
        <f t="shared" si="5"/>
        <v>482.38216745819432</v>
      </c>
    </row>
    <row r="45" spans="1:22" x14ac:dyDescent="0.2">
      <c r="A45">
        <v>46122.63415740741</v>
      </c>
      <c r="B45">
        <v>19.974778000000001</v>
      </c>
      <c r="C45">
        <v>20.021426999999999</v>
      </c>
      <c r="D45">
        <v>19.670241999999998</v>
      </c>
      <c r="E45">
        <v>19.739380000000001</v>
      </c>
      <c r="F45">
        <v>31.005609</v>
      </c>
      <c r="G45">
        <v>28.582773</v>
      </c>
      <c r="H45">
        <v>26.489115999999999</v>
      </c>
      <c r="I45">
        <v>23.467972</v>
      </c>
      <c r="J45">
        <v>55.241259999999997</v>
      </c>
      <c r="K45">
        <v>47.694161000000001</v>
      </c>
      <c r="L45">
        <v>42.380586999999998</v>
      </c>
      <c r="M45">
        <v>-622.46653200000003</v>
      </c>
      <c r="N45">
        <v>0.93044499999999997</v>
      </c>
      <c r="O45">
        <v>3.3875820000000001</v>
      </c>
      <c r="P45">
        <f t="shared" si="3"/>
        <v>1.5507416666666667E-5</v>
      </c>
      <c r="Q45" cm="1">
        <f t="array" ref="Q45">[1]!PropsSI("D","T",J45+273.15,"P",101325,"Water")</f>
        <v>985.57608970380556</v>
      </c>
      <c r="R45" cm="1">
        <f t="array" ref="R45">[1]!PropsSI("D","T",K45+273.15,"P",101325,"Water")</f>
        <v>989.06037581001624</v>
      </c>
      <c r="S45">
        <f t="shared" si="4"/>
        <v>987.3182327569109</v>
      </c>
      <c r="T45" cm="1">
        <f t="array" ref="T45">[1]!PropsSI("H","T",J45+273.15,"P",101325,"Water")</f>
        <v>231338.26557680315</v>
      </c>
      <c r="U45" cm="1">
        <f t="array" ref="U45">[1]!PropsSI("H","T",K45+273.15,"P",101325,"Water")</f>
        <v>199777.70787631426</v>
      </c>
      <c r="V45">
        <f t="shared" si="5"/>
        <v>483.21597349443743</v>
      </c>
    </row>
    <row r="46" spans="1:22" x14ac:dyDescent="0.2">
      <c r="A46">
        <v>46122.63421585648</v>
      </c>
      <c r="B46">
        <v>19.917041999999999</v>
      </c>
      <c r="C46">
        <v>19.982987999999999</v>
      </c>
      <c r="D46">
        <v>19.676390999999999</v>
      </c>
      <c r="E46">
        <v>19.736961999999998</v>
      </c>
      <c r="F46">
        <v>31.007080999999999</v>
      </c>
      <c r="G46">
        <v>28.420089999999998</v>
      </c>
      <c r="H46">
        <v>26.570024</v>
      </c>
      <c r="I46">
        <v>22.884934000000001</v>
      </c>
      <c r="J46">
        <v>55.239668999999999</v>
      </c>
      <c r="K46">
        <v>47.700828999999999</v>
      </c>
      <c r="L46">
        <v>36.317625</v>
      </c>
      <c r="M46">
        <v>-622.49183700000003</v>
      </c>
      <c r="N46">
        <v>0.93432199999999999</v>
      </c>
      <c r="O46">
        <v>3.5850110000000002</v>
      </c>
      <c r="P46">
        <f t="shared" si="3"/>
        <v>1.5572033333333333E-5</v>
      </c>
      <c r="Q46" cm="1">
        <f t="array" ref="Q46">[1]!PropsSI("D","T",J46+273.15,"P",101325,"Water")</f>
        <v>985.57686242799934</v>
      </c>
      <c r="R46" cm="1">
        <f t="array" ref="R46">[1]!PropsSI("D","T",K46+273.15,"P",101325,"Water")</f>
        <v>989.05746197035057</v>
      </c>
      <c r="S46">
        <f t="shared" si="4"/>
        <v>987.31716219917496</v>
      </c>
      <c r="T46" cm="1">
        <f t="array" ref="T46">[1]!PropsSI("H","T",J46+273.15,"P",101325,"Water")</f>
        <v>231331.61035390815</v>
      </c>
      <c r="U46" cm="1">
        <f t="array" ref="U46">[1]!PropsSI("H","T",K46+273.15,"P",101325,"Water")</f>
        <v>199805.58501920014</v>
      </c>
      <c r="V46">
        <f t="shared" si="5"/>
        <v>484.69800388977831</v>
      </c>
    </row>
    <row r="47" spans="1:22" x14ac:dyDescent="0.2">
      <c r="A47">
        <v>46122.63427372685</v>
      </c>
      <c r="B47">
        <v>19.888383000000001</v>
      </c>
      <c r="C47">
        <v>19.930880999999999</v>
      </c>
      <c r="D47">
        <v>19.637145</v>
      </c>
      <c r="E47">
        <v>19.726306999999998</v>
      </c>
      <c r="F47">
        <v>30.948181000000002</v>
      </c>
      <c r="G47">
        <v>28.078378000000001</v>
      </c>
      <c r="H47">
        <v>26.555292999999999</v>
      </c>
      <c r="I47">
        <v>23.065719000000001</v>
      </c>
      <c r="J47">
        <v>55.237282</v>
      </c>
      <c r="K47">
        <v>47.702575000000003</v>
      </c>
      <c r="L47">
        <v>41.712049</v>
      </c>
      <c r="M47">
        <v>-622.55305899999996</v>
      </c>
      <c r="N47">
        <v>0.928396</v>
      </c>
      <c r="O47">
        <v>3.6282429999999999</v>
      </c>
      <c r="P47">
        <f t="shared" si="3"/>
        <v>1.5473266666666666E-5</v>
      </c>
      <c r="Q47" cm="1">
        <f t="array" ref="Q47">[1]!PropsSI("D","T",J47+273.15,"P",101325,"Water")</f>
        <v>985.57802172769982</v>
      </c>
      <c r="R47" cm="1">
        <f t="array" ref="R47">[1]!PropsSI("D","T",K47+273.15,"P",101325,"Water")</f>
        <v>989.05669893880781</v>
      </c>
      <c r="S47">
        <f t="shared" si="4"/>
        <v>987.31736033325387</v>
      </c>
      <c r="T47" cm="1">
        <f t="array" ref="T47">[1]!PropsSI("H","T",J47+273.15,"P",101325,"Water")</f>
        <v>231321.62542976523</v>
      </c>
      <c r="U47" cm="1">
        <f t="array" ref="U47">[1]!PropsSI("H","T",K47+273.15,"P",101325,"Water")</f>
        <v>199812.88458486518</v>
      </c>
      <c r="V47">
        <f t="shared" si="5"/>
        <v>481.35981533789493</v>
      </c>
    </row>
    <row r="48" spans="1:22" x14ac:dyDescent="0.2">
      <c r="A48">
        <v>46122.634332175927</v>
      </c>
      <c r="B48">
        <v>19.889633</v>
      </c>
      <c r="C48">
        <v>19.930263</v>
      </c>
      <c r="D48">
        <v>19.666167999999999</v>
      </c>
      <c r="E48">
        <v>19.719259999999998</v>
      </c>
      <c r="F48">
        <v>30.982095000000001</v>
      </c>
      <c r="G48">
        <v>27.961894000000001</v>
      </c>
      <c r="H48">
        <v>26.835944999999999</v>
      </c>
      <c r="I48">
        <v>22.660049000000001</v>
      </c>
      <c r="J48">
        <v>55.230440000000002</v>
      </c>
      <c r="K48">
        <v>47.698289000000003</v>
      </c>
      <c r="L48">
        <v>44.890664999999998</v>
      </c>
      <c r="M48">
        <v>-622.49142900000004</v>
      </c>
      <c r="N48">
        <v>0.928064</v>
      </c>
      <c r="O48">
        <v>3.8908369999999999</v>
      </c>
      <c r="P48">
        <f t="shared" si="3"/>
        <v>1.5467733333333334E-5</v>
      </c>
      <c r="Q48" cm="1">
        <f t="array" ref="Q48">[1]!PropsSI("D","T",J48+273.15,"P",101325,"Water")</f>
        <v>985.58134450186196</v>
      </c>
      <c r="R48" cm="1">
        <f t="array" ref="R48">[1]!PropsSI("D","T",K48+273.15,"P",101325,"Water")</f>
        <v>989.05857195659758</v>
      </c>
      <c r="S48">
        <f t="shared" si="4"/>
        <v>987.31995822922977</v>
      </c>
      <c r="T48" cm="1">
        <f t="array" ref="T48">[1]!PropsSI("H","T",J48+273.15,"P",101325,"Water")</f>
        <v>231293.00505967639</v>
      </c>
      <c r="U48" cm="1">
        <f t="array" ref="U48">[1]!PropsSI("H","T",K48+273.15,"P",101325,"Water")</f>
        <v>199794.96595029152</v>
      </c>
      <c r="V48">
        <f t="shared" si="5"/>
        <v>481.02551165917373</v>
      </c>
    </row>
    <row r="49" spans="1:22" x14ac:dyDescent="0.2">
      <c r="A49">
        <v>44660.6343906252</v>
      </c>
      <c r="B49">
        <v>19.850622000000001</v>
      </c>
      <c r="C49">
        <v>19.926186000000001</v>
      </c>
      <c r="D49">
        <v>19.609102</v>
      </c>
      <c r="E49">
        <v>19.722809000000002</v>
      </c>
      <c r="F49">
        <v>30.95063</v>
      </c>
      <c r="G49">
        <v>28.044799000000001</v>
      </c>
      <c r="H49">
        <v>26.568746999999998</v>
      </c>
      <c r="I49">
        <v>23.250074000000001</v>
      </c>
      <c r="J49">
        <v>55.234735999999998</v>
      </c>
      <c r="K49">
        <v>47.700194000000003</v>
      </c>
      <c r="L49">
        <v>34.460166999999998</v>
      </c>
      <c r="M49">
        <v>-622.48449100000005</v>
      </c>
      <c r="N49">
        <v>0.92922400000000005</v>
      </c>
      <c r="O49">
        <v>3.7179980000000001</v>
      </c>
      <c r="P49">
        <f t="shared" si="3"/>
        <v>1.5487066666666669E-5</v>
      </c>
      <c r="Q49" cm="1">
        <f t="array" ref="Q49">[1]!PropsSI("D","T",J49+273.15,"P",101325,"Water")</f>
        <v>985.57925821042397</v>
      </c>
      <c r="R49" cm="1">
        <f t="array" ref="R49">[1]!PropsSI("D","T",K49+273.15,"P",101325,"Water")</f>
        <v>989.05773947098646</v>
      </c>
      <c r="S49">
        <f t="shared" si="4"/>
        <v>987.31849884070516</v>
      </c>
      <c r="T49" cm="1">
        <f t="array" ref="T49">[1]!PropsSI("H","T",J49+273.15,"P",101325,"Water")</f>
        <v>231310.97540405235</v>
      </c>
      <c r="U49" cm="1">
        <f t="array" ref="U49">[1]!PropsSI("H","T",K49+273.15,"P",101325,"Water")</f>
        <v>199802.93025185529</v>
      </c>
      <c r="V49">
        <f t="shared" si="5"/>
        <v>481.77903924907724</v>
      </c>
    </row>
    <row r="50" spans="1:22" x14ac:dyDescent="0.2">
      <c r="A50" t="s">
        <v>20</v>
      </c>
      <c r="B50">
        <v>19.806335000000001</v>
      </c>
      <c r="C50">
        <v>19.903872</v>
      </c>
      <c r="D50">
        <v>19.618175000000001</v>
      </c>
      <c r="E50">
        <v>19.729227000000002</v>
      </c>
      <c r="F50">
        <v>30.901786000000001</v>
      </c>
      <c r="G50">
        <v>28.308205000000001</v>
      </c>
      <c r="H50">
        <v>26.676069999999999</v>
      </c>
      <c r="I50">
        <v>22.831772000000001</v>
      </c>
      <c r="J50">
        <v>55.238714000000002</v>
      </c>
      <c r="K50">
        <v>47.696224999999998</v>
      </c>
      <c r="L50">
        <v>38.274262</v>
      </c>
      <c r="M50">
        <v>-622.51387699999998</v>
      </c>
      <c r="N50">
        <v>0.93306800000000001</v>
      </c>
      <c r="O50">
        <v>3.4821279999999999</v>
      </c>
      <c r="P50">
        <f t="shared" si="3"/>
        <v>1.5551133333333334E-5</v>
      </c>
      <c r="Q50" cm="1">
        <f t="array" ref="Q50">[1]!PropsSI("D","T",J50+273.15,"P",101325,"Water")</f>
        <v>985.57732624927087</v>
      </c>
      <c r="R50" cm="1">
        <f t="array" ref="R50">[1]!PropsSI("D","T",K50+273.15,"P",101325,"Water")</f>
        <v>989.05947389765527</v>
      </c>
      <c r="S50">
        <f t="shared" si="4"/>
        <v>987.31840007346307</v>
      </c>
      <c r="T50" cm="1">
        <f t="array" ref="T50">[1]!PropsSI("H","T",J50+273.15,"P",101325,"Water")</f>
        <v>231327.61554734994</v>
      </c>
      <c r="U50" cm="1">
        <f t="array" ref="U50">[1]!PropsSI("H","T",K50+273.15,"P",101325,"Water")</f>
        <v>199786.33691277442</v>
      </c>
      <c r="V50">
        <f t="shared" si="5"/>
        <v>484.28227143923306</v>
      </c>
    </row>
    <row r="51" spans="1:22" x14ac:dyDescent="0.2">
      <c r="A51">
        <v>46122.634507523151</v>
      </c>
      <c r="B51">
        <v>19.825662000000001</v>
      </c>
      <c r="C51">
        <v>19.935112</v>
      </c>
      <c r="D51">
        <v>19.609684999999999</v>
      </c>
      <c r="E51">
        <v>19.714865</v>
      </c>
      <c r="F51">
        <v>30.803331</v>
      </c>
      <c r="G51">
        <v>28.163959999999999</v>
      </c>
      <c r="H51">
        <v>27.056937000000001</v>
      </c>
      <c r="I51">
        <v>23.071237</v>
      </c>
      <c r="J51">
        <v>55.239032000000002</v>
      </c>
      <c r="K51">
        <v>47.699559000000001</v>
      </c>
      <c r="L51">
        <v>38.092638000000001</v>
      </c>
      <c r="M51">
        <v>-622.48449100000005</v>
      </c>
      <c r="N51">
        <v>0.93016699999999997</v>
      </c>
      <c r="O51">
        <v>3.7256740000000002</v>
      </c>
      <c r="P51">
        <f t="shared" si="3"/>
        <v>1.5502783333333333E-5</v>
      </c>
      <c r="Q51" cm="1">
        <f t="array" ref="Q51">[1]!PropsSI("D","T",J51+273.15,"P",101325,"Water")</f>
        <v>985.57717180467944</v>
      </c>
      <c r="R51" cm="1">
        <f t="array" ref="R51">[1]!PropsSI("D","T",K51+273.15,"P",101325,"Water")</f>
        <v>989.05801696893616</v>
      </c>
      <c r="S51">
        <f t="shared" si="4"/>
        <v>987.31759438680774</v>
      </c>
      <c r="T51" cm="1">
        <f t="array" ref="T51">[1]!PropsSI("H","T",J51+273.15,"P",101325,"Water")</f>
        <v>231328.94575519187</v>
      </c>
      <c r="U51" cm="1">
        <f t="array" ref="U51">[1]!PropsSI("H","T",K51+273.15,"P",101325,"Water")</f>
        <v>199800.2754845648</v>
      </c>
      <c r="V51">
        <f t="shared" si="5"/>
        <v>482.58321058702643</v>
      </c>
    </row>
    <row r="52" spans="1:22" x14ac:dyDescent="0.2">
      <c r="A52">
        <v>46122.634565972221</v>
      </c>
      <c r="B52">
        <v>19.877213000000001</v>
      </c>
      <c r="C52">
        <v>19.882413</v>
      </c>
      <c r="D52">
        <v>19.586500999999998</v>
      </c>
      <c r="E52">
        <v>19.672826000000001</v>
      </c>
      <c r="F52">
        <v>30.95234</v>
      </c>
      <c r="G52">
        <v>28.442195999999999</v>
      </c>
      <c r="H52">
        <v>26.586262999999999</v>
      </c>
      <c r="I52">
        <v>23.019924</v>
      </c>
      <c r="J52">
        <v>55.236327000000003</v>
      </c>
      <c r="K52">
        <v>47.697495000000004</v>
      </c>
      <c r="L52">
        <v>38.503230000000002</v>
      </c>
      <c r="M52">
        <v>-622.48204199999998</v>
      </c>
      <c r="N52">
        <v>0.92867100000000002</v>
      </c>
      <c r="O52">
        <v>3.678083</v>
      </c>
      <c r="P52">
        <f t="shared" si="3"/>
        <v>1.547785E-5</v>
      </c>
      <c r="Q52" cm="1">
        <f t="array" ref="Q52">[1]!PropsSI("D","T",J52+273.15,"P",101325,"Water")</f>
        <v>985.57848553484087</v>
      </c>
      <c r="R52" cm="1">
        <f t="array" ref="R52">[1]!PropsSI("D","T",K52+273.15,"P",101325,"Water")</f>
        <v>989.05891892762668</v>
      </c>
      <c r="S52">
        <f t="shared" si="4"/>
        <v>987.31870223123383</v>
      </c>
      <c r="T52" cm="1">
        <f t="array" ref="T52">[1]!PropsSI("H","T",J52+273.15,"P",101325,"Water")</f>
        <v>231317.63062408409</v>
      </c>
      <c r="U52" cm="1">
        <f t="array" ref="U52">[1]!PropsSI("H","T",K52+273.15,"P",101325,"Water")</f>
        <v>199791.64644641516</v>
      </c>
      <c r="V52">
        <f t="shared" si="5"/>
        <v>481.76655847297212</v>
      </c>
    </row>
    <row r="53" spans="1:22" x14ac:dyDescent="0.2">
      <c r="A53">
        <v>46122.63462384259</v>
      </c>
      <c r="B53">
        <v>19.941669000000001</v>
      </c>
      <c r="C53">
        <v>19.996724</v>
      </c>
      <c r="D53">
        <v>19.626023</v>
      </c>
      <c r="E53">
        <v>19.712864</v>
      </c>
      <c r="F53">
        <v>31.057072000000002</v>
      </c>
      <c r="G53">
        <v>28.348067</v>
      </c>
      <c r="H53">
        <v>26.569828999999999</v>
      </c>
      <c r="I53">
        <v>23.211752000000001</v>
      </c>
      <c r="J53">
        <v>55.235691000000003</v>
      </c>
      <c r="K53">
        <v>47.692891000000003</v>
      </c>
      <c r="L53">
        <v>41.545526000000002</v>
      </c>
      <c r="M53">
        <v>-622.45755299999996</v>
      </c>
      <c r="N53">
        <v>0.93431399999999998</v>
      </c>
      <c r="O53">
        <v>4.0044329999999997</v>
      </c>
      <c r="P53">
        <f t="shared" si="3"/>
        <v>1.5571899999999999E-5</v>
      </c>
      <c r="Q53" cm="1">
        <f t="array" ref="Q53">[1]!PropsSI("D","T",J53+273.15,"P",101325,"Water")</f>
        <v>985.5787944126962</v>
      </c>
      <c r="R53" cm="1">
        <f t="array" ref="R53">[1]!PropsSI("D","T",K53+273.15,"P",101325,"Water")</f>
        <v>989.06093075148215</v>
      </c>
      <c r="S53">
        <f t="shared" si="4"/>
        <v>987.31986258208917</v>
      </c>
      <c r="T53" cm="1">
        <f t="array" ref="T53">[1]!PropsSI("H","T",J53+273.15,"P",101325,"Water")</f>
        <v>231314.97020917173</v>
      </c>
      <c r="U53" cm="1">
        <f t="array" ref="U53">[1]!PropsSI("H","T",K53+273.15,"P",101325,"Water")</f>
        <v>199772.39834371523</v>
      </c>
      <c r="V53">
        <f t="shared" si="5"/>
        <v>484.94957315021236</v>
      </c>
    </row>
    <row r="54" spans="1:22" x14ac:dyDescent="0.2">
      <c r="A54">
        <v>46122.63468171296</v>
      </c>
      <c r="B54">
        <v>19.937297999999998</v>
      </c>
      <c r="C54">
        <v>20.044875000000001</v>
      </c>
      <c r="D54">
        <v>19.650506</v>
      </c>
      <c r="E54">
        <v>19.722594999999998</v>
      </c>
      <c r="F54">
        <v>30.948829</v>
      </c>
      <c r="G54">
        <v>28.445967</v>
      </c>
      <c r="H54">
        <v>26.492771999999999</v>
      </c>
      <c r="I54">
        <v>23.021003</v>
      </c>
      <c r="J54">
        <v>55.235373000000003</v>
      </c>
      <c r="K54">
        <v>47.698129999999999</v>
      </c>
      <c r="L54">
        <v>42.423850000000002</v>
      </c>
      <c r="M54">
        <v>-622.50285699999995</v>
      </c>
      <c r="N54">
        <v>0.93275200000000003</v>
      </c>
      <c r="O54">
        <v>3.5192350000000001</v>
      </c>
      <c r="P54">
        <f t="shared" si="3"/>
        <v>1.5545866666666666E-5</v>
      </c>
      <c r="Q54" cm="1">
        <f t="array" ref="Q54">[1]!PropsSI("D","T",J54+273.15,"P",101325,"Water")</f>
        <v>985.57894885068697</v>
      </c>
      <c r="R54" cm="1">
        <f t="array" ref="R54">[1]!PropsSI("D","T",K54+273.15,"P",101325,"Water")</f>
        <v>989.05864143856036</v>
      </c>
      <c r="S54">
        <f t="shared" si="4"/>
        <v>987.31879514462366</v>
      </c>
      <c r="T54" cm="1">
        <f t="array" ref="T54">[1]!PropsSI("H","T",J54+273.15,"P",101325,"Water")</f>
        <v>231313.64000175329</v>
      </c>
      <c r="U54" cm="1">
        <f t="array" ref="U54">[1]!PropsSI("H","T",K54+273.15,"P",101325,"Water")</f>
        <v>199794.30121332887</v>
      </c>
      <c r="V54">
        <f t="shared" si="5"/>
        <v>483.78170569599268</v>
      </c>
    </row>
    <row r="55" spans="1:22" x14ac:dyDescent="0.2">
      <c r="A55">
        <v>46122.634740162037</v>
      </c>
      <c r="B55">
        <v>19.932326</v>
      </c>
      <c r="C55">
        <v>20.065954000000001</v>
      </c>
      <c r="D55">
        <v>19.646145000000001</v>
      </c>
      <c r="E55">
        <v>19.721851999999998</v>
      </c>
      <c r="F55">
        <v>30.980796999999999</v>
      </c>
      <c r="G55">
        <v>28.294958000000001</v>
      </c>
      <c r="H55">
        <v>26.816559000000002</v>
      </c>
      <c r="I55">
        <v>23.050656</v>
      </c>
      <c r="J55">
        <v>55.231394999999999</v>
      </c>
      <c r="K55">
        <v>47.696860000000001</v>
      </c>
      <c r="L55">
        <v>42.572822000000002</v>
      </c>
      <c r="M55">
        <v>-622.48040900000001</v>
      </c>
      <c r="N55">
        <v>0.92833100000000002</v>
      </c>
      <c r="O55">
        <v>3.7628569999999999</v>
      </c>
      <c r="P55">
        <f t="shared" si="3"/>
        <v>1.5472183333333334E-5</v>
      </c>
      <c r="Q55" cm="1">
        <f t="array" ref="Q55">[1]!PropsSI("D","T",J55+273.15,"P",101325,"Water")</f>
        <v>985.58088072955888</v>
      </c>
      <c r="R55" cm="1">
        <f t="array" ref="R55">[1]!PropsSI("D","T",K55+273.15,"P",101325,"Water")</f>
        <v>989.05919641400862</v>
      </c>
      <c r="S55">
        <f t="shared" si="4"/>
        <v>987.3200385717837</v>
      </c>
      <c r="T55" cm="1">
        <f t="array" ref="T55">[1]!PropsSI("H","T",J55+273.15,"P",101325,"Water")</f>
        <v>231296.99986327603</v>
      </c>
      <c r="U55" cm="1">
        <f t="array" ref="U55">[1]!PropsSI("H","T",K55+273.15,"P",101325,"Water")</f>
        <v>199788.99167952256</v>
      </c>
      <c r="V55">
        <f t="shared" si="5"/>
        <v>481.31622732003001</v>
      </c>
    </row>
    <row r="56" spans="1:22" x14ac:dyDescent="0.2">
      <c r="A56">
        <v>46122.634798032406</v>
      </c>
      <c r="B56">
        <v>19.915949999999999</v>
      </c>
      <c r="C56">
        <v>20.028815999999999</v>
      </c>
      <c r="D56">
        <v>19.618891000000001</v>
      </c>
      <c r="E56">
        <v>19.698657000000001</v>
      </c>
      <c r="F56">
        <v>31.029411</v>
      </c>
      <c r="G56">
        <v>28.246858</v>
      </c>
      <c r="H56">
        <v>26.7136</v>
      </c>
      <c r="I56">
        <v>22.872416999999999</v>
      </c>
      <c r="J56">
        <v>55.226939000000002</v>
      </c>
      <c r="K56">
        <v>47.695113999999997</v>
      </c>
      <c r="L56">
        <v>41.352474999999998</v>
      </c>
      <c r="M56">
        <v>-622.51469299999997</v>
      </c>
      <c r="N56">
        <v>0.93494100000000002</v>
      </c>
      <c r="O56">
        <v>3.3681390000000002</v>
      </c>
      <c r="P56">
        <f t="shared" si="3"/>
        <v>1.5582350000000002E-5</v>
      </c>
      <c r="Q56" cm="1">
        <f t="array" ref="Q56">[1]!PropsSI("D","T",J56+273.15,"P",101325,"Water")</f>
        <v>985.58304462832041</v>
      </c>
      <c r="R56" cm="1">
        <f t="array" ref="R56">[1]!PropsSI("D","T",K56+273.15,"P",101325,"Water")</f>
        <v>989.05995937826606</v>
      </c>
      <c r="S56">
        <f t="shared" si="4"/>
        <v>987.32150200329329</v>
      </c>
      <c r="T56" cm="1">
        <f t="array" ref="T56">[1]!PropsSI("H","T",J56+273.15,"P",101325,"Water")</f>
        <v>231278.36023792313</v>
      </c>
      <c r="U56" cm="1">
        <f t="array" ref="U56">[1]!PropsSI("H","T",K56+273.15,"P",101325,"Water")</f>
        <v>199781.69211639371</v>
      </c>
      <c r="V56">
        <f t="shared" si="5"/>
        <v>484.56959976440982</v>
      </c>
    </row>
    <row r="57" spans="1:22" x14ac:dyDescent="0.2">
      <c r="A57">
        <v>46122.634855902776</v>
      </c>
      <c r="B57">
        <v>19.812992999999999</v>
      </c>
      <c r="C57">
        <v>19.893287000000001</v>
      </c>
      <c r="D57">
        <v>19.587893000000001</v>
      </c>
      <c r="E57">
        <v>19.625038</v>
      </c>
      <c r="F57">
        <v>30.79945</v>
      </c>
      <c r="G57">
        <v>28.449451</v>
      </c>
      <c r="H57">
        <v>26.44614</v>
      </c>
      <c r="I57">
        <v>23.046737</v>
      </c>
      <c r="J57">
        <v>55.230122000000001</v>
      </c>
      <c r="K57">
        <v>47.686382000000002</v>
      </c>
      <c r="L57">
        <v>39.522362000000001</v>
      </c>
      <c r="M57">
        <v>-622.49347</v>
      </c>
      <c r="N57">
        <v>0.93007700000000004</v>
      </c>
      <c r="O57">
        <v>3.5260340000000001</v>
      </c>
      <c r="P57">
        <f t="shared" si="3"/>
        <v>1.5501283333333333E-5</v>
      </c>
      <c r="Q57" cm="1">
        <f t="array" ref="Q57">[1]!PropsSI("D","T",J57+273.15,"P",101325,"Water")</f>
        <v>985.58149892951042</v>
      </c>
      <c r="R57" cm="1">
        <f t="array" ref="R57">[1]!PropsSI("D","T",K57+273.15,"P",101325,"Water")</f>
        <v>989.0637747651665</v>
      </c>
      <c r="S57">
        <f t="shared" si="4"/>
        <v>987.32263684733846</v>
      </c>
      <c r="T57" cm="1">
        <f t="array" ref="T57">[1]!PropsSI("H","T",J57+273.15,"P",101325,"Water")</f>
        <v>231291.67485288813</v>
      </c>
      <c r="U57" cm="1">
        <f t="array" ref="U57">[1]!PropsSI("H","T",K57+273.15,"P",101325,"Water")</f>
        <v>199745.1859501822</v>
      </c>
      <c r="V57">
        <f t="shared" si="5"/>
        <v>482.81169182578316</v>
      </c>
    </row>
    <row r="58" spans="1:22" x14ac:dyDescent="0.2">
      <c r="A58">
        <v>46122.634914351853</v>
      </c>
      <c r="B58">
        <v>19.797025999999999</v>
      </c>
      <c r="C58">
        <v>19.859802999999999</v>
      </c>
      <c r="D58">
        <v>19.594073999999999</v>
      </c>
      <c r="E58">
        <v>19.627414999999999</v>
      </c>
      <c r="F58">
        <v>30.869140000000002</v>
      </c>
      <c r="G58">
        <v>28.519639000000002</v>
      </c>
      <c r="H58">
        <v>26.602433999999999</v>
      </c>
      <c r="I58">
        <v>23.031486999999998</v>
      </c>
      <c r="J58">
        <v>55.231872000000003</v>
      </c>
      <c r="K58">
        <v>47.685271</v>
      </c>
      <c r="L58">
        <v>36.253138</v>
      </c>
      <c r="M58">
        <v>-622.49550999999997</v>
      </c>
      <c r="N58">
        <v>0.93337899999999996</v>
      </c>
      <c r="O58">
        <v>3.8972669999999998</v>
      </c>
      <c r="P58">
        <f t="shared" si="3"/>
        <v>1.5556316666666665E-5</v>
      </c>
      <c r="Q58" cm="1">
        <f t="array" ref="Q58">[1]!PropsSI("D","T",J58+273.15,"P",101325,"Water")</f>
        <v>985.58064908409312</v>
      </c>
      <c r="R58" cm="1">
        <f t="array" ref="R58">[1]!PropsSI("D","T",K58+273.15,"P",101325,"Water")</f>
        <v>989.06426017206195</v>
      </c>
      <c r="S58">
        <f t="shared" si="4"/>
        <v>987.32245462807759</v>
      </c>
      <c r="T58" cm="1">
        <f t="array" ref="T58">[1]!PropsSI("H","T",J58+273.15,"P",101325,"Water")</f>
        <v>231298.99517369247</v>
      </c>
      <c r="U58" cm="1">
        <f t="array" ref="U58">[1]!PropsSI("H","T",K58+273.15,"P",101325,"Water")</f>
        <v>199740.54115646324</v>
      </c>
      <c r="V58">
        <f t="shared" si="5"/>
        <v>484.70947496384224</v>
      </c>
    </row>
    <row r="59" spans="1:22" x14ac:dyDescent="0.2">
      <c r="A59">
        <v>46122.634972800923</v>
      </c>
      <c r="B59">
        <v>19.749455000000001</v>
      </c>
      <c r="C59">
        <v>19.842362999999999</v>
      </c>
      <c r="D59">
        <v>19.594052000000001</v>
      </c>
      <c r="E59">
        <v>19.632952</v>
      </c>
      <c r="F59">
        <v>30.835733000000001</v>
      </c>
      <c r="G59">
        <v>28.610814000000001</v>
      </c>
      <c r="H59">
        <v>26.433492000000001</v>
      </c>
      <c r="I59">
        <v>22.989636999999998</v>
      </c>
      <c r="J59">
        <v>55.232348999999999</v>
      </c>
      <c r="K59">
        <v>47.688763999999999</v>
      </c>
      <c r="L59">
        <v>41.546343</v>
      </c>
      <c r="M59">
        <v>-622.44490099999996</v>
      </c>
      <c r="N59">
        <v>0.92982200000000004</v>
      </c>
      <c r="O59">
        <v>3.8453689999999998</v>
      </c>
      <c r="P59">
        <f t="shared" si="3"/>
        <v>1.5497033333333334E-5</v>
      </c>
      <c r="Q59" cm="1">
        <f t="array" ref="Q59">[1]!PropsSI("D","T",J59+273.15,"P",101325,"Water")</f>
        <v>985.58041743721606</v>
      </c>
      <c r="R59" cm="1">
        <f t="array" ref="R59">[1]!PropsSI("D","T",K59+273.15,"P",101325,"Water")</f>
        <v>989.06273401775866</v>
      </c>
      <c r="S59">
        <f t="shared" si="4"/>
        <v>987.32157572748736</v>
      </c>
      <c r="T59" cm="1">
        <f t="array" ref="T59">[1]!PropsSI("H","T",J59+273.15,"P",101325,"Water")</f>
        <v>231300.99048420441</v>
      </c>
      <c r="U59" cm="1">
        <f t="array" ref="U59">[1]!PropsSI("H","T",K59+273.15,"P",101325,"Water")</f>
        <v>199755.14445585845</v>
      </c>
      <c r="V59">
        <f t="shared" si="5"/>
        <v>482.66896384288526</v>
      </c>
    </row>
    <row r="60" spans="1:22" x14ac:dyDescent="0.2">
      <c r="A60">
        <v>46122.635030671299</v>
      </c>
      <c r="B60">
        <v>19.703952999999998</v>
      </c>
      <c r="C60">
        <v>19.756596999999999</v>
      </c>
      <c r="D60">
        <v>19.580356999999999</v>
      </c>
      <c r="E60">
        <v>19.647877999999999</v>
      </c>
      <c r="F60">
        <v>30.843626</v>
      </c>
      <c r="G60">
        <v>28.303398999999999</v>
      </c>
      <c r="H60">
        <v>26.461362000000001</v>
      </c>
      <c r="I60">
        <v>23.237680999999998</v>
      </c>
      <c r="J60">
        <v>55.229484999999997</v>
      </c>
      <c r="K60">
        <v>47.680508000000003</v>
      </c>
      <c r="L60">
        <v>40.695365000000002</v>
      </c>
      <c r="M60">
        <v>-622.52203999999995</v>
      </c>
      <c r="N60">
        <v>0.92702799999999996</v>
      </c>
      <c r="O60">
        <v>3.9095559999999998</v>
      </c>
      <c r="P60">
        <f t="shared" si="3"/>
        <v>1.5450466666666667E-5</v>
      </c>
      <c r="Q60" cm="1">
        <f t="array" ref="Q60">[1]!PropsSI("D","T",J60+273.15,"P",101325,"Water")</f>
        <v>985.58180826854243</v>
      </c>
      <c r="R60" cm="1">
        <f t="array" ref="R60">[1]!PropsSI("D","T",K60+273.15,"P",101325,"Water")</f>
        <v>989.0663410795861</v>
      </c>
      <c r="S60">
        <f t="shared" si="4"/>
        <v>987.32407467406426</v>
      </c>
      <c r="T60" cm="1">
        <f t="array" ref="T60">[1]!PropsSI("H","T",J60+273.15,"P",101325,"Water")</f>
        <v>231289.01025636334</v>
      </c>
      <c r="U60" cm="1">
        <f t="array" ref="U60">[1]!PropsSI("H","T",K60+273.15,"P",101325,"Water")</f>
        <v>199720.62833122554</v>
      </c>
      <c r="V60">
        <f t="shared" si="5"/>
        <v>481.56359783180352</v>
      </c>
    </row>
    <row r="61" spans="1:22" x14ac:dyDescent="0.2">
      <c r="A61">
        <v>46122.635089120369</v>
      </c>
      <c r="B61">
        <v>19.761621000000002</v>
      </c>
      <c r="C61">
        <v>19.873936</v>
      </c>
      <c r="D61">
        <v>19.607195999999998</v>
      </c>
      <c r="E61">
        <v>19.655173000000001</v>
      </c>
      <c r="F61">
        <v>30.771667999999998</v>
      </c>
      <c r="G61">
        <v>28.508205</v>
      </c>
      <c r="H61">
        <v>26.857334000000002</v>
      </c>
      <c r="I61">
        <v>23.136019000000001</v>
      </c>
      <c r="J61">
        <v>55.229008</v>
      </c>
      <c r="K61">
        <v>47.678286</v>
      </c>
      <c r="L61">
        <v>41.195748000000002</v>
      </c>
      <c r="M61">
        <v>-622.46449199999995</v>
      </c>
      <c r="N61">
        <v>0.93004399999999998</v>
      </c>
      <c r="O61">
        <v>3.592419</v>
      </c>
      <c r="P61">
        <f t="shared" si="3"/>
        <v>1.5500733333333332E-5</v>
      </c>
      <c r="Q61" cm="1">
        <f t="array" ref="Q61">[1]!PropsSI("D","T",J61+273.15,"P",101325,"Water")</f>
        <v>985.58203990694039</v>
      </c>
      <c r="R61" cm="1">
        <f t="array" ref="R61">[1]!PropsSI("D","T",K61+273.15,"P",101325,"Water")</f>
        <v>989.06731179704695</v>
      </c>
      <c r="S61">
        <f t="shared" si="4"/>
        <v>987.32467585199367</v>
      </c>
      <c r="T61" cm="1">
        <f t="array" ref="T61">[1]!PropsSI("H","T",J61+273.15,"P",101325,"Water")</f>
        <v>231287.0149463923</v>
      </c>
      <c r="U61" cm="1">
        <f t="array" ref="U61">[1]!PropsSI("H","T",K61+273.15,"P",101325,"Water")</f>
        <v>199711.33874720393</v>
      </c>
      <c r="V61">
        <f t="shared" si="5"/>
        <v>483.24224814911639</v>
      </c>
    </row>
    <row r="62" spans="1:22" x14ac:dyDescent="0.2">
      <c r="A62">
        <v>46122.635147569446</v>
      </c>
      <c r="B62">
        <v>19.859411999999999</v>
      </c>
      <c r="C62">
        <v>19.883341999999999</v>
      </c>
      <c r="D62">
        <v>19.610424999999999</v>
      </c>
      <c r="E62">
        <v>19.695350000000001</v>
      </c>
      <c r="F62">
        <v>31.132186000000001</v>
      </c>
      <c r="G62">
        <v>28.561896999999998</v>
      </c>
      <c r="H62">
        <v>26.717172000000001</v>
      </c>
      <c r="I62">
        <v>23.249486000000001</v>
      </c>
      <c r="J62">
        <v>55.227099000000003</v>
      </c>
      <c r="K62">
        <v>47.677332999999997</v>
      </c>
      <c r="L62">
        <v>44.440891999999998</v>
      </c>
      <c r="M62">
        <v>-622.47673599999996</v>
      </c>
      <c r="N62">
        <v>0.93157599999999996</v>
      </c>
      <c r="O62">
        <v>3.8501720000000001</v>
      </c>
      <c r="P62">
        <f t="shared" si="3"/>
        <v>1.5526266666666664E-5</v>
      </c>
      <c r="Q62" cm="1">
        <f t="array" ref="Q62">[1]!PropsSI("D","T",J62+273.15,"P",101325,"Water")</f>
        <v>985.58296693210571</v>
      </c>
      <c r="R62" cm="1">
        <f t="array" ref="R62">[1]!PropsSI("D","T",K62+273.15,"P",101325,"Water")</f>
        <v>989.06772812068141</v>
      </c>
      <c r="S62">
        <f t="shared" si="4"/>
        <v>987.32534752639356</v>
      </c>
      <c r="T62" cm="1">
        <f t="array" ref="T62">[1]!PropsSI("H","T",J62+273.15,"P",101325,"Water")</f>
        <v>231279.02952414821</v>
      </c>
      <c r="U62" cm="1">
        <f t="array" ref="U62">[1]!PropsSI("H","T",K62+273.15,"P",101325,"Water")</f>
        <v>199707.3545110214</v>
      </c>
      <c r="V62">
        <f t="shared" si="5"/>
        <v>483.97725436116309</v>
      </c>
    </row>
    <row r="63" spans="1:22" x14ac:dyDescent="0.2">
      <c r="A63">
        <v>46122.635206018516</v>
      </c>
      <c r="B63">
        <v>19.836991000000001</v>
      </c>
      <c r="C63">
        <v>19.861573</v>
      </c>
      <c r="D63">
        <v>19.624845000000001</v>
      </c>
      <c r="E63">
        <v>19.668751</v>
      </c>
      <c r="F63">
        <v>31.075482000000001</v>
      </c>
      <c r="G63">
        <v>28.447502</v>
      </c>
      <c r="H63">
        <v>26.722498999999999</v>
      </c>
      <c r="I63">
        <v>23.035675000000001</v>
      </c>
      <c r="J63">
        <v>55.228053000000003</v>
      </c>
      <c r="K63">
        <v>47.685746999999999</v>
      </c>
      <c r="L63">
        <v>40.300691</v>
      </c>
      <c r="M63">
        <v>-622.48897999999997</v>
      </c>
      <c r="N63">
        <v>0.93395300000000003</v>
      </c>
      <c r="O63">
        <v>3.5889500000000001</v>
      </c>
      <c r="P63">
        <f t="shared" si="3"/>
        <v>1.5565883333333333E-5</v>
      </c>
      <c r="Q63" cm="1">
        <f t="array" ref="Q63">[1]!PropsSI("D","T",J63+273.15,"P",101325,"Water")</f>
        <v>985.58250366514631</v>
      </c>
      <c r="R63" cm="1">
        <f t="array" ref="R63">[1]!PropsSI("D","T",K63+273.15,"P",101325,"Water")</f>
        <v>989.06405220396994</v>
      </c>
      <c r="S63">
        <f t="shared" si="4"/>
        <v>987.32327793455806</v>
      </c>
      <c r="T63" cm="1">
        <f t="array" ref="T63">[1]!PropsSI("H","T",J63+273.15,"P",101325,"Water")</f>
        <v>231283.02014357632</v>
      </c>
      <c r="U63" cm="1">
        <f t="array" ref="U63">[1]!PropsSI("H","T",K63+273.15,"P",101325,"Water")</f>
        <v>199742.53118502023</v>
      </c>
      <c r="V63">
        <f t="shared" si="5"/>
        <v>484.73186407998861</v>
      </c>
    </row>
    <row r="64" spans="1:22" x14ac:dyDescent="0.2">
      <c r="A64">
        <v>46122.635263888886</v>
      </c>
      <c r="B64">
        <v>19.937909000000001</v>
      </c>
      <c r="C64">
        <v>19.888718000000001</v>
      </c>
      <c r="D64">
        <v>19.649455</v>
      </c>
      <c r="E64">
        <v>19.719056999999999</v>
      </c>
      <c r="F64">
        <v>31.099976000000002</v>
      </c>
      <c r="G64">
        <v>28.437213</v>
      </c>
      <c r="H64">
        <v>26.544868999999998</v>
      </c>
      <c r="I64">
        <v>23.123339000000001</v>
      </c>
      <c r="J64">
        <v>55.233463</v>
      </c>
      <c r="K64">
        <v>47.684795000000001</v>
      </c>
      <c r="L64">
        <v>39.341963</v>
      </c>
      <c r="M64">
        <v>-622.57101699999998</v>
      </c>
      <c r="N64">
        <v>0.93054800000000004</v>
      </c>
      <c r="O64">
        <v>3.743922</v>
      </c>
      <c r="P64">
        <f t="shared" si="3"/>
        <v>1.5509133333333334E-5</v>
      </c>
      <c r="Q64" cm="1">
        <f t="array" ref="Q64">[1]!PropsSI("D","T",J64+273.15,"P",101325,"Water")</f>
        <v>985.57987643673698</v>
      </c>
      <c r="R64" cm="1">
        <f t="array" ref="R64">[1]!PropsSI("D","T",K64+273.15,"P",101325,"Water")</f>
        <v>989.06446813862397</v>
      </c>
      <c r="S64">
        <f t="shared" si="4"/>
        <v>987.32217228768047</v>
      </c>
      <c r="T64" cm="1">
        <f t="array" ref="T64">[1]!PropsSI("H","T",J64+273.15,"P",101325,"Water")</f>
        <v>231305.65039208531</v>
      </c>
      <c r="U64" cm="1">
        <f t="array" ref="U64">[1]!PropsSI("H","T",K64+273.15,"P",101325,"Water")</f>
        <v>199738.55112789088</v>
      </c>
      <c r="V64">
        <f t="shared" si="5"/>
        <v>483.37156144378622</v>
      </c>
    </row>
    <row r="65" spans="1:22" x14ac:dyDescent="0.2">
      <c r="A65">
        <v>46122.635322337963</v>
      </c>
      <c r="B65">
        <v>19.919103</v>
      </c>
      <c r="C65">
        <v>19.877268000000001</v>
      </c>
      <c r="D65">
        <v>19.632877000000001</v>
      </c>
      <c r="E65">
        <v>19.709105999999998</v>
      </c>
      <c r="F65">
        <v>31.210711</v>
      </c>
      <c r="G65">
        <v>28.35004</v>
      </c>
      <c r="H65">
        <v>26.467206000000001</v>
      </c>
      <c r="I65">
        <v>22.829027</v>
      </c>
      <c r="J65">
        <v>55.238714000000002</v>
      </c>
      <c r="K65">
        <v>47.691938999999998</v>
      </c>
      <c r="L65">
        <v>38.333033999999998</v>
      </c>
      <c r="M65">
        <v>-622.48693900000001</v>
      </c>
      <c r="N65">
        <v>0.92974500000000004</v>
      </c>
      <c r="O65">
        <v>3.456153</v>
      </c>
      <c r="P65">
        <f t="shared" si="3"/>
        <v>1.5495750000000002E-5</v>
      </c>
      <c r="Q65" cm="1">
        <f t="array" ref="Q65">[1]!PropsSI("D","T",J65+273.15,"P",101325,"Water")</f>
        <v>985.57732624927087</v>
      </c>
      <c r="R65" cm="1">
        <f t="array" ref="R65">[1]!PropsSI("D","T",K65+273.15,"P",101325,"Water")</f>
        <v>989.06134673198608</v>
      </c>
      <c r="S65">
        <f t="shared" si="4"/>
        <v>987.31933649062853</v>
      </c>
      <c r="T65" cm="1">
        <f t="array" ref="T65">[1]!PropsSI("H","T",J65+273.15,"P",101325,"Water")</f>
        <v>231327.61554734994</v>
      </c>
      <c r="U65" cm="1">
        <f t="array" ref="U65">[1]!PropsSI("H","T",K65+273.15,"P",101325,"Water")</f>
        <v>199768.41828488788</v>
      </c>
      <c r="V65">
        <f t="shared" si="5"/>
        <v>482.8321625967082</v>
      </c>
    </row>
    <row r="66" spans="1:22" x14ac:dyDescent="0.2">
      <c r="A66">
        <v>46122.635380208332</v>
      </c>
      <c r="B66">
        <v>19.844094999999999</v>
      </c>
      <c r="C66">
        <v>19.853521000000001</v>
      </c>
      <c r="D66">
        <v>19.632100999999999</v>
      </c>
      <c r="E66">
        <v>19.696867999999998</v>
      </c>
      <c r="F66">
        <v>31.090997999999999</v>
      </c>
      <c r="G66">
        <v>28.176435000000001</v>
      </c>
      <c r="H66">
        <v>26.840195000000001</v>
      </c>
      <c r="I66">
        <v>23.082809999999998</v>
      </c>
      <c r="J66">
        <v>55.2376</v>
      </c>
      <c r="K66">
        <v>47.688287000000003</v>
      </c>
      <c r="L66">
        <v>39.515016000000003</v>
      </c>
      <c r="M66">
        <v>-622.47877700000004</v>
      </c>
      <c r="N66">
        <v>0.92787600000000003</v>
      </c>
      <c r="O66">
        <v>3.8600460000000001</v>
      </c>
      <c r="P66">
        <f t="shared" si="3"/>
        <v>1.5464600000000001E-5</v>
      </c>
      <c r="Q66" cm="1">
        <f t="array" ref="Q66">[1]!PropsSI("D","T",J66+273.15,"P",101325,"Water")</f>
        <v>985.5778672859667</v>
      </c>
      <c r="R66" cm="1">
        <f t="array" ref="R66">[1]!PropsSI("D","T",K66+273.15,"P",101325,"Water")</f>
        <v>989.06294243242985</v>
      </c>
      <c r="S66">
        <f t="shared" si="4"/>
        <v>987.32040485919833</v>
      </c>
      <c r="T66" cm="1">
        <f t="array" ref="T66">[1]!PropsSI("H","T",J66+273.15,"P",101325,"Water")</f>
        <v>231322.95563737495</v>
      </c>
      <c r="U66" cm="1">
        <f t="array" ref="U66">[1]!PropsSI("H","T",K66+273.15,"P",101325,"Water")</f>
        <v>199753.15024623577</v>
      </c>
      <c r="V66">
        <f t="shared" si="5"/>
        <v>482.02405136001761</v>
      </c>
    </row>
    <row r="67" spans="1:22" x14ac:dyDescent="0.2">
      <c r="A67">
        <v>46122.635438657409</v>
      </c>
      <c r="B67">
        <v>20.007819999999999</v>
      </c>
      <c r="C67">
        <v>19.937377000000001</v>
      </c>
      <c r="D67">
        <v>19.663453000000001</v>
      </c>
      <c r="E67">
        <v>19.820298000000001</v>
      </c>
      <c r="F67">
        <v>31.179107999999999</v>
      </c>
      <c r="G67">
        <v>28.59328</v>
      </c>
      <c r="H67">
        <v>26.783458</v>
      </c>
      <c r="I67">
        <v>22.939032999999998</v>
      </c>
      <c r="J67">
        <v>55.236327000000003</v>
      </c>
      <c r="K67">
        <v>47.690192000000003</v>
      </c>
      <c r="L67">
        <v>36.628630000000001</v>
      </c>
      <c r="M67">
        <v>-622.47510299999999</v>
      </c>
      <c r="N67">
        <v>0.92701500000000003</v>
      </c>
      <c r="O67">
        <v>3.937932</v>
      </c>
      <c r="P67">
        <f t="shared" si="3"/>
        <v>1.545025E-5</v>
      </c>
      <c r="Q67" cm="1">
        <f t="array" ref="Q67">[1]!PropsSI("D","T",J67+273.15,"P",101325,"Water")</f>
        <v>985.57848553484087</v>
      </c>
      <c r="R67" cm="1">
        <f t="array" ref="R67">[1]!PropsSI("D","T",K67+273.15,"P",101325,"Water")</f>
        <v>989.06211007527895</v>
      </c>
      <c r="S67">
        <f t="shared" si="4"/>
        <v>987.32029780505991</v>
      </c>
      <c r="T67" cm="1">
        <f t="array" ref="T67">[1]!PropsSI("H","T",J67+273.15,"P",101325,"Water")</f>
        <v>231317.63062408409</v>
      </c>
      <c r="U67" cm="1">
        <f t="array" ref="U67">[1]!PropsSI("H","T",K67+273.15,"P",101325,"Water")</f>
        <v>199761.11454308341</v>
      </c>
      <c r="V67">
        <f t="shared" si="5"/>
        <v>481.3739969036227</v>
      </c>
    </row>
    <row r="68" spans="1:22" x14ac:dyDescent="0.2">
      <c r="A68">
        <v>46122.635496527779</v>
      </c>
      <c r="B68">
        <v>20.010290000000001</v>
      </c>
      <c r="C68">
        <v>19.977913999999998</v>
      </c>
      <c r="D68">
        <v>19.676195</v>
      </c>
      <c r="E68">
        <v>19.785260999999998</v>
      </c>
      <c r="F68">
        <v>31.209657</v>
      </c>
      <c r="G68">
        <v>28.585197999999998</v>
      </c>
      <c r="H68">
        <v>26.807382</v>
      </c>
      <c r="I68">
        <v>22.912067</v>
      </c>
      <c r="J68">
        <v>55.239510000000003</v>
      </c>
      <c r="K68">
        <v>47.691620999999998</v>
      </c>
      <c r="L68">
        <v>40.761076000000003</v>
      </c>
      <c r="M68">
        <v>-622.47632799999997</v>
      </c>
      <c r="N68">
        <v>0.92735100000000004</v>
      </c>
      <c r="O68">
        <v>3.7191290000000001</v>
      </c>
      <c r="P68">
        <f t="shared" si="3"/>
        <v>1.5455850000000002E-5</v>
      </c>
      <c r="Q68" cm="1">
        <f t="array" ref="Q68">[1]!PropsSI("D","T",J68+273.15,"P",101325,"Water")</f>
        <v>985.57693965098611</v>
      </c>
      <c r="R68" cm="1">
        <f t="array" ref="R68">[1]!PropsSI("D","T",K68+273.15,"P",101325,"Water")</f>
        <v>989.061485682117</v>
      </c>
      <c r="S68">
        <f t="shared" si="4"/>
        <v>987.31921266655149</v>
      </c>
      <c r="T68" cm="1">
        <f t="array" ref="T68">[1]!PropsSI("H","T",J68+273.15,"P",101325,"Water")</f>
        <v>231330.94524996926</v>
      </c>
      <c r="U68" cm="1">
        <f t="array" ref="U68">[1]!PropsSI("H","T",K68+273.15,"P",101325,"Water")</f>
        <v>199767.08881151251</v>
      </c>
      <c r="V68">
        <f t="shared" si="5"/>
        <v>481.65995623349147</v>
      </c>
    </row>
    <row r="69" spans="1:22" x14ac:dyDescent="0.2">
      <c r="A69">
        <v>46122.635554976849</v>
      </c>
      <c r="B69">
        <v>19.980291999999999</v>
      </c>
      <c r="C69">
        <v>19.932606</v>
      </c>
      <c r="D69">
        <v>19.682444</v>
      </c>
      <c r="E69">
        <v>19.792594999999999</v>
      </c>
      <c r="F69">
        <v>31.216446999999999</v>
      </c>
      <c r="G69">
        <v>28.276214</v>
      </c>
      <c r="H69">
        <v>26.768688000000001</v>
      </c>
      <c r="I69">
        <v>23.067958999999998</v>
      </c>
      <c r="J69">
        <v>55.244283000000003</v>
      </c>
      <c r="K69">
        <v>47.697336</v>
      </c>
      <c r="L69">
        <v>35.948664000000001</v>
      </c>
      <c r="M69">
        <v>-622.51346899999999</v>
      </c>
      <c r="N69">
        <v>0.93391599999999997</v>
      </c>
      <c r="O69">
        <v>3.7046290000000002</v>
      </c>
      <c r="P69">
        <f t="shared" si="3"/>
        <v>1.5565266666666668E-5</v>
      </c>
      <c r="Q69" cm="1">
        <f t="array" ref="Q69">[1]!PropsSI("D","T",J69+273.15,"P",101325,"Water")</f>
        <v>985.57462143613873</v>
      </c>
      <c r="R69" cm="1">
        <f t="array" ref="R69">[1]!PropsSI("D","T",K69+273.15,"P",101325,"Water")</f>
        <v>989.05898840873374</v>
      </c>
      <c r="S69">
        <f t="shared" si="4"/>
        <v>987.31680492243618</v>
      </c>
      <c r="T69" cm="1">
        <f t="array" ref="T69">[1]!PropsSI("H","T",J69+273.15,"P",101325,"Water")</f>
        <v>231350.91092110556</v>
      </c>
      <c r="U69" cm="1">
        <f t="array" ref="U69">[1]!PropsSI("H","T",K69+273.15,"P",101325,"Water")</f>
        <v>199790.98170948861</v>
      </c>
      <c r="V69">
        <f t="shared" si="5"/>
        <v>485.00823771859888</v>
      </c>
    </row>
    <row r="70" spans="1:22" x14ac:dyDescent="0.2">
      <c r="A70">
        <v>46122.635613425926</v>
      </c>
      <c r="B70">
        <v>20.084783999999999</v>
      </c>
      <c r="C70">
        <v>19.993496</v>
      </c>
      <c r="D70">
        <v>19.695025999999999</v>
      </c>
      <c r="E70">
        <v>19.783214999999998</v>
      </c>
      <c r="F70">
        <v>31.350435000000001</v>
      </c>
      <c r="G70">
        <v>28.801781999999999</v>
      </c>
      <c r="H70">
        <v>26.721360000000001</v>
      </c>
      <c r="I70">
        <v>23.070616999999999</v>
      </c>
      <c r="J70">
        <v>55.243805999999999</v>
      </c>
      <c r="K70">
        <v>47.704163000000001</v>
      </c>
      <c r="L70">
        <v>36.560062000000002</v>
      </c>
      <c r="M70">
        <v>-622.54040599999996</v>
      </c>
      <c r="N70">
        <v>0.930925</v>
      </c>
      <c r="O70">
        <v>3.7907760000000001</v>
      </c>
      <c r="P70">
        <f t="shared" si="3"/>
        <v>1.5515416666666667E-5</v>
      </c>
      <c r="Q70" cm="1">
        <f t="array" ref="Q70">[1]!PropsSI("D","T",J70+273.15,"P",101325,"Water")</f>
        <v>985.57485311823325</v>
      </c>
      <c r="R70" cm="1">
        <f t="array" ref="R70">[1]!PropsSI("D","T",K70+273.15,"P",101325,"Water")</f>
        <v>989.05600493814029</v>
      </c>
      <c r="S70">
        <f t="shared" si="4"/>
        <v>987.31542902818683</v>
      </c>
      <c r="T70" cm="1">
        <f t="array" ref="T70">[1]!PropsSI("H","T",J70+273.15,"P",101325,"Water")</f>
        <v>231348.91560855898</v>
      </c>
      <c r="U70" cm="1">
        <f t="array" ref="U70">[1]!PropsSI("H","T",K70+273.15,"P",101325,"Water")</f>
        <v>199819.52359476118</v>
      </c>
      <c r="V70">
        <f t="shared" si="5"/>
        <v>482.98646808244138</v>
      </c>
    </row>
    <row r="71" spans="1:22" x14ac:dyDescent="0.2">
      <c r="A71">
        <v>46122.635671296295</v>
      </c>
      <c r="B71">
        <v>20.047187999999998</v>
      </c>
      <c r="C71">
        <v>19.945993000000001</v>
      </c>
      <c r="D71">
        <v>19.666802000000001</v>
      </c>
      <c r="E71">
        <v>19.762865999999999</v>
      </c>
      <c r="F71">
        <v>31.185261000000001</v>
      </c>
      <c r="G71">
        <v>28.421847</v>
      </c>
      <c r="H71">
        <v>26.813458000000001</v>
      </c>
      <c r="I71">
        <v>22.572493000000001</v>
      </c>
      <c r="J71">
        <v>55.243329000000003</v>
      </c>
      <c r="K71">
        <v>47.702893000000003</v>
      </c>
      <c r="L71">
        <v>37.978358</v>
      </c>
      <c r="M71">
        <v>-622.47061399999996</v>
      </c>
      <c r="N71">
        <v>0.92600700000000002</v>
      </c>
      <c r="O71">
        <v>3.9111440000000002</v>
      </c>
      <c r="P71">
        <f t="shared" si="3"/>
        <v>1.543345E-5</v>
      </c>
      <c r="Q71" cm="1">
        <f t="array" ref="Q71">[1]!PropsSI("D","T",J71+273.15,"P",101325,"Water")</f>
        <v>985.57508479895876</v>
      </c>
      <c r="R71" cm="1">
        <f t="array" ref="R71">[1]!PropsSI("D","T",K71+273.15,"P",101325,"Water")</f>
        <v>989.05655996523626</v>
      </c>
      <c r="S71">
        <f t="shared" si="4"/>
        <v>987.31582238209751</v>
      </c>
      <c r="T71" cm="1">
        <f t="array" ref="T71">[1]!PropsSI("H","T",J71+273.15,"P",101325,"Water")</f>
        <v>231346.920296086</v>
      </c>
      <c r="U71" cm="1">
        <f t="array" ref="U71">[1]!PropsSI("H","T",K71+273.15,"P",101325,"Water")</f>
        <v>199814.21405908337</v>
      </c>
      <c r="V71">
        <f t="shared" si="5"/>
        <v>480.48558291690409</v>
      </c>
    </row>
    <row r="72" spans="1:22" x14ac:dyDescent="0.2">
      <c r="A72">
        <v>46122.635729166665</v>
      </c>
      <c r="B72">
        <v>19.996108</v>
      </c>
      <c r="C72">
        <v>19.894175000000001</v>
      </c>
      <c r="D72">
        <v>19.715774</v>
      </c>
      <c r="E72">
        <v>19.758932999999999</v>
      </c>
      <c r="F72">
        <v>31.263791000000001</v>
      </c>
      <c r="G72">
        <v>28.174392000000001</v>
      </c>
      <c r="H72">
        <v>26.935848</v>
      </c>
      <c r="I72">
        <v>22.986328</v>
      </c>
      <c r="J72">
        <v>55.245556000000001</v>
      </c>
      <c r="K72">
        <v>47.706384999999997</v>
      </c>
      <c r="L72">
        <v>40.367218000000001</v>
      </c>
      <c r="M72">
        <v>-622.48326599999996</v>
      </c>
      <c r="N72">
        <v>0.93195300000000003</v>
      </c>
      <c r="O72">
        <v>3.737835</v>
      </c>
      <c r="P72">
        <f t="shared" si="3"/>
        <v>1.5532550000000001E-5</v>
      </c>
      <c r="Q72" cm="1">
        <f t="array" ref="Q72">[1]!PropsSI("D","T",J72+273.15,"P",101325,"Water")</f>
        <v>985.57400312452717</v>
      </c>
      <c r="R72" cm="1">
        <f t="array" ref="R72">[1]!PropsSI("D","T",K72+273.15,"P",101325,"Water")</f>
        <v>989.0550338330753</v>
      </c>
      <c r="S72">
        <f t="shared" si="4"/>
        <v>987.31451847880123</v>
      </c>
      <c r="T72" cm="1">
        <f t="array" ref="T72">[1]!PropsSI("H","T",J72+273.15,"P",101325,"Water")</f>
        <v>231356.23593813006</v>
      </c>
      <c r="U72" cm="1">
        <f t="array" ref="U72">[1]!PropsSI("H","T",K72+273.15,"P",101325,"Water")</f>
        <v>199828.81319277943</v>
      </c>
      <c r="V72">
        <f t="shared" si="5"/>
        <v>483.48917374973195</v>
      </c>
    </row>
    <row r="73" spans="1:22" x14ac:dyDescent="0.2">
      <c r="A73">
        <v>46122.635787615742</v>
      </c>
      <c r="B73">
        <v>20.061684</v>
      </c>
      <c r="C73">
        <v>19.988237999999999</v>
      </c>
      <c r="D73">
        <v>19.686285999999999</v>
      </c>
      <c r="E73">
        <v>19.765370999999998</v>
      </c>
      <c r="F73">
        <v>31.304886</v>
      </c>
      <c r="G73">
        <v>28.389444999999998</v>
      </c>
      <c r="H73">
        <v>26.599917999999999</v>
      </c>
      <c r="I73">
        <v>23.106826000000002</v>
      </c>
      <c r="J73">
        <v>55.243647000000003</v>
      </c>
      <c r="K73">
        <v>47.708925000000001</v>
      </c>
      <c r="L73">
        <v>41.592463000000002</v>
      </c>
      <c r="M73">
        <v>-622.48530700000003</v>
      </c>
      <c r="N73">
        <v>0.92907300000000004</v>
      </c>
      <c r="O73">
        <v>3.2209439999999998</v>
      </c>
      <c r="P73">
        <f t="shared" si="3"/>
        <v>1.5484550000000001E-5</v>
      </c>
      <c r="Q73" cm="1">
        <f t="array" ref="Q73">[1]!PropsSI("D","T",J73+273.15,"P",101325,"Water")</f>
        <v>985.5749303453116</v>
      </c>
      <c r="R73" cm="1">
        <f t="array" ref="R73">[1]!PropsSI("D","T",K73+273.15,"P",101325,"Water")</f>
        <v>989.05392370823461</v>
      </c>
      <c r="S73">
        <f t="shared" si="4"/>
        <v>987.31442702677305</v>
      </c>
      <c r="T73" cm="1">
        <f t="array" ref="T73">[1]!PropsSI("H","T",J73+273.15,"P",101325,"Water")</f>
        <v>231348.25050437491</v>
      </c>
      <c r="U73" cm="1">
        <f t="array" ref="U73">[1]!PropsSI("H","T",K73+273.15,"P",101325,"Water")</f>
        <v>199839.43226670954</v>
      </c>
      <c r="V73">
        <f t="shared" si="5"/>
        <v>481.71058201923529</v>
      </c>
    </row>
    <row r="74" spans="1:22" x14ac:dyDescent="0.2">
      <c r="A74">
        <v>46122.635845486111</v>
      </c>
      <c r="B74">
        <v>20.16751</v>
      </c>
      <c r="C74">
        <v>20.074373999999999</v>
      </c>
      <c r="D74">
        <v>19.705770999999999</v>
      </c>
      <c r="E74">
        <v>19.791550999999998</v>
      </c>
      <c r="F74">
        <v>31.347318000000001</v>
      </c>
      <c r="G74">
        <v>28.699722999999999</v>
      </c>
      <c r="H74">
        <v>26.537642000000002</v>
      </c>
      <c r="I74">
        <v>23.053332000000001</v>
      </c>
      <c r="J74">
        <v>55.246988000000002</v>
      </c>
      <c r="K74">
        <v>47.709243000000001</v>
      </c>
      <c r="L74">
        <v>44.106214999999999</v>
      </c>
      <c r="M74">
        <v>-622.49428599999999</v>
      </c>
      <c r="N74">
        <v>0.93280200000000002</v>
      </c>
      <c r="O74">
        <v>3.8571490000000002</v>
      </c>
      <c r="P74">
        <f t="shared" si="3"/>
        <v>1.5546700000000001E-5</v>
      </c>
      <c r="Q74" cm="1">
        <f t="array" ref="Q74">[1]!PropsSI("D","T",J74+273.15,"P",101325,"Water")</f>
        <v>985.57330757269756</v>
      </c>
      <c r="R74" cm="1">
        <f t="array" ref="R74">[1]!PropsSI("D","T",K74+273.15,"P",101325,"Water")</f>
        <v>989.05378472104803</v>
      </c>
      <c r="S74">
        <f t="shared" si="4"/>
        <v>987.3135461468728</v>
      </c>
      <c r="T74" cm="1">
        <f t="array" ref="T74">[1]!PropsSI("H","T",J74+273.15,"P",101325,"Water")</f>
        <v>231362.22606008835</v>
      </c>
      <c r="U74" cm="1">
        <f t="array" ref="U74">[1]!PropsSI("H","T",K74+273.15,"P",101325,"Water")</f>
        <v>199840.76174144651</v>
      </c>
      <c r="V74">
        <f t="shared" si="5"/>
        <v>483.83769235984181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EFAA1-8231-814F-BFCE-74A71D3917AB}">
  <dimension ref="A1:W57"/>
  <sheetViews>
    <sheetView topLeftCell="I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44660.637076389103</v>
      </c>
      <c r="B2">
        <v>19.897725999999999</v>
      </c>
      <c r="C2">
        <v>20.112925000000001</v>
      </c>
      <c r="D2">
        <v>19.664870000000001</v>
      </c>
      <c r="E2">
        <v>19.750644000000001</v>
      </c>
      <c r="F2">
        <v>29.511091</v>
      </c>
      <c r="G2">
        <v>26.762117</v>
      </c>
      <c r="H2">
        <v>25.682407000000001</v>
      </c>
      <c r="I2">
        <v>22.366772000000001</v>
      </c>
      <c r="J2">
        <v>55.159792000000003</v>
      </c>
      <c r="K2">
        <v>46.817801000000003</v>
      </c>
      <c r="L2">
        <v>68.746612999999996</v>
      </c>
      <c r="M2">
        <v>-622.47796000000005</v>
      </c>
      <c r="N2">
        <v>0.89517100000000005</v>
      </c>
      <c r="O2">
        <v>3.0118749999999999</v>
      </c>
      <c r="P2">
        <f t="shared" ref="P2:P11" si="0" xml:space="preserve"> N2*0.001/60</f>
        <v>1.4919516666666667E-5</v>
      </c>
      <c r="Q2" cm="1">
        <f t="array" ref="Q2">[1]!PropsSI("D","T",J2+273.15,"P",101325,"Water")</f>
        <v>985.61563730178671</v>
      </c>
      <c r="R2" cm="1">
        <f t="array" ref="R2">[1]!PropsSI("D","T",K2+273.15,"P",101325,"Water")</f>
        <v>989.4407177614454</v>
      </c>
      <c r="S2">
        <f t="shared" ref="S2:S11" si="1">(Q2+R2)/2</f>
        <v>987.52817753161605</v>
      </c>
      <c r="T2" cm="1">
        <f t="array" ref="T2">[1]!PropsSI("H","T",J2+273.15,"P",101325,"Water")</f>
        <v>230997.48254128892</v>
      </c>
      <c r="U2" cm="1">
        <f t="array" ref="U2">[1]!PropsSI("H","T",K2+273.15,"P",101325,"Water")</f>
        <v>196113.97112346668</v>
      </c>
      <c r="V2">
        <f t="shared" ref="V2:V11" si="2">S2*P2*(T2-U2)</f>
        <v>513.95423072428491</v>
      </c>
      <c r="W2" s="2">
        <f>AVERAGE(V2:V57)</f>
        <v>512.1015912955454</v>
      </c>
    </row>
    <row r="3" spans="1:23" x14ac:dyDescent="0.2">
      <c r="A3">
        <v>44660.6371348381</v>
      </c>
      <c r="B3">
        <v>19.930741000000001</v>
      </c>
      <c r="C3">
        <v>20.052771</v>
      </c>
      <c r="D3">
        <v>19.725503</v>
      </c>
      <c r="E3">
        <v>19.774996999999999</v>
      </c>
      <c r="F3">
        <v>29.272404999999999</v>
      </c>
      <c r="G3">
        <v>26.705926000000002</v>
      </c>
      <c r="H3">
        <v>25.928621</v>
      </c>
      <c r="I3">
        <v>22.287336</v>
      </c>
      <c r="J3">
        <v>55.157882999999998</v>
      </c>
      <c r="K3">
        <v>46.819864000000003</v>
      </c>
      <c r="L3">
        <v>64.757834000000003</v>
      </c>
      <c r="M3">
        <v>-622.51183600000002</v>
      </c>
      <c r="N3">
        <v>0.89519199999999999</v>
      </c>
      <c r="O3">
        <v>3.2699449999999999</v>
      </c>
      <c r="P3">
        <f t="shared" si="0"/>
        <v>1.4919866666666668E-5</v>
      </c>
      <c r="Q3" cm="1">
        <f t="array" ref="Q3">[1]!PropsSI("D","T",J3+273.15,"P",101325,"Water")</f>
        <v>985.61656350830947</v>
      </c>
      <c r="R3" cm="1">
        <f t="array" ref="R3">[1]!PropsSI("D","T",K3+273.15,"P",101325,"Water")</f>
        <v>989.43982853772843</v>
      </c>
      <c r="S3">
        <f t="shared" si="1"/>
        <v>987.52819602301895</v>
      </c>
      <c r="T3" cm="1">
        <f t="array" ref="T3">[1]!PropsSI("H","T",J3+273.15,"P",101325,"Water")</f>
        <v>230989.49716727421</v>
      </c>
      <c r="U3" cm="1">
        <f t="array" ref="U3">[1]!PropsSI("H","T",K3+273.15,"P",101325,"Water")</f>
        <v>196122.59555202344</v>
      </c>
      <c r="V3">
        <f t="shared" si="2"/>
        <v>513.72157197927481</v>
      </c>
      <c r="W3" s="2"/>
    </row>
    <row r="4" spans="1:23" x14ac:dyDescent="0.2">
      <c r="A4">
        <v>44660.637193287199</v>
      </c>
      <c r="B4">
        <v>20.002133000000001</v>
      </c>
      <c r="C4">
        <v>20.050409999999999</v>
      </c>
      <c r="D4">
        <v>19.735448999999999</v>
      </c>
      <c r="E4">
        <v>19.779783999999999</v>
      </c>
      <c r="F4">
        <v>29.427295000000001</v>
      </c>
      <c r="G4">
        <v>26.607218</v>
      </c>
      <c r="H4">
        <v>25.724278999999999</v>
      </c>
      <c r="I4">
        <v>22.073478999999999</v>
      </c>
      <c r="J4">
        <v>55.150722999999999</v>
      </c>
      <c r="K4">
        <v>46.816372000000001</v>
      </c>
      <c r="L4">
        <v>61.888998000000001</v>
      </c>
      <c r="M4">
        <v>-622.49347</v>
      </c>
      <c r="N4">
        <v>0.89311799999999997</v>
      </c>
      <c r="O4">
        <v>3.0725929999999999</v>
      </c>
      <c r="P4">
        <f t="shared" si="0"/>
        <v>1.4885300000000001E-5</v>
      </c>
      <c r="Q4" cm="1">
        <f t="array" ref="Q4">[1]!PropsSI("D","T",J4+273.15,"P",101325,"Water")</f>
        <v>985.62003718802998</v>
      </c>
      <c r="R4" cm="1">
        <f t="array" ref="R4">[1]!PropsSI("D","T",K4+273.15,"P",101325,"Water")</f>
        <v>989.44133369242536</v>
      </c>
      <c r="S4">
        <f t="shared" si="1"/>
        <v>987.53068544022767</v>
      </c>
      <c r="T4" cm="1">
        <f t="array" ref="T4">[1]!PropsSI("H","T",J4+273.15,"P",101325,"Water")</f>
        <v>230959.54679768576</v>
      </c>
      <c r="U4" cm="1">
        <f t="array" ref="U4">[1]!PropsSI("H","T",K4+273.15,"P",101325,"Water")</f>
        <v>196107.99714997047</v>
      </c>
      <c r="V4">
        <f t="shared" si="2"/>
        <v>512.3069936844397</v>
      </c>
      <c r="W4" s="2"/>
    </row>
    <row r="5" spans="1:23" x14ac:dyDescent="0.2">
      <c r="A5">
        <v>44660.637251157597</v>
      </c>
      <c r="B5">
        <v>20.024094999999999</v>
      </c>
      <c r="C5">
        <v>20.025278</v>
      </c>
      <c r="D5">
        <v>19.705442000000001</v>
      </c>
      <c r="E5">
        <v>19.806393</v>
      </c>
      <c r="F5">
        <v>29.507788999999999</v>
      </c>
      <c r="G5">
        <v>26.727305000000001</v>
      </c>
      <c r="H5">
        <v>25.968838000000002</v>
      </c>
      <c r="I5">
        <v>22.155009</v>
      </c>
      <c r="J5">
        <v>55.142448999999999</v>
      </c>
      <c r="K5">
        <v>46.817006999999997</v>
      </c>
      <c r="L5">
        <v>61.107812000000003</v>
      </c>
      <c r="M5">
        <v>-622.49959200000001</v>
      </c>
      <c r="N5">
        <v>0.89784699999999995</v>
      </c>
      <c r="O5">
        <v>3.541588</v>
      </c>
      <c r="P5">
        <f t="shared" si="0"/>
        <v>1.4964116666666666E-5</v>
      </c>
      <c r="Q5" cm="1">
        <f t="array" ref="Q5">[1]!PropsSI("D","T",J5+273.15,"P",101325,"Water")</f>
        <v>985.62405092998392</v>
      </c>
      <c r="R5" cm="1">
        <f t="array" ref="R5">[1]!PropsSI("D","T",K5+273.15,"P",101325,"Water")</f>
        <v>989.44105999493024</v>
      </c>
      <c r="S5">
        <f t="shared" si="1"/>
        <v>987.53255546245714</v>
      </c>
      <c r="T5" cm="1">
        <f t="array" ref="T5">[1]!PropsSI("H","T",J5+273.15,"P",101325,"Water")</f>
        <v>230924.93657548976</v>
      </c>
      <c r="U5" cm="1">
        <f t="array" ref="U5">[1]!PropsSI("H","T",K5+273.15,"P",101325,"Water")</f>
        <v>196110.65178477412</v>
      </c>
      <c r="V5">
        <f t="shared" si="2"/>
        <v>514.46991679101882</v>
      </c>
      <c r="W5" s="2"/>
    </row>
    <row r="6" spans="1:23" x14ac:dyDescent="0.2">
      <c r="A6">
        <v>46122.637309606478</v>
      </c>
      <c r="B6">
        <v>20.072806</v>
      </c>
      <c r="C6">
        <v>20.116772999999998</v>
      </c>
      <c r="D6">
        <v>19.769995999999999</v>
      </c>
      <c r="E6">
        <v>19.871200000000002</v>
      </c>
      <c r="F6">
        <v>29.499780999999999</v>
      </c>
      <c r="G6">
        <v>26.684823999999999</v>
      </c>
      <c r="H6">
        <v>25.882956</v>
      </c>
      <c r="I6">
        <v>22.532167000000001</v>
      </c>
      <c r="J6">
        <v>55.141972000000003</v>
      </c>
      <c r="K6">
        <v>46.812404999999998</v>
      </c>
      <c r="L6">
        <v>63.841960999999998</v>
      </c>
      <c r="M6">
        <v>-622.468165</v>
      </c>
      <c r="N6">
        <v>0.89673700000000001</v>
      </c>
      <c r="O6">
        <v>3.6974879999999999</v>
      </c>
      <c r="P6">
        <f t="shared" si="0"/>
        <v>1.4945616666666666E-5</v>
      </c>
      <c r="Q6" cm="1">
        <f t="array" ref="Q6">[1]!PropsSI("D","T",J6+273.15,"P",101325,"Water")</f>
        <v>985.62428231115905</v>
      </c>
      <c r="R6" cm="1">
        <f t="array" ref="R6">[1]!PropsSI("D","T",K6+273.15,"P",101325,"Water")</f>
        <v>989.44304348532683</v>
      </c>
      <c r="S6">
        <f t="shared" si="1"/>
        <v>987.53366289824294</v>
      </c>
      <c r="T6" cm="1">
        <f t="array" ref="T6">[1]!PropsSI("H","T",J6+273.15,"P",101325,"Water")</f>
        <v>230922.94128062282</v>
      </c>
      <c r="U6" cm="1">
        <f t="array" ref="U6">[1]!PropsSI("H","T",K6+273.15,"P",101325,"Water")</f>
        <v>196091.41300077172</v>
      </c>
      <c r="V6">
        <f t="shared" si="2"/>
        <v>514.08896040178547</v>
      </c>
      <c r="W6" s="2"/>
    </row>
    <row r="7" spans="1:23" x14ac:dyDescent="0.2">
      <c r="A7">
        <v>46122.637367476855</v>
      </c>
      <c r="B7">
        <v>20.040126000000001</v>
      </c>
      <c r="C7">
        <v>20.122218</v>
      </c>
      <c r="D7">
        <v>19.817238</v>
      </c>
      <c r="E7">
        <v>19.858664000000001</v>
      </c>
      <c r="F7">
        <v>29.540611999999999</v>
      </c>
      <c r="G7">
        <v>26.583058000000001</v>
      </c>
      <c r="H7">
        <v>26.283783</v>
      </c>
      <c r="I7">
        <v>22.475209</v>
      </c>
      <c r="J7">
        <v>55.143245</v>
      </c>
      <c r="K7">
        <v>46.812722000000001</v>
      </c>
      <c r="L7">
        <v>62.203268000000001</v>
      </c>
      <c r="M7">
        <v>-622.47347100000002</v>
      </c>
      <c r="N7">
        <v>0.89679399999999998</v>
      </c>
      <c r="O7">
        <v>3.4158189999999999</v>
      </c>
      <c r="P7">
        <f t="shared" si="0"/>
        <v>1.4946566666666667E-5</v>
      </c>
      <c r="Q7" cm="1">
        <f t="array" ref="Q7">[1]!PropsSI("D","T",J7+273.15,"P",101325,"Water")</f>
        <v>985.62366480645767</v>
      </c>
      <c r="R7" cm="1">
        <f t="array" ref="R7">[1]!PropsSI("D","T",K7+273.15,"P",101325,"Water")</f>
        <v>989.4429068609719</v>
      </c>
      <c r="S7">
        <f t="shared" si="1"/>
        <v>987.53328583371479</v>
      </c>
      <c r="T7" cm="1">
        <f t="array" ref="T7">[1]!PropsSI("H","T",J7+273.15,"P",101325,"Water")</f>
        <v>230928.2662501325</v>
      </c>
      <c r="U7" cm="1">
        <f t="array" ref="U7">[1]!PropsSI("H","T",K7+273.15,"P",101325,"Water")</f>
        <v>196092.73822766327</v>
      </c>
      <c r="V7">
        <f t="shared" si="2"/>
        <v>514.18047866828203</v>
      </c>
    </row>
    <row r="8" spans="1:23" x14ac:dyDescent="0.2">
      <c r="A8">
        <v>46122.637425925925</v>
      </c>
      <c r="B8">
        <v>19.990814</v>
      </c>
      <c r="C8">
        <v>20.138342999999999</v>
      </c>
      <c r="D8">
        <v>19.846363</v>
      </c>
      <c r="E8">
        <v>19.891397000000001</v>
      </c>
      <c r="F8">
        <v>29.293344999999999</v>
      </c>
      <c r="G8">
        <v>26.676805000000002</v>
      </c>
      <c r="H8">
        <v>25.937438</v>
      </c>
      <c r="I8">
        <v>22.035817999999999</v>
      </c>
      <c r="J8">
        <v>55.146267999999999</v>
      </c>
      <c r="K8">
        <v>46.808912999999997</v>
      </c>
      <c r="L8">
        <v>64.181944000000001</v>
      </c>
      <c r="M8">
        <v>-622.52979400000004</v>
      </c>
      <c r="N8">
        <v>0.89907199999999998</v>
      </c>
      <c r="O8">
        <v>3.808465</v>
      </c>
      <c r="P8">
        <f t="shared" si="0"/>
        <v>1.4984533333333334E-5</v>
      </c>
      <c r="Q8" cm="1">
        <f t="array" ref="Q8">[1]!PropsSI("D","T",J8+273.15,"P",101325,"Water")</f>
        <v>985.62219837446696</v>
      </c>
      <c r="R8" cm="1">
        <f t="array" ref="R8">[1]!PropsSI("D","T",K8+273.15,"P",101325,"Water")</f>
        <v>989.44454846255462</v>
      </c>
      <c r="S8">
        <f t="shared" si="1"/>
        <v>987.53337341851079</v>
      </c>
      <c r="T8" cm="1">
        <f t="array" ref="T8">[1]!PropsSI("H","T",J8+273.15,"P",101325,"Water")</f>
        <v>230940.91148641237</v>
      </c>
      <c r="U8" cm="1">
        <f t="array" ref="U8">[1]!PropsSI("H","T",K8+273.15,"P",101325,"Water")</f>
        <v>196076.81460474117</v>
      </c>
      <c r="V8">
        <f t="shared" si="2"/>
        <v>515.90937910216462</v>
      </c>
    </row>
    <row r="9" spans="1:23" x14ac:dyDescent="0.2">
      <c r="A9">
        <v>46122.637483796294</v>
      </c>
      <c r="B9">
        <v>20.162859999999998</v>
      </c>
      <c r="C9">
        <v>20.158237</v>
      </c>
      <c r="D9">
        <v>19.853020999999998</v>
      </c>
      <c r="E9">
        <v>19.909016999999999</v>
      </c>
      <c r="F9">
        <v>29.595320999999998</v>
      </c>
      <c r="G9">
        <v>26.873819000000001</v>
      </c>
      <c r="H9">
        <v>25.860181999999998</v>
      </c>
      <c r="I9">
        <v>22.1511</v>
      </c>
      <c r="J9">
        <v>55.138948999999997</v>
      </c>
      <c r="K9">
        <v>46.813516</v>
      </c>
      <c r="L9">
        <v>57.505136</v>
      </c>
      <c r="M9">
        <v>-622.52816199999995</v>
      </c>
      <c r="N9">
        <v>0.89856000000000003</v>
      </c>
      <c r="O9">
        <v>3.4349059999999998</v>
      </c>
      <c r="P9">
        <f t="shared" si="0"/>
        <v>1.4976000000000002E-5</v>
      </c>
      <c r="Q9" cm="1">
        <f t="array" ref="Q9">[1]!PropsSI("D","T",J9+273.15,"P",101325,"Water")</f>
        <v>985.62574866262401</v>
      </c>
      <c r="R9" cm="1">
        <f t="array" ref="R9">[1]!PropsSI("D","T",K9+273.15,"P",101325,"Water")</f>
        <v>989.44256465068338</v>
      </c>
      <c r="S9">
        <f t="shared" si="1"/>
        <v>987.53415665665375</v>
      </c>
      <c r="T9" cm="1">
        <f t="array" ref="T9">[1]!PropsSI("H","T",J9+273.15,"P",101325,"Water")</f>
        <v>230910.29604902572</v>
      </c>
      <c r="U9" cm="1">
        <f t="array" ref="U9">[1]!PropsSI("H","T",K9+273.15,"P",101325,"Water")</f>
        <v>196096.05756555818</v>
      </c>
      <c r="V9">
        <f t="shared" si="2"/>
        <v>514.87861861485123</v>
      </c>
    </row>
    <row r="10" spans="1:23" x14ac:dyDescent="0.2">
      <c r="A10">
        <v>44660.637542245502</v>
      </c>
      <c r="B10">
        <v>20.053570000000001</v>
      </c>
      <c r="C10">
        <v>20.173399</v>
      </c>
      <c r="D10">
        <v>19.853090000000002</v>
      </c>
      <c r="E10">
        <v>19.956194</v>
      </c>
      <c r="F10">
        <v>29.570450000000001</v>
      </c>
      <c r="G10">
        <v>26.862925000000001</v>
      </c>
      <c r="H10">
        <v>26.138947000000002</v>
      </c>
      <c r="I10">
        <v>21.863582999999998</v>
      </c>
      <c r="J10">
        <v>55.136403000000001</v>
      </c>
      <c r="K10">
        <v>46.816530999999998</v>
      </c>
      <c r="L10">
        <v>63.122813000000001</v>
      </c>
      <c r="M10">
        <v>-622.45836899999995</v>
      </c>
      <c r="N10">
        <v>0.89577799999999996</v>
      </c>
      <c r="O10">
        <v>3.4189449999999999</v>
      </c>
      <c r="P10">
        <f t="shared" si="0"/>
        <v>1.4929633333333332E-5</v>
      </c>
      <c r="Q10" cm="1">
        <f t="array" ref="Q10">[1]!PropsSI("D","T",J10+273.15,"P",101325,"Water")</f>
        <v>985.62698359415549</v>
      </c>
      <c r="R10" cm="1">
        <f t="array" ref="R10">[1]!PropsSI("D","T",K10+273.15,"P",101325,"Water")</f>
        <v>989.44126516056349</v>
      </c>
      <c r="S10">
        <f t="shared" si="1"/>
        <v>987.53412437735949</v>
      </c>
      <c r="T10" cm="1">
        <f t="array" ref="T10">[1]!PropsSI("H","T",J10+273.15,"P",101325,"Water")</f>
        <v>230899.64611462626</v>
      </c>
      <c r="U10" cm="1">
        <f t="array" ref="U10">[1]!PropsSI("H","T",K10+273.15,"P",101325,"Water")</f>
        <v>196108.66185384302</v>
      </c>
      <c r="V10">
        <f t="shared" si="2"/>
        <v>512.94165510964672</v>
      </c>
    </row>
    <row r="11" spans="1:23" x14ac:dyDescent="0.2">
      <c r="A11">
        <v>44660.637600115901</v>
      </c>
      <c r="B11">
        <v>20.085856</v>
      </c>
      <c r="C11">
        <v>20.222128999999999</v>
      </c>
      <c r="D11">
        <v>19.936412000000001</v>
      </c>
      <c r="E11">
        <v>20.027626000000001</v>
      </c>
      <c r="F11">
        <v>29.578885</v>
      </c>
      <c r="G11">
        <v>26.851934</v>
      </c>
      <c r="H11">
        <v>26.050757999999998</v>
      </c>
      <c r="I11">
        <v>22.823805</v>
      </c>
      <c r="J11">
        <v>55.135765999999997</v>
      </c>
      <c r="K11">
        <v>46.816690000000001</v>
      </c>
      <c r="L11">
        <v>63.359943999999999</v>
      </c>
      <c r="M11">
        <v>-622.49183700000003</v>
      </c>
      <c r="N11">
        <v>0.89826899999999998</v>
      </c>
      <c r="O11">
        <v>3.3152360000000001</v>
      </c>
      <c r="P11">
        <f t="shared" si="0"/>
        <v>1.4971150000000001E-5</v>
      </c>
      <c r="Q11" cm="1">
        <f t="array" ref="Q11">[1]!PropsSI("D","T",J11+273.15,"P",101325,"Water")</f>
        <v>985.62729256328589</v>
      </c>
      <c r="R11" cm="1">
        <f t="array" ref="R11">[1]!PropsSI("D","T",K11+273.15,"P",101325,"Water")</f>
        <v>989.44119662850767</v>
      </c>
      <c r="S11">
        <f t="shared" si="1"/>
        <v>987.53424459589678</v>
      </c>
      <c r="T11" cm="1">
        <f t="array" ref="T11">[1]!PropsSI("H","T",J11+273.15,"P",101325,"Water")</f>
        <v>230896.98153987108</v>
      </c>
      <c r="U11" cm="1">
        <f t="array" ref="U11">[1]!PropsSI("H","T",K11+273.15,"P",101325,"Water")</f>
        <v>196109.32655766714</v>
      </c>
      <c r="V11">
        <f t="shared" si="2"/>
        <v>514.3188958448502</v>
      </c>
    </row>
    <row r="12" spans="1:23" x14ac:dyDescent="0.2">
      <c r="A12">
        <v>44660.637658565</v>
      </c>
      <c r="B12">
        <v>20.163222999999999</v>
      </c>
      <c r="C12">
        <v>20.119817999999999</v>
      </c>
      <c r="D12">
        <v>19.820409999999999</v>
      </c>
      <c r="E12">
        <v>19.900870999999999</v>
      </c>
      <c r="F12">
        <v>29.432304999999999</v>
      </c>
      <c r="G12">
        <v>26.744230999999999</v>
      </c>
      <c r="H12">
        <v>25.768004000000001</v>
      </c>
      <c r="I12">
        <v>22.316044999999999</v>
      </c>
      <c r="J12">
        <v>55.127811000000001</v>
      </c>
      <c r="K12">
        <v>46.824942999999998</v>
      </c>
      <c r="L12">
        <v>62.126536999999999</v>
      </c>
      <c r="M12">
        <v>-622.50326500000006</v>
      </c>
      <c r="N12">
        <v>0.89851099999999995</v>
      </c>
      <c r="O12">
        <v>3.396808</v>
      </c>
      <c r="P12">
        <f t="shared" ref="P12:P57" si="3" xml:space="preserve"> N12*0.001/60</f>
        <v>1.4975183333333332E-5</v>
      </c>
      <c r="Q12" cm="1">
        <f t="array" ref="Q12">[1]!PropsSI("D","T",J12+273.15,"P",101325,"Water")</f>
        <v>985.63115082766421</v>
      </c>
      <c r="R12" cm="1">
        <f t="array" ref="R12">[1]!PropsSI("D","T",K12+273.15,"P",101325,"Water")</f>
        <v>989.43763919106163</v>
      </c>
      <c r="S12">
        <f t="shared" ref="S12:S57" si="4">(Q12+R12)/2</f>
        <v>987.53439500936292</v>
      </c>
      <c r="T12" cm="1">
        <f t="array" ref="T12">[1]!PropsSI("H","T",J12+273.15,"P",101325,"Water")</f>
        <v>230863.70574059823</v>
      </c>
      <c r="U12" cm="1">
        <f t="array" ref="U12">[1]!PropsSI("H","T",K12+273.15,"P",101325,"Water")</f>
        <v>196143.82845614085</v>
      </c>
      <c r="V12">
        <f t="shared" ref="V12:V57" si="5">S12*P12*(T12-U12)</f>
        <v>513.45520427175143</v>
      </c>
    </row>
    <row r="13" spans="1:23" x14ac:dyDescent="0.2">
      <c r="A13">
        <v>44660.637716435398</v>
      </c>
      <c r="B13">
        <v>20.106773</v>
      </c>
      <c r="C13">
        <v>19.989757000000001</v>
      </c>
      <c r="D13">
        <v>19.809714</v>
      </c>
      <c r="E13">
        <v>19.869143000000001</v>
      </c>
      <c r="F13">
        <v>29.493614000000001</v>
      </c>
      <c r="G13">
        <v>26.863880999999999</v>
      </c>
      <c r="H13">
        <v>25.947551000000001</v>
      </c>
      <c r="I13">
        <v>22.503646</v>
      </c>
      <c r="J13">
        <v>55.125742000000002</v>
      </c>
      <c r="K13">
        <v>46.825895000000003</v>
      </c>
      <c r="L13">
        <v>59.453609</v>
      </c>
      <c r="M13">
        <v>-622.49428599999999</v>
      </c>
      <c r="N13">
        <v>0.89899899999999999</v>
      </c>
      <c r="O13">
        <v>3.5122960000000001</v>
      </c>
      <c r="P13">
        <f t="shared" si="3"/>
        <v>1.4983316666666668E-5</v>
      </c>
      <c r="Q13" cm="1">
        <f t="array" ref="Q13">[1]!PropsSI("D","T",J13+273.15,"P",101325,"Water")</f>
        <v>985.6321542516323</v>
      </c>
      <c r="R13" cm="1">
        <f t="array" ref="R13">[1]!PropsSI("D","T",K13+273.15,"P",101325,"Water")</f>
        <v>989.43722880368477</v>
      </c>
      <c r="S13">
        <f t="shared" si="4"/>
        <v>987.53469152765854</v>
      </c>
      <c r="T13" cm="1">
        <f t="array" ref="T13">[1]!PropsSI("H","T",J13+273.15,"P",101325,"Water")</f>
        <v>230855.05110846419</v>
      </c>
      <c r="U13" cm="1">
        <f t="array" ref="U13">[1]!PropsSI("H","T",K13+273.15,"P",101325,"Water")</f>
        <v>196147.80831994867</v>
      </c>
      <c r="V13">
        <f t="shared" si="5"/>
        <v>513.54727983219618</v>
      </c>
    </row>
    <row r="14" spans="1:23" x14ac:dyDescent="0.2">
      <c r="A14">
        <v>44660.637774884402</v>
      </c>
      <c r="B14">
        <v>20.216908</v>
      </c>
      <c r="C14">
        <v>20.193024000000001</v>
      </c>
      <c r="D14">
        <v>19.764512</v>
      </c>
      <c r="E14">
        <v>19.866692</v>
      </c>
      <c r="F14">
        <v>29.567824000000002</v>
      </c>
      <c r="G14">
        <v>26.837924999999998</v>
      </c>
      <c r="H14">
        <v>26.043809</v>
      </c>
      <c r="I14">
        <v>22.283528</v>
      </c>
      <c r="J14">
        <v>55.127969999999998</v>
      </c>
      <c r="K14">
        <v>46.818753000000001</v>
      </c>
      <c r="L14">
        <v>67.768703000000002</v>
      </c>
      <c r="M14">
        <v>-622.49020499999995</v>
      </c>
      <c r="N14">
        <v>0.89870799999999995</v>
      </c>
      <c r="O14">
        <v>3.4879989999999998</v>
      </c>
      <c r="P14">
        <f t="shared" si="3"/>
        <v>1.4978466666666667E-5</v>
      </c>
      <c r="Q14" cm="1">
        <f t="array" ref="Q14">[1]!PropsSI("D","T",J14+273.15,"P",101325,"Water")</f>
        <v>985.6310737147179</v>
      </c>
      <c r="R14" cm="1">
        <f t="array" ref="R14">[1]!PropsSI("D","T",K14+273.15,"P",101325,"Water")</f>
        <v>989.44030742040388</v>
      </c>
      <c r="S14">
        <f t="shared" si="4"/>
        <v>987.53569056756089</v>
      </c>
      <c r="T14" cm="1">
        <f t="array" ref="T14">[1]!PropsSI("H","T",J14+273.15,"P",101325,"Water")</f>
        <v>230864.37083810885</v>
      </c>
      <c r="U14" cm="1">
        <f t="array" ref="U14">[1]!PropsSI("H","T",K14+273.15,"P",101325,"Water")</f>
        <v>196117.95098571957</v>
      </c>
      <c r="V14">
        <f t="shared" si="5"/>
        <v>513.96106548847831</v>
      </c>
    </row>
    <row r="15" spans="1:23" x14ac:dyDescent="0.2">
      <c r="A15">
        <v>46122.637833333334</v>
      </c>
      <c r="B15">
        <v>20.111592000000002</v>
      </c>
      <c r="C15">
        <v>20.024494000000001</v>
      </c>
      <c r="D15">
        <v>19.73415</v>
      </c>
      <c r="E15">
        <v>19.826301000000001</v>
      </c>
      <c r="F15">
        <v>29.521889999999999</v>
      </c>
      <c r="G15">
        <v>26.884793999999999</v>
      </c>
      <c r="H15">
        <v>25.772245000000002</v>
      </c>
      <c r="I15">
        <v>21.925142000000001</v>
      </c>
      <c r="J15">
        <v>55.115718000000001</v>
      </c>
      <c r="K15">
        <v>46.827005999999997</v>
      </c>
      <c r="L15">
        <v>61.229438999999999</v>
      </c>
      <c r="M15">
        <v>-622.47265400000003</v>
      </c>
      <c r="N15">
        <v>0.89954800000000001</v>
      </c>
      <c r="O15">
        <v>3.751026</v>
      </c>
      <c r="P15">
        <f t="shared" si="3"/>
        <v>1.4992466666666667E-5</v>
      </c>
      <c r="Q15" cm="1">
        <f t="array" ref="Q15">[1]!PropsSI("D","T",J15+273.15,"P",101325,"Water")</f>
        <v>985.63701531700576</v>
      </c>
      <c r="R15" cm="1">
        <f t="array" ref="R15">[1]!PropsSI("D","T",K15+273.15,"P",101325,"Water")</f>
        <v>989.43674986695953</v>
      </c>
      <c r="S15">
        <f t="shared" si="4"/>
        <v>987.5368825919827</v>
      </c>
      <c r="T15" cm="1">
        <f t="array" ref="T15">[1]!PropsSI("H","T",J15+273.15,"P",101325,"Water")</f>
        <v>230813.12071355511</v>
      </c>
      <c r="U15" cm="1">
        <f t="array" ref="U15">[1]!PropsSI("H","T",K15+273.15,"P",101325,"Water")</f>
        <v>196152.45288814203</v>
      </c>
      <c r="V15">
        <f t="shared" si="5"/>
        <v>513.17246167781184</v>
      </c>
    </row>
    <row r="16" spans="1:23" x14ac:dyDescent="0.2">
      <c r="A16">
        <v>46122.637891203703</v>
      </c>
      <c r="B16">
        <v>20.020838999999999</v>
      </c>
      <c r="C16">
        <v>19.939603999999999</v>
      </c>
      <c r="D16">
        <v>19.670165999999998</v>
      </c>
      <c r="E16">
        <v>19.799060000000001</v>
      </c>
      <c r="F16">
        <v>29.507352999999998</v>
      </c>
      <c r="G16">
        <v>26.830323</v>
      </c>
      <c r="H16">
        <v>25.803730999999999</v>
      </c>
      <c r="I16">
        <v>22.096997000000002</v>
      </c>
      <c r="J16">
        <v>55.115082000000001</v>
      </c>
      <c r="K16">
        <v>46.818911999999997</v>
      </c>
      <c r="L16">
        <v>61.031897999999998</v>
      </c>
      <c r="M16">
        <v>-622.47836800000005</v>
      </c>
      <c r="N16">
        <v>0.89883900000000005</v>
      </c>
      <c r="O16">
        <v>3.3425959999999999</v>
      </c>
      <c r="P16">
        <f t="shared" si="3"/>
        <v>1.4980650000000002E-5</v>
      </c>
      <c r="Q16" cm="1">
        <f t="array" ref="Q16">[1]!PropsSI("D","T",J16+273.15,"P",101325,"Water")</f>
        <v>985.63732371952358</v>
      </c>
      <c r="R16" cm="1">
        <f t="array" ref="R16">[1]!PropsSI("D","T",K16+273.15,"P",101325,"Water")</f>
        <v>989.44023888595382</v>
      </c>
      <c r="S16">
        <f t="shared" si="4"/>
        <v>987.5387813027387</v>
      </c>
      <c r="T16" cm="1">
        <f t="array" ref="T16">[1]!PropsSI("H","T",J16+273.15,"P",101325,"Water")</f>
        <v>230810.46032656103</v>
      </c>
      <c r="U16" cm="1">
        <f t="array" ref="U16">[1]!PropsSI("H","T",K16+273.15,"P",101325,"Water")</f>
        <v>196118.6156895821</v>
      </c>
      <c r="V16">
        <f t="shared" si="5"/>
        <v>513.2302074719961</v>
      </c>
    </row>
    <row r="17" spans="1:22" x14ac:dyDescent="0.2">
      <c r="A17">
        <v>46122.637949652781</v>
      </c>
      <c r="B17">
        <v>20.01221</v>
      </c>
      <c r="C17">
        <v>19.940335999999999</v>
      </c>
      <c r="D17">
        <v>19.749852000000001</v>
      </c>
      <c r="E17">
        <v>19.817481000000001</v>
      </c>
      <c r="F17">
        <v>29.341944999999999</v>
      </c>
      <c r="G17">
        <v>26.627780999999999</v>
      </c>
      <c r="H17">
        <v>26.169716999999999</v>
      </c>
      <c r="I17">
        <v>22.334388000000001</v>
      </c>
      <c r="J17">
        <v>55.115876999999998</v>
      </c>
      <c r="K17">
        <v>46.805739000000003</v>
      </c>
      <c r="L17">
        <v>64.214596</v>
      </c>
      <c r="M17">
        <v>-622.49755100000004</v>
      </c>
      <c r="N17">
        <v>0.89824899999999996</v>
      </c>
      <c r="O17">
        <v>3.4907439999999998</v>
      </c>
      <c r="P17">
        <f t="shared" si="3"/>
        <v>1.4970816666666666E-5</v>
      </c>
      <c r="Q17" cm="1">
        <f t="array" ref="Q17">[1]!PropsSI("D","T",J17+273.15,"P",101325,"Water")</f>
        <v>985.63693821598622</v>
      </c>
      <c r="R17" cm="1">
        <f t="array" ref="R17">[1]!PropsSI("D","T",K17+273.15,"P",101325,"Water")</f>
        <v>989.44591631651542</v>
      </c>
      <c r="S17">
        <f t="shared" si="4"/>
        <v>987.54142726625082</v>
      </c>
      <c r="T17" cm="1">
        <f t="array" ref="T17">[1]!PropsSI("H","T",J17+273.15,"P",101325,"Water")</f>
        <v>230813.78581030594</v>
      </c>
      <c r="U17" cm="1">
        <f t="array" ref="U17">[1]!PropsSI("H","T",K17+273.15,"P",101325,"Water")</f>
        <v>196063.54561830044</v>
      </c>
      <c r="V17">
        <f t="shared" si="5"/>
        <v>513.75803369842799</v>
      </c>
    </row>
    <row r="18" spans="1:22" x14ac:dyDescent="0.2">
      <c r="A18">
        <v>46122.638008101851</v>
      </c>
      <c r="B18">
        <v>19.951627999999999</v>
      </c>
      <c r="C18">
        <v>19.840309999999999</v>
      </c>
      <c r="D18">
        <v>19.703949999999999</v>
      </c>
      <c r="E18">
        <v>19.811121</v>
      </c>
      <c r="F18">
        <v>29.267641000000001</v>
      </c>
      <c r="G18">
        <v>26.306666</v>
      </c>
      <c r="H18">
        <v>25.818270999999999</v>
      </c>
      <c r="I18">
        <v>22.352777</v>
      </c>
      <c r="J18">
        <v>55.114604</v>
      </c>
      <c r="K18">
        <v>46.801771000000002</v>
      </c>
      <c r="L18">
        <v>67.076492999999999</v>
      </c>
      <c r="M18">
        <v>-622.48816399999998</v>
      </c>
      <c r="N18">
        <v>0.89832699999999999</v>
      </c>
      <c r="O18">
        <v>3.3461159999999999</v>
      </c>
      <c r="P18">
        <f t="shared" si="3"/>
        <v>1.4972116666666667E-5</v>
      </c>
      <c r="Q18" cm="1">
        <f t="array" ref="Q18">[1]!PropsSI("D","T",J18+273.15,"P",101325,"Water")</f>
        <v>985.63755550466692</v>
      </c>
      <c r="R18" cm="1">
        <f t="array" ref="R18">[1]!PropsSI("D","T",K18+273.15,"P",101325,"Water")</f>
        <v>989.44762625288854</v>
      </c>
      <c r="S18">
        <f t="shared" si="4"/>
        <v>987.54259087877767</v>
      </c>
      <c r="T18" cm="1">
        <f t="array" ref="T18">[1]!PropsSI("H","T",J18+273.15,"P",101325,"Water")</f>
        <v>230808.46085346892</v>
      </c>
      <c r="U18" cm="1">
        <f t="array" ref="U18">[1]!PropsSI("H","T",K18+273.15,"P",101325,"Water")</f>
        <v>196046.95729823361</v>
      </c>
      <c r="V18">
        <f t="shared" si="5"/>
        <v>513.96978721635435</v>
      </c>
    </row>
    <row r="19" spans="1:22" x14ac:dyDescent="0.2">
      <c r="A19">
        <v>46122.63806597222</v>
      </c>
      <c r="B19">
        <v>19.999081</v>
      </c>
      <c r="C19">
        <v>19.876221000000001</v>
      </c>
      <c r="D19">
        <v>19.779328</v>
      </c>
      <c r="E19">
        <v>19.839300000000001</v>
      </c>
      <c r="F19">
        <v>29.363441999999999</v>
      </c>
      <c r="G19">
        <v>26.364153000000002</v>
      </c>
      <c r="H19">
        <v>25.788177999999998</v>
      </c>
      <c r="I19">
        <v>22.293707999999999</v>
      </c>
      <c r="J19">
        <v>55.113171999999999</v>
      </c>
      <c r="K19">
        <v>46.794787999999997</v>
      </c>
      <c r="L19">
        <v>61.462896999999998</v>
      </c>
      <c r="M19">
        <v>-622.48040900000001</v>
      </c>
      <c r="N19">
        <v>0.896675</v>
      </c>
      <c r="O19">
        <v>3.6010610000000001</v>
      </c>
      <c r="P19">
        <f t="shared" si="3"/>
        <v>1.4944583333333332E-5</v>
      </c>
      <c r="Q19" cm="1">
        <f t="array" ref="Q19">[1]!PropsSI("D","T",J19+273.15,"P",101325,"Water")</f>
        <v>985.63824988183831</v>
      </c>
      <c r="R19" cm="1">
        <f t="array" ref="R19">[1]!PropsSI("D","T",K19+273.15,"P",101325,"Water")</f>
        <v>989.4506351873307</v>
      </c>
      <c r="S19">
        <f t="shared" si="4"/>
        <v>987.5444425345845</v>
      </c>
      <c r="T19" cm="1">
        <f t="array" ref="T19">[1]!PropsSI("H","T",J19+273.15,"P",101325,"Water")</f>
        <v>230802.47080062999</v>
      </c>
      <c r="U19" cm="1">
        <f t="array" ref="U19">[1]!PropsSI("H","T",K19+273.15,"P",101325,"Water")</f>
        <v>196017.76470635657</v>
      </c>
      <c r="V19">
        <f t="shared" si="5"/>
        <v>513.36800535227769</v>
      </c>
    </row>
    <row r="20" spans="1:22" x14ac:dyDescent="0.2">
      <c r="A20">
        <v>46122.638123842589</v>
      </c>
      <c r="B20">
        <v>19.973649999999999</v>
      </c>
      <c r="C20">
        <v>19.90953</v>
      </c>
      <c r="D20">
        <v>19.747147999999999</v>
      </c>
      <c r="E20">
        <v>19.860308</v>
      </c>
      <c r="F20">
        <v>29.455528000000001</v>
      </c>
      <c r="G20">
        <v>26.701635</v>
      </c>
      <c r="H20">
        <v>26.250163000000001</v>
      </c>
      <c r="I20">
        <v>22.198201999999998</v>
      </c>
      <c r="J20">
        <v>55.108398999999999</v>
      </c>
      <c r="K20">
        <v>46.791296000000003</v>
      </c>
      <c r="L20">
        <v>61.046590999999999</v>
      </c>
      <c r="M20">
        <v>-622.48367399999995</v>
      </c>
      <c r="N20">
        <v>0.88972899999999999</v>
      </c>
      <c r="O20">
        <v>3.5708289999999998</v>
      </c>
      <c r="P20">
        <f t="shared" si="3"/>
        <v>1.4828816666666668E-5</v>
      </c>
      <c r="Q20" cm="1">
        <f t="array" ref="Q20">[1]!PropsSI("D","T",J20+273.15,"P",101325,"Water")</f>
        <v>985.64056421890189</v>
      </c>
      <c r="R20" cm="1">
        <f t="array" ref="R20">[1]!PropsSI("D","T",K20+273.15,"P",101325,"Water")</f>
        <v>989.45213974533897</v>
      </c>
      <c r="S20">
        <f t="shared" si="4"/>
        <v>987.54635198212043</v>
      </c>
      <c r="T20" cm="1">
        <f t="array" ref="T20">[1]!PropsSI("H","T",J20+273.15,"P",101325,"Water")</f>
        <v>230782.50535752266</v>
      </c>
      <c r="U20" cm="1">
        <f t="array" ref="U20">[1]!PropsSI("H","T",K20+273.15,"P",101325,"Water")</f>
        <v>196003.16632435608</v>
      </c>
      <c r="V20">
        <f t="shared" si="5"/>
        <v>509.3136421881407</v>
      </c>
    </row>
    <row r="21" spans="1:22" x14ac:dyDescent="0.2">
      <c r="A21">
        <v>46122.638182291666</v>
      </c>
      <c r="B21">
        <v>20.010224999999998</v>
      </c>
      <c r="C21">
        <v>20.006879000000001</v>
      </c>
      <c r="D21">
        <v>19.757636999999999</v>
      </c>
      <c r="E21">
        <v>19.872986000000001</v>
      </c>
      <c r="F21">
        <v>29.432455999999998</v>
      </c>
      <c r="G21">
        <v>26.606202</v>
      </c>
      <c r="H21">
        <v>25.747999</v>
      </c>
      <c r="I21">
        <v>22.216555</v>
      </c>
      <c r="J21">
        <v>55.099488999999998</v>
      </c>
      <c r="K21">
        <v>46.785741999999999</v>
      </c>
      <c r="L21">
        <v>60.509067000000002</v>
      </c>
      <c r="M21">
        <v>-622.47877700000004</v>
      </c>
      <c r="N21">
        <v>0.899613</v>
      </c>
      <c r="O21">
        <v>3.7954400000000001</v>
      </c>
      <c r="P21">
        <f t="shared" si="3"/>
        <v>1.4993550000000001E-5</v>
      </c>
      <c r="Q21" cm="1">
        <f t="array" ref="Q21">[1]!PropsSI("D","T",J21+273.15,"P",101325,"Water")</f>
        <v>985.64488413076481</v>
      </c>
      <c r="R21" cm="1">
        <f t="array" ref="R21">[1]!PropsSI("D","T",K21+273.15,"P",101325,"Water")</f>
        <v>989.45453256246878</v>
      </c>
      <c r="S21">
        <f t="shared" si="4"/>
        <v>987.54970834661685</v>
      </c>
      <c r="T21" cm="1">
        <f t="array" ref="T21">[1]!PropsSI("H","T",J21+273.15,"P",101325,"Water")</f>
        <v>230745.23487929677</v>
      </c>
      <c r="U21" cm="1">
        <f t="array" ref="U21">[1]!PropsSI("H","T",K21+273.15,"P",101325,"Water")</f>
        <v>195979.94771215439</v>
      </c>
      <c r="V21">
        <f t="shared" si="5"/>
        <v>514.76529374011147</v>
      </c>
    </row>
    <row r="22" spans="1:22" x14ac:dyDescent="0.2">
      <c r="A22">
        <v>46122.638240162036</v>
      </c>
      <c r="B22">
        <v>20.113032</v>
      </c>
      <c r="C22">
        <v>20.054020999999999</v>
      </c>
      <c r="D22">
        <v>19.910882999999998</v>
      </c>
      <c r="E22">
        <v>19.972947999999999</v>
      </c>
      <c r="F22">
        <v>29.442067000000002</v>
      </c>
      <c r="G22">
        <v>26.789372</v>
      </c>
      <c r="H22">
        <v>25.936495000000001</v>
      </c>
      <c r="I22">
        <v>22.167798999999999</v>
      </c>
      <c r="J22">
        <v>55.097261000000003</v>
      </c>
      <c r="K22">
        <v>46.788916</v>
      </c>
      <c r="L22">
        <v>65.288826999999998</v>
      </c>
      <c r="M22">
        <v>-622.50734699999998</v>
      </c>
      <c r="N22">
        <v>0.897478</v>
      </c>
      <c r="O22">
        <v>3.7561469999999999</v>
      </c>
      <c r="P22">
        <f t="shared" si="3"/>
        <v>1.4957966666666668E-5</v>
      </c>
      <c r="Q22" cm="1">
        <f t="array" ref="Q22">[1]!PropsSI("D","T",J22+273.15,"P",101325,"Water")</f>
        <v>985.64596427418019</v>
      </c>
      <c r="R22" cm="1">
        <f t="array" ref="R22">[1]!PropsSI("D","T",K22+273.15,"P",101325,"Water")</f>
        <v>989.45316514104309</v>
      </c>
      <c r="S22">
        <f t="shared" si="4"/>
        <v>987.54956470761158</v>
      </c>
      <c r="T22" cm="1">
        <f t="array" ref="T22">[1]!PropsSI("H","T",J22+273.15,"P",101325,"Water")</f>
        <v>230735.91517275511</v>
      </c>
      <c r="U22" cm="1">
        <f t="array" ref="U22">[1]!PropsSI("H","T",K22+273.15,"P",101325,"Water")</f>
        <v>195993.21668411657</v>
      </c>
      <c r="V22">
        <f t="shared" si="5"/>
        <v>513.20988212280872</v>
      </c>
    </row>
    <row r="23" spans="1:22" x14ac:dyDescent="0.2">
      <c r="A23">
        <v>46122.638298611113</v>
      </c>
      <c r="B23">
        <v>20.141749999999998</v>
      </c>
      <c r="C23">
        <v>20.002614000000001</v>
      </c>
      <c r="D23">
        <v>19.913817000000002</v>
      </c>
      <c r="E23">
        <v>19.899560000000001</v>
      </c>
      <c r="F23">
        <v>29.137599999999999</v>
      </c>
      <c r="G23">
        <v>26.523886999999998</v>
      </c>
      <c r="H23">
        <v>25.938472999999998</v>
      </c>
      <c r="I23">
        <v>22.557943000000002</v>
      </c>
      <c r="J23">
        <v>55.094715000000001</v>
      </c>
      <c r="K23">
        <v>46.786375999999997</v>
      </c>
      <c r="L23">
        <v>61.460448</v>
      </c>
      <c r="M23">
        <v>-622.480817</v>
      </c>
      <c r="N23">
        <v>0.89546599999999998</v>
      </c>
      <c r="O23">
        <v>3.8472749999999998</v>
      </c>
      <c r="P23">
        <f t="shared" si="3"/>
        <v>1.4924433333333334E-5</v>
      </c>
      <c r="Q23" cm="1">
        <f t="array" ref="Q23">[1]!PropsSI("D","T",J23+273.15,"P",101325,"Water")</f>
        <v>985.64719854762814</v>
      </c>
      <c r="R23" cm="1">
        <f t="array" ref="R23">[1]!PropsSI("D","T",K23+273.15,"P",101325,"Water")</f>
        <v>989.45425942833765</v>
      </c>
      <c r="S23">
        <f t="shared" si="4"/>
        <v>987.55072898798289</v>
      </c>
      <c r="T23" cm="1">
        <f t="array" ref="T23">[1]!PropsSI("H","T",J23+273.15,"P",101325,"Water")</f>
        <v>230725.26527689508</v>
      </c>
      <c r="U23" cm="1">
        <f t="array" ref="U23">[1]!PropsSI("H","T",K23+273.15,"P",101325,"Water")</f>
        <v>195982.59816196791</v>
      </c>
      <c r="V23">
        <f t="shared" si="5"/>
        <v>512.05949016107172</v>
      </c>
    </row>
    <row r="24" spans="1:22" x14ac:dyDescent="0.2">
      <c r="A24">
        <v>46122.638356481482</v>
      </c>
      <c r="B24">
        <v>20.184002</v>
      </c>
      <c r="C24">
        <v>20.025707000000001</v>
      </c>
      <c r="D24">
        <v>19.833815000000001</v>
      </c>
      <c r="E24">
        <v>19.826812</v>
      </c>
      <c r="F24">
        <v>29.613918000000002</v>
      </c>
      <c r="G24">
        <v>26.783452</v>
      </c>
      <c r="H24">
        <v>25.761759000000001</v>
      </c>
      <c r="I24">
        <v>22.526662999999999</v>
      </c>
      <c r="J24">
        <v>55.088827999999999</v>
      </c>
      <c r="K24">
        <v>46.790503000000001</v>
      </c>
      <c r="L24">
        <v>61.904507000000002</v>
      </c>
      <c r="M24">
        <v>-622.512652</v>
      </c>
      <c r="N24">
        <v>0.89770399999999995</v>
      </c>
      <c r="O24">
        <v>3.6800519999999999</v>
      </c>
      <c r="P24">
        <f t="shared" si="3"/>
        <v>1.4961733333333333E-5</v>
      </c>
      <c r="Q24" cm="1">
        <f t="array" ref="Q24">[1]!PropsSI("D","T",J24+273.15,"P",101325,"Water")</f>
        <v>985.65005234799526</v>
      </c>
      <c r="R24" cm="1">
        <f t="array" ref="R24">[1]!PropsSI("D","T",K24+273.15,"P",101325,"Water")</f>
        <v>989.45248140457102</v>
      </c>
      <c r="S24">
        <f t="shared" si="4"/>
        <v>987.55126687628308</v>
      </c>
      <c r="T24" cm="1">
        <f t="array" ref="T24">[1]!PropsSI("H","T",J24+273.15,"P",101325,"Water")</f>
        <v>230700.64001611547</v>
      </c>
      <c r="U24" cm="1">
        <f t="array" ref="U24">[1]!PropsSI("H","T",K24+273.15,"P",101325,"Water")</f>
        <v>195999.85117097312</v>
      </c>
      <c r="V24">
        <f t="shared" si="5"/>
        <v>512.72076673215076</v>
      </c>
    </row>
    <row r="25" spans="1:22" x14ac:dyDescent="0.2">
      <c r="A25">
        <v>46122.638414930552</v>
      </c>
      <c r="B25">
        <v>20.163060999999999</v>
      </c>
      <c r="C25">
        <v>20.086682</v>
      </c>
      <c r="D25">
        <v>19.793778</v>
      </c>
      <c r="E25">
        <v>19.822346</v>
      </c>
      <c r="F25">
        <v>29.429628999999998</v>
      </c>
      <c r="G25">
        <v>26.697710000000001</v>
      </c>
      <c r="H25">
        <v>25.689277000000001</v>
      </c>
      <c r="I25">
        <v>22.076618</v>
      </c>
      <c r="J25">
        <v>55.088509999999999</v>
      </c>
      <c r="K25">
        <v>46.790027000000002</v>
      </c>
      <c r="L25">
        <v>59.987051999999998</v>
      </c>
      <c r="M25">
        <v>-622.47387900000001</v>
      </c>
      <c r="N25">
        <v>0.89870799999999995</v>
      </c>
      <c r="O25">
        <v>3.5190190000000001</v>
      </c>
      <c r="P25">
        <f t="shared" si="3"/>
        <v>1.4978466666666667E-5</v>
      </c>
      <c r="Q25" cm="1">
        <f t="array" ref="Q25">[1]!PropsSI("D","T",J25+273.15,"P",101325,"Water")</f>
        <v>985.65020649653411</v>
      </c>
      <c r="R25" cm="1">
        <f t="array" ref="R25">[1]!PropsSI("D","T",K25+273.15,"P",101325,"Water")</f>
        <v>989.45268648425679</v>
      </c>
      <c r="S25">
        <f t="shared" si="4"/>
        <v>987.55144649039539</v>
      </c>
      <c r="T25" cm="1">
        <f t="array" ref="T25">[1]!PropsSI("H","T",J25+273.15,"P",101325,"Water")</f>
        <v>230699.30982574422</v>
      </c>
      <c r="U25" cm="1">
        <f t="array" ref="U25">[1]!PropsSI("H","T",K25+273.15,"P",101325,"Water")</f>
        <v>195997.86124291204</v>
      </c>
      <c r="V25">
        <f t="shared" si="5"/>
        <v>513.30405032031445</v>
      </c>
    </row>
    <row r="26" spans="1:22" x14ac:dyDescent="0.2">
      <c r="A26">
        <v>46122.638472800929</v>
      </c>
      <c r="B26">
        <v>20.147679</v>
      </c>
      <c r="C26">
        <v>20.081181000000001</v>
      </c>
      <c r="D26">
        <v>19.779686000000002</v>
      </c>
      <c r="E26">
        <v>19.836207000000002</v>
      </c>
      <c r="F26">
        <v>29.597189</v>
      </c>
      <c r="G26">
        <v>26.958573000000001</v>
      </c>
      <c r="H26">
        <v>26.137084999999999</v>
      </c>
      <c r="I26">
        <v>22.737752</v>
      </c>
      <c r="J26">
        <v>55.075144999999999</v>
      </c>
      <c r="K26">
        <v>46.781139000000003</v>
      </c>
      <c r="L26">
        <v>61.390655000000002</v>
      </c>
      <c r="M26">
        <v>-622.46612400000004</v>
      </c>
      <c r="N26">
        <v>0.89398299999999997</v>
      </c>
      <c r="O26">
        <v>3.2703389999999999</v>
      </c>
      <c r="P26">
        <f t="shared" si="3"/>
        <v>1.4899716666666667E-5</v>
      </c>
      <c r="Q26" cm="1">
        <f t="array" ref="Q26">[1]!PropsSI("D","T",J26+273.15,"P",101325,"Water")</f>
        <v>985.65668453106559</v>
      </c>
      <c r="R26" cm="1">
        <f t="array" ref="R26">[1]!PropsSI("D","T",K26+273.15,"P",101325,"Water")</f>
        <v>989.45651550310743</v>
      </c>
      <c r="S26">
        <f t="shared" si="4"/>
        <v>987.55660001708657</v>
      </c>
      <c r="T26" cm="1">
        <f t="array" ref="T26">[1]!PropsSI("H","T",J26+273.15,"P",101325,"Water")</f>
        <v>230643.40421577121</v>
      </c>
      <c r="U26" cm="1">
        <f t="array" ref="U26">[1]!PropsSI("H","T",K26+273.15,"P",101325,"Water")</f>
        <v>195960.70478055452</v>
      </c>
      <c r="V26">
        <f t="shared" si="5"/>
        <v>510.3321136450167</v>
      </c>
    </row>
    <row r="27" spans="1:22" x14ac:dyDescent="0.2">
      <c r="A27">
        <v>46122.638531249999</v>
      </c>
      <c r="B27">
        <v>20.059087000000002</v>
      </c>
      <c r="C27">
        <v>20.092486999999998</v>
      </c>
      <c r="D27">
        <v>19.833947999999999</v>
      </c>
      <c r="E27">
        <v>19.886922999999999</v>
      </c>
      <c r="F27">
        <v>29.635555</v>
      </c>
      <c r="G27">
        <v>26.774903999999999</v>
      </c>
      <c r="H27">
        <v>25.651709</v>
      </c>
      <c r="I27">
        <v>22.565078</v>
      </c>
      <c r="J27">
        <v>55.061939000000002</v>
      </c>
      <c r="K27">
        <v>46.773997000000001</v>
      </c>
      <c r="L27">
        <v>63.292192999999997</v>
      </c>
      <c r="M27">
        <v>-622.506122</v>
      </c>
      <c r="N27">
        <v>0.89665899999999998</v>
      </c>
      <c r="O27">
        <v>3.4198849999999998</v>
      </c>
      <c r="P27">
        <f t="shared" si="3"/>
        <v>1.4944316666666665E-5</v>
      </c>
      <c r="Q27" cm="1">
        <f t="array" ref="Q27">[1]!PropsSI("D","T",J27+273.15,"P",101325,"Water")</f>
        <v>985.66308440973069</v>
      </c>
      <c r="R27" cm="1">
        <f t="array" ref="R27">[1]!PropsSI("D","T",K27+273.15,"P",101325,"Water")</f>
        <v>989.45959194159104</v>
      </c>
      <c r="S27">
        <f t="shared" si="4"/>
        <v>987.56133817566092</v>
      </c>
      <c r="T27" cm="1">
        <f t="array" ref="T27">[1]!PropsSI("H","T",J27+273.15,"P",101325,"Water")</f>
        <v>230588.16376423472</v>
      </c>
      <c r="U27" cm="1">
        <f t="array" ref="U27">[1]!PropsSI("H","T",K27+273.15,"P",101325,"Water")</f>
        <v>195930.84751919957</v>
      </c>
      <c r="V27">
        <f t="shared" si="5"/>
        <v>511.48755379855845</v>
      </c>
    </row>
    <row r="28" spans="1:22" x14ac:dyDescent="0.2">
      <c r="A28">
        <v>46122.638589120368</v>
      </c>
      <c r="B28">
        <v>20.113648000000001</v>
      </c>
      <c r="C28">
        <v>20.107346</v>
      </c>
      <c r="D28">
        <v>19.839981999999999</v>
      </c>
      <c r="E28">
        <v>19.902775999999999</v>
      </c>
      <c r="F28">
        <v>29.564397</v>
      </c>
      <c r="G28">
        <v>26.535993000000001</v>
      </c>
      <c r="H28">
        <v>25.851672000000001</v>
      </c>
      <c r="I28">
        <v>21.959582999999999</v>
      </c>
      <c r="J28">
        <v>55.066076000000002</v>
      </c>
      <c r="K28">
        <v>46.773679999999999</v>
      </c>
      <c r="L28">
        <v>62.197961999999997</v>
      </c>
      <c r="M28">
        <v>-622.49959200000001</v>
      </c>
      <c r="N28">
        <v>0.89863400000000004</v>
      </c>
      <c r="O28">
        <v>3.6202369999999999</v>
      </c>
      <c r="P28">
        <f t="shared" si="3"/>
        <v>1.4977233333333335E-5</v>
      </c>
      <c r="Q28" cm="1">
        <f t="array" ref="Q28">[1]!PropsSI("D","T",J28+273.15,"P",101325,"Water")</f>
        <v>985.66107965725655</v>
      </c>
      <c r="R28" cm="1">
        <f t="array" ref="R28">[1]!PropsSI("D","T",K28+273.15,"P",101325,"Water")</f>
        <v>989.45972848223175</v>
      </c>
      <c r="S28">
        <f t="shared" si="4"/>
        <v>987.56040406974421</v>
      </c>
      <c r="T28" cm="1">
        <f t="array" ref="T28">[1]!PropsSI("H","T",J28+273.15,"P",101325,"Water")</f>
        <v>230605.46875121162</v>
      </c>
      <c r="U28" cm="1">
        <f t="array" ref="U28">[1]!PropsSI("H","T",K28+273.15,"P",101325,"Water")</f>
        <v>195929.52229523534</v>
      </c>
      <c r="V28">
        <f t="shared" si="5"/>
        <v>512.88924019924787</v>
      </c>
    </row>
    <row r="29" spans="1:22" x14ac:dyDescent="0.2">
      <c r="A29">
        <v>46122.638647569445</v>
      </c>
      <c r="B29">
        <v>20.250122999999999</v>
      </c>
      <c r="C29">
        <v>20.130295</v>
      </c>
      <c r="D29">
        <v>19.845282000000001</v>
      </c>
      <c r="E29">
        <v>19.878378000000001</v>
      </c>
      <c r="F29">
        <v>29.611719000000001</v>
      </c>
      <c r="G29">
        <v>26.58278</v>
      </c>
      <c r="H29">
        <v>25.563697999999999</v>
      </c>
      <c r="I29">
        <v>21.872474</v>
      </c>
      <c r="J29">
        <v>55.062415999999999</v>
      </c>
      <c r="K29">
        <v>46.767330999999999</v>
      </c>
      <c r="L29">
        <v>56.355397000000004</v>
      </c>
      <c r="M29">
        <v>-622.47796000000005</v>
      </c>
      <c r="N29">
        <v>0.89430299999999996</v>
      </c>
      <c r="O29">
        <v>3.7537449999999999</v>
      </c>
      <c r="P29">
        <f t="shared" si="3"/>
        <v>1.4905049999999999E-5</v>
      </c>
      <c r="Q29" cm="1">
        <f t="array" ref="Q29">[1]!PropsSI("D","T",J29+273.15,"P",101325,"Water")</f>
        <v>985.6628532652793</v>
      </c>
      <c r="R29" cm="1">
        <f t="array" ref="R29">[1]!PropsSI("D","T",K29+273.15,"P",101325,"Water")</f>
        <v>989.46246302785551</v>
      </c>
      <c r="S29">
        <f t="shared" si="4"/>
        <v>987.5626581465674</v>
      </c>
      <c r="T29" cm="1">
        <f t="array" ref="T29">[1]!PropsSI("H","T",J29+273.15,"P",101325,"Water")</f>
        <v>230590.15904522312</v>
      </c>
      <c r="U29" cm="1">
        <f t="array" ref="U29">[1]!PropsSI("H","T",K29+273.15,"P",101325,"Water")</f>
        <v>195902.98019510278</v>
      </c>
      <c r="V29">
        <f t="shared" si="5"/>
        <v>510.58385357844207</v>
      </c>
    </row>
    <row r="30" spans="1:22" x14ac:dyDescent="0.2">
      <c r="A30">
        <v>46122.638706018515</v>
      </c>
      <c r="B30">
        <v>20.293904999999999</v>
      </c>
      <c r="C30">
        <v>20.163264999999999</v>
      </c>
      <c r="D30">
        <v>19.84853</v>
      </c>
      <c r="E30">
        <v>19.935365000000001</v>
      </c>
      <c r="F30">
        <v>29.625214</v>
      </c>
      <c r="G30">
        <v>26.612241999999998</v>
      </c>
      <c r="H30">
        <v>26.000720000000001</v>
      </c>
      <c r="I30">
        <v>22.172899999999998</v>
      </c>
      <c r="J30">
        <v>55.062257000000002</v>
      </c>
      <c r="K30">
        <v>46.774315000000001</v>
      </c>
      <c r="L30">
        <v>64.007666999999998</v>
      </c>
      <c r="M30">
        <v>-622.48938799999996</v>
      </c>
      <c r="N30">
        <v>0.89495000000000002</v>
      </c>
      <c r="O30">
        <v>3.735141</v>
      </c>
      <c r="P30">
        <f t="shared" si="3"/>
        <v>1.4915833333333334E-5</v>
      </c>
      <c r="Q30" cm="1">
        <f t="array" ref="Q30">[1]!PropsSI("D","T",J30+273.15,"P",101325,"Water")</f>
        <v>985.66293031357566</v>
      </c>
      <c r="R30" cm="1">
        <f t="array" ref="R30">[1]!PropsSI("D","T",K30+273.15,"P",101325,"Water")</f>
        <v>989.45945496948707</v>
      </c>
      <c r="S30">
        <f t="shared" si="4"/>
        <v>987.56119264153131</v>
      </c>
      <c r="T30" cm="1">
        <f t="array" ref="T30">[1]!PropsSI("H","T",J30+273.15,"P",101325,"Water")</f>
        <v>230589.49395157822</v>
      </c>
      <c r="U30" cm="1">
        <f t="array" ref="U30">[1]!PropsSI("H","T",K30+273.15,"P",101325,"Water")</f>
        <v>195932.17692379651</v>
      </c>
      <c r="V30">
        <f t="shared" si="5"/>
        <v>510.51261310308564</v>
      </c>
    </row>
    <row r="31" spans="1:22" x14ac:dyDescent="0.2">
      <c r="A31">
        <v>46122.638763888892</v>
      </c>
      <c r="B31">
        <v>20.323243999999999</v>
      </c>
      <c r="C31">
        <v>20.121772</v>
      </c>
      <c r="D31">
        <v>19.764547</v>
      </c>
      <c r="E31">
        <v>19.843975</v>
      </c>
      <c r="F31">
        <v>29.636267</v>
      </c>
      <c r="G31">
        <v>26.755289000000001</v>
      </c>
      <c r="H31">
        <v>25.804289000000001</v>
      </c>
      <c r="I31">
        <v>22.003381999999998</v>
      </c>
      <c r="J31">
        <v>55.049686999999999</v>
      </c>
      <c r="K31">
        <v>46.775742999999999</v>
      </c>
      <c r="L31">
        <v>63.813391000000003</v>
      </c>
      <c r="M31">
        <v>-622.50571400000001</v>
      </c>
      <c r="N31">
        <v>0.89764200000000005</v>
      </c>
      <c r="O31">
        <v>3.6197029999999999</v>
      </c>
      <c r="P31">
        <f t="shared" si="3"/>
        <v>1.4960700000000001E-5</v>
      </c>
      <c r="Q31" cm="1">
        <f t="array" ref="Q31">[1]!PropsSI("D","T",J31+273.15,"P",101325,"Water")</f>
        <v>985.66902099431195</v>
      </c>
      <c r="R31" cm="1">
        <f t="array" ref="R31">[1]!PropsSI("D","T",K31+273.15,"P",101325,"Water")</f>
        <v>989.45883987881939</v>
      </c>
      <c r="S31">
        <f t="shared" si="4"/>
        <v>987.56393043656567</v>
      </c>
      <c r="T31" cm="1">
        <f t="array" ref="T31">[1]!PropsSI("H","T",J31+273.15,"P",101325,"Water")</f>
        <v>230536.91393351983</v>
      </c>
      <c r="U31" cm="1">
        <f t="array" ref="U31">[1]!PropsSI("H","T",K31+273.15,"P",101325,"Water")</f>
        <v>195938.14670303182</v>
      </c>
      <c r="V31">
        <f t="shared" si="5"/>
        <v>511.1845964800209</v>
      </c>
    </row>
    <row r="32" spans="1:22" x14ac:dyDescent="0.2">
      <c r="A32">
        <v>46122.638822337962</v>
      </c>
      <c r="B32">
        <v>20.295096000000001</v>
      </c>
      <c r="C32">
        <v>20.03162</v>
      </c>
      <c r="D32">
        <v>19.859696</v>
      </c>
      <c r="E32">
        <v>19.824159999999999</v>
      </c>
      <c r="F32">
        <v>29.554307999999999</v>
      </c>
      <c r="G32">
        <v>26.776249</v>
      </c>
      <c r="H32">
        <v>25.778814000000001</v>
      </c>
      <c r="I32">
        <v>22.084917000000001</v>
      </c>
      <c r="J32">
        <v>55.055256</v>
      </c>
      <c r="K32">
        <v>46.775426000000003</v>
      </c>
      <c r="L32">
        <v>60.875579000000002</v>
      </c>
      <c r="M32">
        <v>-622.47673599999996</v>
      </c>
      <c r="N32">
        <v>0.89756899999999995</v>
      </c>
      <c r="O32">
        <v>3.596511</v>
      </c>
      <c r="P32">
        <f t="shared" si="3"/>
        <v>1.4959483333333333E-5</v>
      </c>
      <c r="Q32" cm="1">
        <f t="array" ref="Q32">[1]!PropsSI("D","T",J32+273.15,"P",101325,"Water")</f>
        <v>985.66632270628202</v>
      </c>
      <c r="R32" cm="1">
        <f t="array" ref="R32">[1]!PropsSI("D","T",K32+273.15,"P",101325,"Water")</f>
        <v>989.45897642324962</v>
      </c>
      <c r="S32">
        <f t="shared" si="4"/>
        <v>987.56264956476582</v>
      </c>
      <c r="T32" cm="1">
        <f t="array" ref="T32">[1]!PropsSI("H","T",J32+273.15,"P",101325,"Water")</f>
        <v>230560.20892407134</v>
      </c>
      <c r="U32" cm="1">
        <f t="array" ref="U32">[1]!PropsSI("H","T",K32+273.15,"P",101325,"Water")</f>
        <v>195936.82147881651</v>
      </c>
      <c r="V32">
        <f t="shared" si="5"/>
        <v>511.50608680393071</v>
      </c>
    </row>
    <row r="33" spans="1:22" x14ac:dyDescent="0.2">
      <c r="A33">
        <v>46122.638880208331</v>
      </c>
      <c r="B33">
        <v>20.186056000000001</v>
      </c>
      <c r="C33">
        <v>20.177289999999999</v>
      </c>
      <c r="D33">
        <v>19.792663999999998</v>
      </c>
      <c r="E33">
        <v>19.823542</v>
      </c>
      <c r="F33">
        <v>29.628050999999999</v>
      </c>
      <c r="G33">
        <v>26.816513</v>
      </c>
      <c r="H33">
        <v>25.847598000000001</v>
      </c>
      <c r="I33">
        <v>22.109966</v>
      </c>
      <c r="J33">
        <v>55.05462</v>
      </c>
      <c r="K33">
        <v>46.776378000000001</v>
      </c>
      <c r="L33">
        <v>71.480354000000005</v>
      </c>
      <c r="M33">
        <v>-622.50367300000005</v>
      </c>
      <c r="N33">
        <v>0.89880199999999999</v>
      </c>
      <c r="O33">
        <v>3.0709279999999999</v>
      </c>
      <c r="P33">
        <f t="shared" si="3"/>
        <v>1.4980033333333332E-5</v>
      </c>
      <c r="Q33" cm="1">
        <f t="array" ref="Q33">[1]!PropsSI("D","T",J33+273.15,"P",101325,"Water")</f>
        <v>985.66663087028257</v>
      </c>
      <c r="R33" cm="1">
        <f t="array" ref="R33">[1]!PropsSI("D","T",K33+273.15,"P",101325,"Water")</f>
        <v>989.45856635711118</v>
      </c>
      <c r="S33">
        <f t="shared" si="4"/>
        <v>987.56259861369688</v>
      </c>
      <c r="T33" cm="1">
        <f t="array" ref="T33">[1]!PropsSI("H","T",J33+273.15,"P",101325,"Water")</f>
        <v>230557.54855109943</v>
      </c>
      <c r="U33" cm="1">
        <f t="array" ref="U33">[1]!PropsSI("H","T",K33+273.15,"P",101325,"Water")</f>
        <v>195940.80133188757</v>
      </c>
      <c r="V33">
        <f t="shared" si="5"/>
        <v>512.11048803374899</v>
      </c>
    </row>
    <row r="34" spans="1:22" x14ac:dyDescent="0.2">
      <c r="A34">
        <v>46122.638938657408</v>
      </c>
      <c r="B34">
        <v>20.129788999999999</v>
      </c>
      <c r="C34">
        <v>20.138909999999999</v>
      </c>
      <c r="D34">
        <v>19.840429</v>
      </c>
      <c r="E34">
        <v>19.900690999999998</v>
      </c>
      <c r="F34">
        <v>29.591149999999999</v>
      </c>
      <c r="G34">
        <v>26.649498000000001</v>
      </c>
      <c r="H34">
        <v>26.095548999999998</v>
      </c>
      <c r="I34">
        <v>22.195520999999999</v>
      </c>
      <c r="J34">
        <v>55.051597000000001</v>
      </c>
      <c r="K34">
        <v>46.777965000000002</v>
      </c>
      <c r="L34">
        <v>60.899659</v>
      </c>
      <c r="M34">
        <v>-622.53305999999998</v>
      </c>
      <c r="N34">
        <v>0.89760099999999998</v>
      </c>
      <c r="O34">
        <v>3.3605139999999998</v>
      </c>
      <c r="P34">
        <f t="shared" si="3"/>
        <v>1.4960016666666667E-5</v>
      </c>
      <c r="Q34" cm="1">
        <f t="array" ref="Q34">[1]!PropsSI("D","T",J34+273.15,"P",101325,"Water")</f>
        <v>985.66809558410705</v>
      </c>
      <c r="R34" cm="1">
        <f t="array" ref="R34">[1]!PropsSI("D","T",K34+273.15,"P",101325,"Water")</f>
        <v>989.45788275630537</v>
      </c>
      <c r="S34">
        <f t="shared" si="4"/>
        <v>987.56298917020627</v>
      </c>
      <c r="T34" cm="1">
        <f t="array" ref="T34">[1]!PropsSI("H","T",J34+273.15,"P",101325,"Water")</f>
        <v>230544.90341542708</v>
      </c>
      <c r="U34" cm="1">
        <f t="array" ref="U34">[1]!PropsSI("H","T",K34+273.15,"P",101325,"Water")</f>
        <v>195947.43581415314</v>
      </c>
      <c r="V34">
        <f t="shared" si="5"/>
        <v>511.14156014259589</v>
      </c>
    </row>
    <row r="35" spans="1:22" x14ac:dyDescent="0.2">
      <c r="A35">
        <v>46122.638996527778</v>
      </c>
      <c r="B35">
        <v>20.086040000000001</v>
      </c>
      <c r="C35">
        <v>20.109461</v>
      </c>
      <c r="D35">
        <v>19.830950999999999</v>
      </c>
      <c r="E35">
        <v>19.889472000000001</v>
      </c>
      <c r="F35">
        <v>29.591418999999998</v>
      </c>
      <c r="G35">
        <v>26.643601</v>
      </c>
      <c r="H35">
        <v>25.877119</v>
      </c>
      <c r="I35">
        <v>22.309004999999999</v>
      </c>
      <c r="J35">
        <v>55.047936999999997</v>
      </c>
      <c r="K35">
        <v>46.769871000000002</v>
      </c>
      <c r="L35">
        <v>63.032206000000002</v>
      </c>
      <c r="M35">
        <v>-622.46857299999999</v>
      </c>
      <c r="N35">
        <v>0.89678599999999997</v>
      </c>
      <c r="O35">
        <v>2.9323109999999999</v>
      </c>
      <c r="P35">
        <f t="shared" si="3"/>
        <v>1.4946433333333333E-5</v>
      </c>
      <c r="Q35" cm="1">
        <f t="array" ref="Q35">[1]!PropsSI("D","T",J35+273.15,"P",101325,"Water")</f>
        <v>985.66986886334155</v>
      </c>
      <c r="R35" cm="1">
        <f t="array" ref="R35">[1]!PropsSI("D","T",K35+273.15,"P",101325,"Water")</f>
        <v>989.46136907028233</v>
      </c>
      <c r="S35">
        <f t="shared" si="4"/>
        <v>987.56561896681194</v>
      </c>
      <c r="T35" cm="1">
        <f t="array" ref="T35">[1]!PropsSI("H","T",J35+273.15,"P",101325,"Water")</f>
        <v>230529.59372869326</v>
      </c>
      <c r="U35" cm="1">
        <f t="array" ref="U35">[1]!PropsSI("H","T",K35+273.15,"P",101325,"Water")</f>
        <v>195913.59870625872</v>
      </c>
      <c r="V35">
        <f t="shared" si="5"/>
        <v>510.95229140901881</v>
      </c>
    </row>
    <row r="36" spans="1:22" x14ac:dyDescent="0.2">
      <c r="A36">
        <v>46122.639054398147</v>
      </c>
      <c r="B36">
        <v>20.035896999999999</v>
      </c>
      <c r="C36">
        <v>20.070421</v>
      </c>
      <c r="D36">
        <v>19.812116</v>
      </c>
      <c r="E36">
        <v>19.874507999999999</v>
      </c>
      <c r="F36">
        <v>29.319779</v>
      </c>
      <c r="G36">
        <v>26.900268000000001</v>
      </c>
      <c r="H36">
        <v>25.948087999999998</v>
      </c>
      <c r="I36">
        <v>22.342507999999999</v>
      </c>
      <c r="J36">
        <v>55.046187000000003</v>
      </c>
      <c r="K36">
        <v>46.764792</v>
      </c>
      <c r="L36">
        <v>66.334080999999998</v>
      </c>
      <c r="M36">
        <v>-622.48897999999997</v>
      </c>
      <c r="N36">
        <v>0.89602000000000004</v>
      </c>
      <c r="O36">
        <v>3.538805</v>
      </c>
      <c r="P36">
        <f t="shared" si="3"/>
        <v>1.4933666666666667E-5</v>
      </c>
      <c r="Q36" cm="1">
        <f t="array" ref="Q36">[1]!PropsSI("D","T",J36+273.15,"P",101325,"Water")</f>
        <v>985.67071671340136</v>
      </c>
      <c r="R36" cm="1">
        <f t="array" ref="R36">[1]!PropsSI("D","T",K36+273.15,"P",101325,"Water")</f>
        <v>989.46355651072042</v>
      </c>
      <c r="S36">
        <f t="shared" si="4"/>
        <v>987.56713661206095</v>
      </c>
      <c r="T36" cm="1">
        <f t="array" ref="T36">[1]!PropsSI("H","T",J36+273.15,"P",101325,"Water")</f>
        <v>230522.27352498315</v>
      </c>
      <c r="U36" cm="1">
        <f t="array" ref="U36">[1]!PropsSI("H","T",K36+273.15,"P",101325,"Water")</f>
        <v>195892.36586595874</v>
      </c>
      <c r="V36">
        <f t="shared" si="5"/>
        <v>510.72182375582736</v>
      </c>
    </row>
    <row r="37" spans="1:22" x14ac:dyDescent="0.2">
      <c r="A37">
        <v>46122.639112847224</v>
      </c>
      <c r="B37">
        <v>20.014973999999999</v>
      </c>
      <c r="C37">
        <v>20.14883</v>
      </c>
      <c r="D37">
        <v>19.785565999999999</v>
      </c>
      <c r="E37">
        <v>19.953710000000001</v>
      </c>
      <c r="F37">
        <v>29.391559000000001</v>
      </c>
      <c r="G37">
        <v>26.778473999999999</v>
      </c>
      <c r="H37">
        <v>25.71462</v>
      </c>
      <c r="I37">
        <v>22.077957999999999</v>
      </c>
      <c r="J37">
        <v>55.036799999999999</v>
      </c>
      <c r="K37">
        <v>46.762093999999998</v>
      </c>
      <c r="L37">
        <v>64.675388999999996</v>
      </c>
      <c r="M37">
        <v>-622.51877500000001</v>
      </c>
      <c r="N37">
        <v>0.89604399999999995</v>
      </c>
      <c r="O37">
        <v>3.7894290000000002</v>
      </c>
      <c r="P37">
        <f t="shared" si="3"/>
        <v>1.4934066666666665E-5</v>
      </c>
      <c r="Q37" cm="1">
        <f t="array" ref="Q37">[1]!PropsSI("D","T",J37+273.15,"P",101325,"Water")</f>
        <v>985.67526425672088</v>
      </c>
      <c r="R37" cm="1">
        <f t="array" ref="R37">[1]!PropsSI("D","T",K37+273.15,"P",101325,"Water")</f>
        <v>989.46471842273297</v>
      </c>
      <c r="S37">
        <f t="shared" si="4"/>
        <v>987.56999133972693</v>
      </c>
      <c r="T37" cm="1">
        <f t="array" ref="T37">[1]!PropsSI("H","T",J37+273.15,"P",101325,"Water")</f>
        <v>230483.00797128095</v>
      </c>
      <c r="U37" cm="1">
        <f t="array" ref="U37">[1]!PropsSI("H","T",K37+273.15,"P",101325,"Water")</f>
        <v>195881.08683638216</v>
      </c>
      <c r="V37">
        <f t="shared" si="5"/>
        <v>510.3242224031473</v>
      </c>
    </row>
    <row r="38" spans="1:22" x14ac:dyDescent="0.2">
      <c r="A38">
        <v>44660.639171296498</v>
      </c>
      <c r="B38">
        <v>19.976638999999999</v>
      </c>
      <c r="C38">
        <v>20.144722000000002</v>
      </c>
      <c r="D38">
        <v>19.831845000000001</v>
      </c>
      <c r="E38">
        <v>19.916325000000001</v>
      </c>
      <c r="F38">
        <v>29.383620000000001</v>
      </c>
      <c r="G38">
        <v>26.760047</v>
      </c>
      <c r="H38">
        <v>25.862197999999999</v>
      </c>
      <c r="I38">
        <v>22.547708</v>
      </c>
      <c r="J38">
        <v>55.038868000000001</v>
      </c>
      <c r="K38">
        <v>46.759554999999999</v>
      </c>
      <c r="L38">
        <v>64.946804</v>
      </c>
      <c r="M38">
        <v>-622.50163299999997</v>
      </c>
      <c r="N38">
        <v>0.89656499999999995</v>
      </c>
      <c r="O38">
        <v>3.2742909999999998</v>
      </c>
      <c r="P38">
        <f t="shared" si="3"/>
        <v>1.494275E-5</v>
      </c>
      <c r="Q38" cm="1">
        <f t="array" ref="Q38">[1]!PropsSI("D","T",J38+273.15,"P",101325,"Water")</f>
        <v>985.6742624586293</v>
      </c>
      <c r="R38" cm="1">
        <f t="array" ref="R38">[1]!PropsSI("D","T",K38+273.15,"P",101325,"Water")</f>
        <v>989.46581181496231</v>
      </c>
      <c r="S38">
        <f t="shared" si="4"/>
        <v>987.5700371367958</v>
      </c>
      <c r="T38" cm="1">
        <f t="array" ref="T38">[1]!PropsSI("H","T",J38+273.15,"P",101325,"Water")</f>
        <v>230491.65835362129</v>
      </c>
      <c r="U38" cm="1">
        <f t="array" ref="U38">[1]!PropsSI("H","T",K38+273.15,"P",101325,"Water")</f>
        <v>195870.47251025614</v>
      </c>
      <c r="V38">
        <f t="shared" si="5"/>
        <v>510.90526091435726</v>
      </c>
    </row>
    <row r="39" spans="1:22" x14ac:dyDescent="0.2">
      <c r="A39">
        <v>44660.639229166802</v>
      </c>
      <c r="B39">
        <v>20.053183000000001</v>
      </c>
      <c r="C39">
        <v>20.129359999999998</v>
      </c>
      <c r="D39">
        <v>19.822289000000001</v>
      </c>
      <c r="E39">
        <v>19.890091999999999</v>
      </c>
      <c r="F39">
        <v>29.473972</v>
      </c>
      <c r="G39">
        <v>26.778966</v>
      </c>
      <c r="H39">
        <v>25.844756</v>
      </c>
      <c r="I39">
        <v>22.258278000000001</v>
      </c>
      <c r="J39">
        <v>55.036481000000002</v>
      </c>
      <c r="K39">
        <v>46.757649999999998</v>
      </c>
      <c r="L39">
        <v>59.572786999999998</v>
      </c>
      <c r="M39">
        <v>-622.48938799999996</v>
      </c>
      <c r="N39">
        <v>0.89959299999999998</v>
      </c>
      <c r="O39">
        <v>3.8213379999999999</v>
      </c>
      <c r="P39">
        <f t="shared" si="3"/>
        <v>1.4993216666666666E-5</v>
      </c>
      <c r="Q39" cm="1">
        <f t="array" ref="Q39">[1]!PropsSI("D","T",J39+273.15,"P",101325,"Water")</f>
        <v>985.6754187870514</v>
      </c>
      <c r="R39" cm="1">
        <f t="array" ref="R39">[1]!PropsSI("D","T",K39+273.15,"P",101325,"Water")</f>
        <v>989.46663215327442</v>
      </c>
      <c r="S39">
        <f t="shared" si="4"/>
        <v>987.57102547016291</v>
      </c>
      <c r="T39" cm="1">
        <f t="array" ref="T39">[1]!PropsSI("H","T",J39+273.15,"P",101325,"Water")</f>
        <v>230481.6736038627</v>
      </c>
      <c r="U39" cm="1">
        <f t="array" ref="U39">[1]!PropsSI("H","T",K39+273.15,"P",101325,"Water")</f>
        <v>195862.50863125874</v>
      </c>
      <c r="V39">
        <f t="shared" si="5"/>
        <v>512.60134919554628</v>
      </c>
    </row>
    <row r="40" spans="1:22" x14ac:dyDescent="0.2">
      <c r="A40">
        <v>44660.639287615901</v>
      </c>
      <c r="B40">
        <v>19.982824999999998</v>
      </c>
      <c r="C40">
        <v>20.046824000000001</v>
      </c>
      <c r="D40">
        <v>19.785270000000001</v>
      </c>
      <c r="E40">
        <v>19.880571</v>
      </c>
      <c r="F40">
        <v>29.397902999999999</v>
      </c>
      <c r="G40">
        <v>26.471432</v>
      </c>
      <c r="H40">
        <v>25.513878999999999</v>
      </c>
      <c r="I40">
        <v>22.242718</v>
      </c>
      <c r="J40">
        <v>55.039504000000001</v>
      </c>
      <c r="K40">
        <v>46.757333000000003</v>
      </c>
      <c r="L40">
        <v>65.347192000000007</v>
      </c>
      <c r="M40">
        <v>-622.46326699999997</v>
      </c>
      <c r="N40">
        <v>0.89795000000000003</v>
      </c>
      <c r="O40">
        <v>3.6859489999999999</v>
      </c>
      <c r="P40">
        <f t="shared" si="3"/>
        <v>1.4965833333333333E-5</v>
      </c>
      <c r="Q40" cm="1">
        <f t="array" ref="Q40">[1]!PropsSI("D","T",J40+273.15,"P",101325,"Water")</f>
        <v>985.67395435677486</v>
      </c>
      <c r="R40" cm="1">
        <f t="array" ref="R40">[1]!PropsSI("D","T",K40+273.15,"P",101325,"Water")</f>
        <v>989.46676865860502</v>
      </c>
      <c r="S40">
        <f t="shared" si="4"/>
        <v>987.57036150769</v>
      </c>
      <c r="T40" cm="1">
        <f t="array" ref="T40">[1]!PropsSI("H","T",J40+273.15,"P",101325,"Water")</f>
        <v>230494.31872299616</v>
      </c>
      <c r="U40" cm="1">
        <f t="array" ref="U40">[1]!PropsSI("H","T",K40+273.15,"P",101325,"Water")</f>
        <v>195861.18340837638</v>
      </c>
      <c r="V40">
        <f t="shared" si="5"/>
        <v>511.87127862832784</v>
      </c>
    </row>
    <row r="41" spans="1:22" x14ac:dyDescent="0.2">
      <c r="A41">
        <v>44660.639345486299</v>
      </c>
      <c r="B41">
        <v>19.951159000000001</v>
      </c>
      <c r="C41">
        <v>19.965494</v>
      </c>
      <c r="D41">
        <v>19.726009000000001</v>
      </c>
      <c r="E41">
        <v>19.831804000000002</v>
      </c>
      <c r="F41">
        <v>29.428519000000001</v>
      </c>
      <c r="G41">
        <v>26.661429999999999</v>
      </c>
      <c r="H41">
        <v>25.904157000000001</v>
      </c>
      <c r="I41">
        <v>22.022897</v>
      </c>
      <c r="J41">
        <v>55.034889999999997</v>
      </c>
      <c r="K41">
        <v>46.760348</v>
      </c>
      <c r="L41">
        <v>60.775176000000002</v>
      </c>
      <c r="M41">
        <v>-622.50489800000003</v>
      </c>
      <c r="N41">
        <v>0.89999899999999999</v>
      </c>
      <c r="O41">
        <v>3.0171990000000002</v>
      </c>
      <c r="P41">
        <f t="shared" si="3"/>
        <v>1.4999983333333332E-5</v>
      </c>
      <c r="Q41" cm="1">
        <f t="array" ref="Q41">[1]!PropsSI("D","T",J41+273.15,"P",101325,"Water")</f>
        <v>985.67618949153132</v>
      </c>
      <c r="R41" cm="1">
        <f t="array" ref="R41">[1]!PropsSI("D","T",K41+273.15,"P",101325,"Water")</f>
        <v>989.4654703230234</v>
      </c>
      <c r="S41">
        <f t="shared" si="4"/>
        <v>987.57082990727736</v>
      </c>
      <c r="T41" cm="1">
        <f t="array" ref="T41">[1]!PropsSI("H","T",J41+273.15,"P",101325,"Water")</f>
        <v>230475.01849956732</v>
      </c>
      <c r="U41" cm="1">
        <f t="array" ref="U41">[1]!PropsSI("H","T",K41+273.15,"P",101325,"Water")</f>
        <v>195873.7876580726</v>
      </c>
      <c r="V41">
        <f t="shared" si="5"/>
        <v>512.56692434978561</v>
      </c>
    </row>
    <row r="42" spans="1:22" x14ac:dyDescent="0.2">
      <c r="A42">
        <v>46122.639403935187</v>
      </c>
      <c r="B42">
        <v>19.849902</v>
      </c>
      <c r="C42">
        <v>19.921524000000002</v>
      </c>
      <c r="D42">
        <v>19.716180999999999</v>
      </c>
      <c r="E42">
        <v>19.827591999999999</v>
      </c>
      <c r="F42">
        <v>29.449268</v>
      </c>
      <c r="G42">
        <v>26.624126</v>
      </c>
      <c r="H42">
        <v>25.793458999999999</v>
      </c>
      <c r="I42">
        <v>22.222850999999999</v>
      </c>
      <c r="J42">
        <v>55.032344999999999</v>
      </c>
      <c r="K42">
        <v>46.753841000000001</v>
      </c>
      <c r="L42">
        <v>59.218111</v>
      </c>
      <c r="M42">
        <v>-622.45265500000005</v>
      </c>
      <c r="N42">
        <v>0.89684699999999995</v>
      </c>
      <c r="O42">
        <v>3.461287</v>
      </c>
      <c r="P42">
        <f t="shared" si="3"/>
        <v>1.494745E-5</v>
      </c>
      <c r="Q42" cm="1">
        <f t="array" ref="Q42">[1]!PropsSI("D","T",J42+273.15,"P",101325,"Water")</f>
        <v>985.67742229544888</v>
      </c>
      <c r="R42" cm="1">
        <f t="array" ref="R42">[1]!PropsSI("D","T",K42+273.15,"P",101325,"Water")</f>
        <v>989.46827232504802</v>
      </c>
      <c r="S42">
        <f t="shared" si="4"/>
        <v>987.57284731024845</v>
      </c>
      <c r="T42" cm="1">
        <f t="array" ref="T42">[1]!PropsSI("H","T",J42+273.15,"P",101325,"Water")</f>
        <v>230464.3728442571</v>
      </c>
      <c r="U42" cm="1">
        <f t="array" ref="U42">[1]!PropsSI("H","T",K42+273.15,"P",101325,"Water")</f>
        <v>195846.58505618764</v>
      </c>
      <c r="V42">
        <f t="shared" si="5"/>
        <v>511.01725109151698</v>
      </c>
    </row>
    <row r="43" spans="1:22" x14ac:dyDescent="0.2">
      <c r="A43">
        <v>46122.639462384257</v>
      </c>
      <c r="B43">
        <v>19.860834000000001</v>
      </c>
      <c r="C43">
        <v>19.940259999999999</v>
      </c>
      <c r="D43">
        <v>19.723535999999999</v>
      </c>
      <c r="E43">
        <v>19.815567000000001</v>
      </c>
      <c r="F43">
        <v>29.399080000000001</v>
      </c>
      <c r="G43">
        <v>26.587505</v>
      </c>
      <c r="H43">
        <v>25.671296000000002</v>
      </c>
      <c r="I43">
        <v>21.936154999999999</v>
      </c>
      <c r="J43">
        <v>55.038232000000001</v>
      </c>
      <c r="K43">
        <v>46.753999999999998</v>
      </c>
      <c r="L43">
        <v>60.409480000000002</v>
      </c>
      <c r="M43">
        <v>-622.519183</v>
      </c>
      <c r="N43">
        <v>0.89561800000000003</v>
      </c>
      <c r="O43">
        <v>3.4939460000000002</v>
      </c>
      <c r="P43">
        <f t="shared" si="3"/>
        <v>1.4926966666666668E-5</v>
      </c>
      <c r="Q43" cm="1">
        <f t="array" ref="Q43">[1]!PropsSI("D","T",J43+273.15,"P",101325,"Water")</f>
        <v>985.67457055796365</v>
      </c>
      <c r="R43" cm="1">
        <f t="array" ref="R43">[1]!PropsSI("D","T",K43+273.15,"P",101325,"Water")</f>
        <v>989.46820386096374</v>
      </c>
      <c r="S43">
        <f t="shared" si="4"/>
        <v>987.57138720946364</v>
      </c>
      <c r="T43" cm="1">
        <f t="array" ref="T43">[1]!PropsSI("H","T",J43+273.15,"P",101325,"Water")</f>
        <v>230488.99798439624</v>
      </c>
      <c r="U43" cm="1">
        <f t="array" ref="U43">[1]!PropsSI("H","T",K43+273.15,"P",101325,"Water")</f>
        <v>195847.24975771422</v>
      </c>
      <c r="V43">
        <f t="shared" si="5"/>
        <v>510.66943234780263</v>
      </c>
    </row>
    <row r="44" spans="1:22" x14ac:dyDescent="0.2">
      <c r="A44">
        <v>46122.639520254626</v>
      </c>
      <c r="B44">
        <v>19.870367999999999</v>
      </c>
      <c r="C44">
        <v>19.928114000000001</v>
      </c>
      <c r="D44">
        <v>19.733917000000002</v>
      </c>
      <c r="E44">
        <v>19.823772000000002</v>
      </c>
      <c r="F44">
        <v>29.401529</v>
      </c>
      <c r="G44">
        <v>26.732472000000001</v>
      </c>
      <c r="H44">
        <v>25.92043</v>
      </c>
      <c r="I44">
        <v>22.068580000000001</v>
      </c>
      <c r="J44">
        <v>55.034095000000001</v>
      </c>
      <c r="K44">
        <v>46.748921000000003</v>
      </c>
      <c r="L44">
        <v>66.013281000000006</v>
      </c>
      <c r="M44">
        <v>-622.49347</v>
      </c>
      <c r="N44">
        <v>0.89812199999999998</v>
      </c>
      <c r="O44">
        <v>3.7908770000000001</v>
      </c>
      <c r="P44">
        <f t="shared" si="3"/>
        <v>1.49687E-5</v>
      </c>
      <c r="Q44" cm="1">
        <f t="array" ref="Q44">[1]!PropsSI("D","T",J44+273.15,"P",101325,"Water")</f>
        <v>985.67657459570648</v>
      </c>
      <c r="R44" cm="1">
        <f t="array" ref="R44">[1]!PropsSI("D","T",K44+273.15,"P",101325,"Water")</f>
        <v>989.47039075180362</v>
      </c>
      <c r="S44">
        <f t="shared" si="4"/>
        <v>987.57348267375505</v>
      </c>
      <c r="T44" cm="1">
        <f t="array" ref="T44">[1]!PropsSI("H","T",J44+273.15,"P",101325,"Water")</f>
        <v>230471.69303919547</v>
      </c>
      <c r="U44" cm="1">
        <f t="array" ref="U44">[1]!PropsSI("H","T",K44+273.15,"P",101325,"Water")</f>
        <v>195826.01693571921</v>
      </c>
      <c r="V44">
        <f t="shared" si="5"/>
        <v>512.15633090986944</v>
      </c>
    </row>
    <row r="45" spans="1:22" x14ac:dyDescent="0.2">
      <c r="A45">
        <v>46122.639578703704</v>
      </c>
      <c r="B45">
        <v>19.919637999999999</v>
      </c>
      <c r="C45">
        <v>20.079847000000001</v>
      </c>
      <c r="D45">
        <v>19.735161999999999</v>
      </c>
      <c r="E45">
        <v>19.839023999999998</v>
      </c>
      <c r="F45">
        <v>29.218298999999998</v>
      </c>
      <c r="G45">
        <v>26.719992999999999</v>
      </c>
      <c r="H45">
        <v>25.782405000000001</v>
      </c>
      <c r="I45">
        <v>22.166423000000002</v>
      </c>
      <c r="J45">
        <v>55.037754</v>
      </c>
      <c r="K45">
        <v>46.745905999999998</v>
      </c>
      <c r="L45">
        <v>65.423514999999995</v>
      </c>
      <c r="M45">
        <v>-622.46571600000004</v>
      </c>
      <c r="N45">
        <v>0.89710999999999996</v>
      </c>
      <c r="O45">
        <v>4.1086369999999999</v>
      </c>
      <c r="P45">
        <f t="shared" si="3"/>
        <v>1.4951833333333333E-5</v>
      </c>
      <c r="Q45" cm="1">
        <f t="array" ref="Q45">[1]!PropsSI("D","T",J45+273.15,"P",101325,"Water")</f>
        <v>985.67480211525162</v>
      </c>
      <c r="R45" cm="1">
        <f t="array" ref="R45">[1]!PropsSI("D","T",K45+273.15,"P",101325,"Water")</f>
        <v>989.47168885248038</v>
      </c>
      <c r="S45">
        <f t="shared" si="4"/>
        <v>987.573245483866</v>
      </c>
      <c r="T45" cm="1">
        <f t="array" ref="T45">[1]!PropsSI("H","T",J45+273.15,"P",101325,"Water")</f>
        <v>230486.99852463487</v>
      </c>
      <c r="U45" cm="1">
        <f t="array" ref="U45">[1]!PropsSI("H","T",K45+273.15,"P",101325,"Water")</f>
        <v>195813.41269390471</v>
      </c>
      <c r="V45">
        <f t="shared" si="5"/>
        <v>511.9912283804602</v>
      </c>
    </row>
    <row r="46" spans="1:22" x14ac:dyDescent="0.2">
      <c r="A46">
        <v>46122.639637152781</v>
      </c>
      <c r="B46">
        <v>19.981904</v>
      </c>
      <c r="C46">
        <v>20.194990000000001</v>
      </c>
      <c r="D46">
        <v>19.780176999999998</v>
      </c>
      <c r="E46">
        <v>19.843357999999998</v>
      </c>
      <c r="F46">
        <v>29.398375999999999</v>
      </c>
      <c r="G46">
        <v>26.698720999999999</v>
      </c>
      <c r="H46">
        <v>26.138255999999998</v>
      </c>
      <c r="I46">
        <v>22.294101999999999</v>
      </c>
      <c r="J46">
        <v>55.032504000000003</v>
      </c>
      <c r="K46">
        <v>46.755270000000003</v>
      </c>
      <c r="L46">
        <v>62.671816</v>
      </c>
      <c r="M46">
        <v>-622.44163600000002</v>
      </c>
      <c r="N46">
        <v>0.89799099999999998</v>
      </c>
      <c r="O46">
        <v>3.9248430000000001</v>
      </c>
      <c r="P46">
        <f t="shared" si="3"/>
        <v>1.4966516666666666E-5</v>
      </c>
      <c r="Q46" cm="1">
        <f t="array" ref="Q46">[1]!PropsSI("D","T",J46+273.15,"P",101325,"Water")</f>
        <v>985.67734527666028</v>
      </c>
      <c r="R46" cm="1">
        <f t="array" ref="R46">[1]!PropsSI("D","T",K46+273.15,"P",101325,"Water")</f>
        <v>989.46765700310311</v>
      </c>
      <c r="S46">
        <f t="shared" si="4"/>
        <v>987.57250113988175</v>
      </c>
      <c r="T46" cm="1">
        <f t="array" ref="T46">[1]!PropsSI("H","T",J46+273.15,"P",101325,"Water")</f>
        <v>230465.03793621081</v>
      </c>
      <c r="U46" cm="1">
        <f t="array" ref="U46">[1]!PropsSI("H","T",K46+273.15,"P",101325,"Water")</f>
        <v>195852.55900927901</v>
      </c>
      <c r="V46">
        <f t="shared" si="5"/>
        <v>511.5904473384806</v>
      </c>
    </row>
    <row r="47" spans="1:22" x14ac:dyDescent="0.2">
      <c r="A47">
        <v>46122.63969502315</v>
      </c>
      <c r="B47">
        <v>19.948297</v>
      </c>
      <c r="C47">
        <v>20.04533</v>
      </c>
      <c r="D47">
        <v>19.785402999999999</v>
      </c>
      <c r="E47">
        <v>19.862317999999998</v>
      </c>
      <c r="F47">
        <v>29.553630999999999</v>
      </c>
      <c r="G47">
        <v>26.757531</v>
      </c>
      <c r="H47">
        <v>25.804019</v>
      </c>
      <c r="I47">
        <v>22.218595000000001</v>
      </c>
      <c r="J47">
        <v>55.027411999999998</v>
      </c>
      <c r="K47">
        <v>46.759714000000002</v>
      </c>
      <c r="L47">
        <v>57.589621000000001</v>
      </c>
      <c r="M47">
        <v>-622.48571500000003</v>
      </c>
      <c r="N47">
        <v>0.89551599999999998</v>
      </c>
      <c r="O47">
        <v>3.059885</v>
      </c>
      <c r="P47">
        <f t="shared" si="3"/>
        <v>1.4925266666666666E-5</v>
      </c>
      <c r="Q47" cm="1">
        <f t="array" ref="Q47">[1]!PropsSI("D","T",J47+273.15,"P",101325,"Water")</f>
        <v>985.67981173758722</v>
      </c>
      <c r="R47" cm="1">
        <f t="array" ref="R47">[1]!PropsSI("D","T",K47+273.15,"P",101325,"Water")</f>
        <v>989.46574334466652</v>
      </c>
      <c r="S47">
        <f t="shared" si="4"/>
        <v>987.57277754112692</v>
      </c>
      <c r="T47" cm="1">
        <f t="array" ref="T47">[1]!PropsSI("H","T",J47+273.15,"P",101325,"Water")</f>
        <v>230443.73826645763</v>
      </c>
      <c r="U47" cm="1">
        <f t="array" ref="U47">[1]!PropsSI("H","T",K47+273.15,"P",101325,"Water")</f>
        <v>195871.13721201598</v>
      </c>
      <c r="V47">
        <f t="shared" si="5"/>
        <v>509.59277756782177</v>
      </c>
    </row>
    <row r="48" spans="1:22" x14ac:dyDescent="0.2">
      <c r="A48">
        <v>46122.63975347222</v>
      </c>
      <c r="B48">
        <v>20.069831000000001</v>
      </c>
      <c r="C48">
        <v>20.115216</v>
      </c>
      <c r="D48">
        <v>19.839259999999999</v>
      </c>
      <c r="E48">
        <v>19.927800000000001</v>
      </c>
      <c r="F48">
        <v>29.584506999999999</v>
      </c>
      <c r="G48">
        <v>26.600154</v>
      </c>
      <c r="H48">
        <v>26.029133999999999</v>
      </c>
      <c r="I48">
        <v>22.645171000000001</v>
      </c>
      <c r="J48">
        <v>55.032980999999999</v>
      </c>
      <c r="K48">
        <v>46.752889000000003</v>
      </c>
      <c r="L48">
        <v>64.606413000000003</v>
      </c>
      <c r="M48">
        <v>-622.46530800000005</v>
      </c>
      <c r="N48">
        <v>0.89675300000000002</v>
      </c>
      <c r="O48">
        <v>3.0192070000000002</v>
      </c>
      <c r="P48">
        <f t="shared" si="3"/>
        <v>1.4945883333333334E-5</v>
      </c>
      <c r="Q48" cm="1">
        <f t="array" ref="Q48">[1]!PropsSI("D","T",J48+273.15,"P",101325,"Water")</f>
        <v>985.67711421934257</v>
      </c>
      <c r="R48" cm="1">
        <f t="array" ref="R48">[1]!PropsSI("D","T",K48+273.15,"P",101325,"Water")</f>
        <v>989.46868224489322</v>
      </c>
      <c r="S48">
        <f t="shared" si="4"/>
        <v>987.57289823211795</v>
      </c>
      <c r="T48" cm="1">
        <f t="array" ref="T48">[1]!PropsSI("H","T",J48+273.15,"P",101325,"Water")</f>
        <v>230467.03321215554</v>
      </c>
      <c r="U48" cm="1">
        <f t="array" ref="U48">[1]!PropsSI("H","T",K48+273.15,"P",101325,"Water")</f>
        <v>195842.60520805002</v>
      </c>
      <c r="V48">
        <f t="shared" si="5"/>
        <v>511.06172746500357</v>
      </c>
    </row>
    <row r="49" spans="1:22" x14ac:dyDescent="0.2">
      <c r="A49">
        <v>44660.639811921501</v>
      </c>
      <c r="B49">
        <v>19.959579000000002</v>
      </c>
      <c r="C49">
        <v>20.047460000000001</v>
      </c>
      <c r="D49">
        <v>19.742948999999999</v>
      </c>
      <c r="E49">
        <v>19.818693</v>
      </c>
      <c r="F49">
        <v>29.218420999999999</v>
      </c>
      <c r="G49">
        <v>26.515004000000001</v>
      </c>
      <c r="H49">
        <v>26.240069999999999</v>
      </c>
      <c r="I49">
        <v>22.254308999999999</v>
      </c>
      <c r="J49">
        <v>55.032662999999999</v>
      </c>
      <c r="K49">
        <v>46.751460999999999</v>
      </c>
      <c r="L49">
        <v>64.688449000000006</v>
      </c>
      <c r="M49">
        <v>-622.53673300000003</v>
      </c>
      <c r="N49">
        <v>0.89744599999999997</v>
      </c>
      <c r="O49">
        <v>3.9158080000000002</v>
      </c>
      <c r="P49">
        <f t="shared" si="3"/>
        <v>1.4957433333333334E-5</v>
      </c>
      <c r="Q49" cm="1">
        <f t="array" ref="Q49">[1]!PropsSI("D","T",J49+273.15,"P",101325,"Water")</f>
        <v>985.6772682577058</v>
      </c>
      <c r="R49" cm="1">
        <f t="array" ref="R49">[1]!PropsSI("D","T",K49+273.15,"P",101325,"Water")</f>
        <v>989.46929711307371</v>
      </c>
      <c r="S49">
        <f t="shared" si="4"/>
        <v>987.57328268538981</v>
      </c>
      <c r="T49" cm="1">
        <f t="array" ref="T49">[1]!PropsSI("H","T",J49+273.15,"P",101325,"Water")</f>
        <v>230465.7030281919</v>
      </c>
      <c r="U49" cm="1">
        <f t="array" ref="U49">[1]!PropsSI("H","T",K49+273.15,"P",101325,"Water")</f>
        <v>195836.63543625944</v>
      </c>
      <c r="V49">
        <f t="shared" si="5"/>
        <v>511.52540292213502</v>
      </c>
    </row>
    <row r="50" spans="1:22" x14ac:dyDescent="0.2">
      <c r="A50" t="s">
        <v>21</v>
      </c>
      <c r="B50">
        <v>19.976562999999999</v>
      </c>
      <c r="C50">
        <v>20.065462</v>
      </c>
      <c r="D50">
        <v>19.755144000000001</v>
      </c>
      <c r="E50">
        <v>19.847767999999999</v>
      </c>
      <c r="F50">
        <v>29.626315999999999</v>
      </c>
      <c r="G50">
        <v>26.568117000000001</v>
      </c>
      <c r="H50">
        <v>26.096855000000001</v>
      </c>
      <c r="I50">
        <v>22.270603999999999</v>
      </c>
      <c r="J50">
        <v>55.024866000000003</v>
      </c>
      <c r="K50">
        <v>46.751460999999999</v>
      </c>
      <c r="L50">
        <v>59.040568999999998</v>
      </c>
      <c r="M50">
        <v>-622.46979699999997</v>
      </c>
      <c r="N50">
        <v>0.89637199999999995</v>
      </c>
      <c r="O50">
        <v>3.068946</v>
      </c>
      <c r="P50">
        <f t="shared" si="3"/>
        <v>1.4939533333333333E-5</v>
      </c>
      <c r="Q50" cm="1">
        <f t="array" ref="Q50">[1]!PropsSI("D","T",J50+273.15,"P",101325,"Water")</f>
        <v>985.68104490773237</v>
      </c>
      <c r="R50" cm="1">
        <f t="array" ref="R50">[1]!PropsSI("D","T",K50+273.15,"P",101325,"Water")</f>
        <v>989.46929711307371</v>
      </c>
      <c r="S50">
        <f t="shared" si="4"/>
        <v>987.57517101040298</v>
      </c>
      <c r="T50" cm="1">
        <f t="array" ref="T50">[1]!PropsSI("H","T",J50+273.15,"P",101325,"Water")</f>
        <v>230433.08843513846</v>
      </c>
      <c r="U50" cm="1">
        <f t="array" ref="U50">[1]!PropsSI("H","T",K50+273.15,"P",101325,"Water")</f>
        <v>195836.63543625944</v>
      </c>
      <c r="V50">
        <f t="shared" si="5"/>
        <v>510.43302950922259</v>
      </c>
    </row>
    <row r="51" spans="1:22" x14ac:dyDescent="0.2">
      <c r="A51">
        <v>46122.639928240744</v>
      </c>
      <c r="B51">
        <v>20.023078999999999</v>
      </c>
      <c r="C51">
        <v>20.008478</v>
      </c>
      <c r="D51">
        <v>19.774794</v>
      </c>
      <c r="E51">
        <v>19.843315</v>
      </c>
      <c r="F51">
        <v>29.368814</v>
      </c>
      <c r="G51">
        <v>26.770391</v>
      </c>
      <c r="H51">
        <v>25.899597</v>
      </c>
      <c r="I51">
        <v>22.282643</v>
      </c>
      <c r="J51">
        <v>55.027889000000002</v>
      </c>
      <c r="K51">
        <v>46.742415000000001</v>
      </c>
      <c r="L51">
        <v>58.165919000000002</v>
      </c>
      <c r="M51">
        <v>-622.48571500000003</v>
      </c>
      <c r="N51">
        <v>0.89631499999999997</v>
      </c>
      <c r="O51">
        <v>3.4198599999999999</v>
      </c>
      <c r="P51">
        <f t="shared" si="3"/>
        <v>1.4938583333333333E-5</v>
      </c>
      <c r="Q51" cm="1">
        <f t="array" ref="Q51">[1]!PropsSI("D","T",J51+273.15,"P",101325,"Water")</f>
        <v>985.67958069537133</v>
      </c>
      <c r="R51" cm="1">
        <f t="array" ref="R51">[1]!PropsSI("D","T",K51+273.15,"P",101325,"Water")</f>
        <v>989.47319181632645</v>
      </c>
      <c r="S51">
        <f t="shared" si="4"/>
        <v>987.57638625584889</v>
      </c>
      <c r="T51" cm="1">
        <f t="array" ref="T51">[1]!PropsSI("H","T",J51+273.15,"P",101325,"Water")</f>
        <v>230445.73354150227</v>
      </c>
      <c r="U51" cm="1">
        <f t="array" ref="U51">[1]!PropsSI("H","T",K51+273.15,"P",101325,"Water")</f>
        <v>195798.81853123585</v>
      </c>
      <c r="V51">
        <f t="shared" si="5"/>
        <v>511.14566496428694</v>
      </c>
    </row>
    <row r="52" spans="1:22" x14ac:dyDescent="0.2">
      <c r="A52">
        <v>46122.639986111113</v>
      </c>
      <c r="B52">
        <v>19.900442000000002</v>
      </c>
      <c r="C52">
        <v>20.115385</v>
      </c>
      <c r="D52">
        <v>19.740511999999999</v>
      </c>
      <c r="E52">
        <v>19.85351</v>
      </c>
      <c r="F52">
        <v>29.305734000000001</v>
      </c>
      <c r="G52">
        <v>26.808156</v>
      </c>
      <c r="H52">
        <v>26.104407999999999</v>
      </c>
      <c r="I52">
        <v>22.349316999999999</v>
      </c>
      <c r="J52">
        <v>55.032504000000003</v>
      </c>
      <c r="K52">
        <v>46.750191000000001</v>
      </c>
      <c r="L52">
        <v>59.678904000000003</v>
      </c>
      <c r="M52">
        <v>-622.50571400000001</v>
      </c>
      <c r="N52">
        <v>0.89312199999999997</v>
      </c>
      <c r="O52">
        <v>3.671665</v>
      </c>
      <c r="P52">
        <f t="shared" si="3"/>
        <v>1.4885366666666666E-5</v>
      </c>
      <c r="Q52" cm="1">
        <f t="array" ref="Q52">[1]!PropsSI("D","T",J52+273.15,"P",101325,"Water")</f>
        <v>985.67734527666028</v>
      </c>
      <c r="R52" cm="1">
        <f t="array" ref="R52">[1]!PropsSI("D","T",K52+273.15,"P",101325,"Water")</f>
        <v>989.46984393794446</v>
      </c>
      <c r="S52">
        <f t="shared" si="4"/>
        <v>987.57359460730231</v>
      </c>
      <c r="T52" cm="1">
        <f t="array" ref="T52">[1]!PropsSI("H","T",J52+273.15,"P",101325,"Water")</f>
        <v>230465.03793621081</v>
      </c>
      <c r="U52" cm="1">
        <f t="array" ref="U52">[1]!PropsSI("H","T",K52+273.15,"P",101325,"Water")</f>
        <v>195831.3261857983</v>
      </c>
      <c r="V52">
        <f t="shared" si="5"/>
        <v>509.12924533468282</v>
      </c>
    </row>
    <row r="53" spans="1:22" x14ac:dyDescent="0.2">
      <c r="A53">
        <v>46122.640043981482</v>
      </c>
      <c r="B53">
        <v>19.950426</v>
      </c>
      <c r="C53">
        <v>20.025843999999999</v>
      </c>
      <c r="D53">
        <v>19.768473</v>
      </c>
      <c r="E53">
        <v>19.847860000000001</v>
      </c>
      <c r="F53">
        <v>29.238315</v>
      </c>
      <c r="G53">
        <v>26.626225000000002</v>
      </c>
      <c r="H53">
        <v>25.617122999999999</v>
      </c>
      <c r="I53">
        <v>22.366060999999998</v>
      </c>
      <c r="J53">
        <v>55.029798999999997</v>
      </c>
      <c r="K53">
        <v>46.759714000000002</v>
      </c>
      <c r="L53">
        <v>64.182351999999995</v>
      </c>
      <c r="M53">
        <v>-622.47224600000004</v>
      </c>
      <c r="N53">
        <v>0.89274100000000001</v>
      </c>
      <c r="O53">
        <v>3.3377159999999999</v>
      </c>
      <c r="P53">
        <f t="shared" si="3"/>
        <v>1.4879016666666668E-5</v>
      </c>
      <c r="Q53" cm="1">
        <f t="array" ref="Q53">[1]!PropsSI("D","T",J53+273.15,"P",101325,"Water")</f>
        <v>985.67865554353273</v>
      </c>
      <c r="R53" cm="1">
        <f t="array" ref="R53">[1]!PropsSI("D","T",K53+273.15,"P",101325,"Water")</f>
        <v>989.46574334466652</v>
      </c>
      <c r="S53">
        <f t="shared" si="4"/>
        <v>987.57219944409962</v>
      </c>
      <c r="T53" cm="1">
        <f t="array" ref="T53">[1]!PropsSI("H","T",J53+273.15,"P",101325,"Water")</f>
        <v>230453.7230083438</v>
      </c>
      <c r="U53" cm="1">
        <f t="array" ref="U53">[1]!PropsSI("H","T",K53+273.15,"P",101325,"Water")</f>
        <v>195871.13721201598</v>
      </c>
      <c r="V53">
        <f t="shared" si="5"/>
        <v>508.16008513509632</v>
      </c>
    </row>
    <row r="54" spans="1:22" x14ac:dyDescent="0.2">
      <c r="A54">
        <v>46122.640102430552</v>
      </c>
      <c r="B54">
        <v>20.087513000000001</v>
      </c>
      <c r="C54">
        <v>20.239560999999998</v>
      </c>
      <c r="D54">
        <v>19.799904000000002</v>
      </c>
      <c r="E54">
        <v>19.942163000000001</v>
      </c>
      <c r="F54">
        <v>29.615051999999999</v>
      </c>
      <c r="G54">
        <v>26.531286999999999</v>
      </c>
      <c r="H54">
        <v>26.151985</v>
      </c>
      <c r="I54">
        <v>22.287433</v>
      </c>
      <c r="J54">
        <v>55.022480000000002</v>
      </c>
      <c r="K54">
        <v>46.750826000000004</v>
      </c>
      <c r="L54">
        <v>57.691248999999999</v>
      </c>
      <c r="M54">
        <v>-622.50938699999995</v>
      </c>
      <c r="N54">
        <v>0.89692499999999997</v>
      </c>
      <c r="O54">
        <v>3.0962420000000002</v>
      </c>
      <c r="P54">
        <f t="shared" si="3"/>
        <v>1.494875E-5</v>
      </c>
      <c r="Q54" cm="1">
        <f t="array" ref="Q54">[1]!PropsSI("D","T",J54+273.15,"P",101325,"Water")</f>
        <v>985.68220054440553</v>
      </c>
      <c r="R54" cm="1">
        <f t="array" ref="R54">[1]!PropsSI("D","T",K54+273.15,"P",101325,"Water")</f>
        <v>989.46957052688663</v>
      </c>
      <c r="S54">
        <f t="shared" si="4"/>
        <v>987.57588553564608</v>
      </c>
      <c r="T54" cm="1">
        <f t="array" ref="T54">[1]!PropsSI("H","T",J54+273.15,"P",101325,"Water")</f>
        <v>230423.10788046379</v>
      </c>
      <c r="U54" cm="1">
        <f t="array" ref="U54">[1]!PropsSI("H","T",K54+273.15,"P",101325,"Water")</f>
        <v>195833.98081098084</v>
      </c>
      <c r="V54">
        <f t="shared" si="5"/>
        <v>510.64014830872236</v>
      </c>
    </row>
    <row r="55" spans="1:22" x14ac:dyDescent="0.2">
      <c r="A55">
        <v>46122.640160300929</v>
      </c>
      <c r="B55">
        <v>19.985102000000001</v>
      </c>
      <c r="C55">
        <v>20.189104</v>
      </c>
      <c r="D55">
        <v>19.828626</v>
      </c>
      <c r="E55">
        <v>19.928535</v>
      </c>
      <c r="F55">
        <v>29.523692</v>
      </c>
      <c r="G55">
        <v>26.648395000000001</v>
      </c>
      <c r="H55">
        <v>26.067422000000001</v>
      </c>
      <c r="I55">
        <v>22.227191999999999</v>
      </c>
      <c r="J55">
        <v>55.02073</v>
      </c>
      <c r="K55">
        <v>46.753523999999999</v>
      </c>
      <c r="L55">
        <v>62.201227000000003</v>
      </c>
      <c r="M55">
        <v>-622.461635</v>
      </c>
      <c r="N55">
        <v>0.89678199999999997</v>
      </c>
      <c r="O55">
        <v>3.5500509999999998</v>
      </c>
      <c r="P55">
        <f t="shared" si="3"/>
        <v>1.4946366666666666E-5</v>
      </c>
      <c r="Q55" cm="1">
        <f t="array" ref="Q55">[1]!PropsSI("D","T",J55+273.15,"P",101325,"Water")</f>
        <v>985.68304811798737</v>
      </c>
      <c r="R55" cm="1">
        <f t="array" ref="R55">[1]!PropsSI("D","T",K55+273.15,"P",101325,"Water")</f>
        <v>989.4684088221785</v>
      </c>
      <c r="S55">
        <f t="shared" si="4"/>
        <v>987.57572847008294</v>
      </c>
      <c r="T55" cm="1">
        <f t="array" ref="T55">[1]!PropsSI("H","T",J55+273.15,"P",101325,"Water")</f>
        <v>230415.78769288133</v>
      </c>
      <c r="U55" cm="1">
        <f t="array" ref="U55">[1]!PropsSI("H","T",K55+273.15,"P",101325,"Water")</f>
        <v>195845.25983358998</v>
      </c>
      <c r="V55">
        <f t="shared" si="5"/>
        <v>510.28411711676154</v>
      </c>
    </row>
    <row r="56" spans="1:22" x14ac:dyDescent="0.2">
      <c r="A56">
        <v>46122.640218749999</v>
      </c>
      <c r="B56">
        <v>19.995750000000001</v>
      </c>
      <c r="C56">
        <v>20.050118000000001</v>
      </c>
      <c r="D56">
        <v>19.803889999999999</v>
      </c>
      <c r="E56">
        <v>19.880614000000001</v>
      </c>
      <c r="F56">
        <v>29.514875</v>
      </c>
      <c r="G56">
        <v>26.677508</v>
      </c>
      <c r="H56">
        <v>25.990815000000001</v>
      </c>
      <c r="I56">
        <v>22.172125999999999</v>
      </c>
      <c r="J56">
        <v>55.022956999999998</v>
      </c>
      <c r="K56">
        <v>46.752254000000001</v>
      </c>
      <c r="L56">
        <v>69.364949999999993</v>
      </c>
      <c r="M56">
        <v>-622.51550899999995</v>
      </c>
      <c r="N56">
        <v>0.89672399999999997</v>
      </c>
      <c r="O56">
        <v>3.6974369999999999</v>
      </c>
      <c r="P56">
        <f t="shared" si="3"/>
        <v>1.4945399999999999E-5</v>
      </c>
      <c r="Q56" cm="1">
        <f t="array" ref="Q56">[1]!PropsSI("D","T",J56+273.15,"P",101325,"Water")</f>
        <v>985.68196951676293</v>
      </c>
      <c r="R56" cm="1">
        <f t="array" ref="R56">[1]!PropsSI("D","T",K56+273.15,"P",101325,"Water")</f>
        <v>989.46895566487467</v>
      </c>
      <c r="S56">
        <f t="shared" si="4"/>
        <v>987.5754625908188</v>
      </c>
      <c r="T56" cm="1">
        <f t="array" ref="T56">[1]!PropsSI("H","T",J56+273.15,"P",101325,"Water")</f>
        <v>230425.10315463852</v>
      </c>
      <c r="U56" cm="1">
        <f t="array" ref="U56">[1]!PropsSI("H","T",K56+273.15,"P",101325,"Water")</f>
        <v>195839.95058257252</v>
      </c>
      <c r="V56">
        <f t="shared" si="5"/>
        <v>510.4668332884446</v>
      </c>
    </row>
    <row r="57" spans="1:22" x14ac:dyDescent="0.2">
      <c r="A57">
        <v>46122.640276620368</v>
      </c>
      <c r="B57">
        <v>20.091833000000001</v>
      </c>
      <c r="C57">
        <v>20.004201999999999</v>
      </c>
      <c r="D57">
        <v>19.837159</v>
      </c>
      <c r="E57">
        <v>19.916528</v>
      </c>
      <c r="F57">
        <v>29.495032999999999</v>
      </c>
      <c r="G57">
        <v>26.753854</v>
      </c>
      <c r="H57">
        <v>26.066907</v>
      </c>
      <c r="I57">
        <v>22.477301000000001</v>
      </c>
      <c r="J57">
        <v>55.023594000000003</v>
      </c>
      <c r="K57">
        <v>46.753683000000002</v>
      </c>
      <c r="L57">
        <v>62.12368</v>
      </c>
      <c r="M57">
        <v>-622.51020400000004</v>
      </c>
      <c r="N57">
        <v>0.898675</v>
      </c>
      <c r="O57">
        <v>3.74011</v>
      </c>
      <c r="P57">
        <f t="shared" si="3"/>
        <v>1.4977916666666668E-5</v>
      </c>
      <c r="Q57" cm="1">
        <f t="array" ref="Q57">[1]!PropsSI("D","T",J57+273.15,"P",101325,"Water")</f>
        <v>985.68166099337986</v>
      </c>
      <c r="R57" cm="1">
        <f t="array" ref="R57">[1]!PropsSI("D","T",K57+273.15,"P",101325,"Water")</f>
        <v>989.46834035839925</v>
      </c>
      <c r="S57">
        <f t="shared" si="4"/>
        <v>987.57500067588956</v>
      </c>
      <c r="T57" cm="1">
        <f t="array" ref="T57">[1]!PropsSI("H","T",J57+273.15,"P",101325,"Water")</f>
        <v>230427.76770332013</v>
      </c>
      <c r="U57" cm="1">
        <f t="array" ref="U57">[1]!PropsSI("H","T",K57+273.15,"P",101325,"Water")</f>
        <v>195845.92453518766</v>
      </c>
      <c r="V57">
        <f t="shared" si="5"/>
        <v>511.52826323509669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B837-BEFC-FA41-BF37-AFC7B52FE0EF}">
  <dimension ref="A1:W83"/>
  <sheetViews>
    <sheetView topLeftCell="H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44660.641362847397</v>
      </c>
      <c r="B2">
        <v>20.236563</v>
      </c>
      <c r="C2">
        <v>20.185580000000002</v>
      </c>
      <c r="D2">
        <v>19.832532</v>
      </c>
      <c r="E2">
        <v>19.896091999999999</v>
      </c>
      <c r="F2">
        <v>28.705342000000002</v>
      </c>
      <c r="G2">
        <v>25.471888</v>
      </c>
      <c r="H2">
        <v>24.939250999999999</v>
      </c>
      <c r="I2">
        <v>22.358422999999998</v>
      </c>
      <c r="J2">
        <v>55.006092000000002</v>
      </c>
      <c r="K2">
        <v>46.284264</v>
      </c>
      <c r="L2">
        <v>79.909319999999994</v>
      </c>
      <c r="M2">
        <v>-622.53224299999999</v>
      </c>
      <c r="N2">
        <v>0.89674500000000001</v>
      </c>
      <c r="O2">
        <v>3.3168630000000001</v>
      </c>
      <c r="P2">
        <f t="shared" ref="P2:P7" si="0" xml:space="preserve"> N2*0.001/60</f>
        <v>1.494575E-5</v>
      </c>
      <c r="Q2" cm="1">
        <f t="array" ref="Q2">[1]!PropsSI("D","T",J2+273.15,"P",101325,"Water")</f>
        <v>985.69013696328955</v>
      </c>
      <c r="R2" cm="1">
        <f t="array" ref="R2">[1]!PropsSI("D","T",K2+273.15,"P",101325,"Water")</f>
        <v>989.6697149078766</v>
      </c>
      <c r="S2">
        <f t="shared" ref="S2:S7" si="1">(Q2+R2)/2</f>
        <v>987.67992593558301</v>
      </c>
      <c r="T2" cm="1">
        <f t="array" ref="T2">[1]!PropsSI("H","T",J2+273.15,"P",101325,"Water")</f>
        <v>230354.5575045819</v>
      </c>
      <c r="U2" cm="1">
        <f t="array" ref="U2">[1]!PropsSI("H","T",K2+273.15,"P",101325,"Water")</f>
        <v>193883.53713825234</v>
      </c>
      <c r="V2">
        <f t="shared" ref="V2:V7" si="2">S2*P2*(T2-U2)</f>
        <v>538.37124347601173</v>
      </c>
      <c r="W2" s="2">
        <f>AVERAGE(V2:V83)</f>
        <v>537.91665514346687</v>
      </c>
    </row>
    <row r="3" spans="1:23" x14ac:dyDescent="0.2">
      <c r="A3">
        <v>44660.641421296503</v>
      </c>
      <c r="B3">
        <v>20.314118000000001</v>
      </c>
      <c r="C3">
        <v>20.265506999999999</v>
      </c>
      <c r="D3">
        <v>19.911296</v>
      </c>
      <c r="E3">
        <v>19.994036999999999</v>
      </c>
      <c r="F3">
        <v>28.799733</v>
      </c>
      <c r="G3">
        <v>25.685482</v>
      </c>
      <c r="H3">
        <v>25.039929999999998</v>
      </c>
      <c r="I3">
        <v>22.183205999999998</v>
      </c>
      <c r="J3">
        <v>55.001319000000002</v>
      </c>
      <c r="K3">
        <v>46.284264</v>
      </c>
      <c r="L3">
        <v>91.442211999999998</v>
      </c>
      <c r="M3">
        <v>-622.47183800000005</v>
      </c>
      <c r="N3">
        <v>0.89364699999999997</v>
      </c>
      <c r="O3">
        <v>3.2303730000000002</v>
      </c>
      <c r="P3">
        <f t="shared" si="0"/>
        <v>1.4894116666666667E-5</v>
      </c>
      <c r="Q3" cm="1">
        <f t="array" ref="Q3">[1]!PropsSI("D","T",J3+273.15,"P",101325,"Water")</f>
        <v>985.69244812939178</v>
      </c>
      <c r="R3" cm="1">
        <f t="array" ref="R3">[1]!PropsSI("D","T",K3+273.15,"P",101325,"Water")</f>
        <v>989.6697149078766</v>
      </c>
      <c r="S3">
        <f t="shared" si="1"/>
        <v>987.68108151863419</v>
      </c>
      <c r="T3" cm="1">
        <f t="array" ref="T3">[1]!PropsSI("H","T",J3+273.15,"P",101325,"Water")</f>
        <v>230334.59224676449</v>
      </c>
      <c r="U3" cm="1">
        <f t="array" ref="U3">[1]!PropsSI("H","T",K3+273.15,"P",101325,"Water")</f>
        <v>193883.53713825234</v>
      </c>
      <c r="V3">
        <f t="shared" si="2"/>
        <v>536.21824935803841</v>
      </c>
      <c r="W3" s="2"/>
    </row>
    <row r="4" spans="1:23" x14ac:dyDescent="0.2">
      <c r="A4">
        <v>44660.641479166799</v>
      </c>
      <c r="B4">
        <v>20.287552999999999</v>
      </c>
      <c r="C4">
        <v>20.269580000000001</v>
      </c>
      <c r="D4">
        <v>19.910957</v>
      </c>
      <c r="E4">
        <v>19.990945</v>
      </c>
      <c r="F4">
        <v>28.863050000000001</v>
      </c>
      <c r="G4">
        <v>25.587071000000002</v>
      </c>
      <c r="H4">
        <v>24.580981000000001</v>
      </c>
      <c r="I4">
        <v>22.515782999999999</v>
      </c>
      <c r="J4">
        <v>55.000363999999998</v>
      </c>
      <c r="K4">
        <v>46.288865999999999</v>
      </c>
      <c r="L4">
        <v>88.087686000000005</v>
      </c>
      <c r="M4">
        <v>-622.46571600000004</v>
      </c>
      <c r="N4">
        <v>0.896343</v>
      </c>
      <c r="O4">
        <v>3.4395950000000002</v>
      </c>
      <c r="P4">
        <f t="shared" si="0"/>
        <v>1.4939049999999999E-5</v>
      </c>
      <c r="Q4" cm="1">
        <f t="array" ref="Q4">[1]!PropsSI("D","T",J4+273.15,"P",101325,"Water")</f>
        <v>985.69291053933307</v>
      </c>
      <c r="R4" cm="1">
        <f t="array" ref="R4">[1]!PropsSI("D","T",K4+273.15,"P",101325,"Water")</f>
        <v>989.66774803143369</v>
      </c>
      <c r="S4">
        <f t="shared" si="1"/>
        <v>987.68032928538332</v>
      </c>
      <c r="T4" cm="1">
        <f t="array" ref="T4">[1]!PropsSI("H","T",J4+273.15,"P",101325,"Water")</f>
        <v>230330.59752298525</v>
      </c>
      <c r="U4" cm="1">
        <f t="array" ref="U4">[1]!PropsSI("H","T",K4+273.15,"P",101325,"Water")</f>
        <v>193902.77537835043</v>
      </c>
      <c r="V4">
        <f t="shared" si="2"/>
        <v>537.49272787097425</v>
      </c>
      <c r="W4" s="2"/>
    </row>
    <row r="5" spans="1:23" x14ac:dyDescent="0.2">
      <c r="A5">
        <v>44660.641537615898</v>
      </c>
      <c r="B5">
        <v>20.254739000000001</v>
      </c>
      <c r="C5">
        <v>20.312035000000002</v>
      </c>
      <c r="D5">
        <v>19.829426999999999</v>
      </c>
      <c r="E5">
        <v>19.942655999999999</v>
      </c>
      <c r="F5">
        <v>28.758838000000001</v>
      </c>
      <c r="G5">
        <v>25.768782999999999</v>
      </c>
      <c r="H5">
        <v>24.993490999999999</v>
      </c>
      <c r="I5">
        <v>21.877400999999999</v>
      </c>
      <c r="J5">
        <v>54.996226999999998</v>
      </c>
      <c r="K5">
        <v>46.293626000000003</v>
      </c>
      <c r="L5">
        <v>88.872545000000002</v>
      </c>
      <c r="M5">
        <v>-622.48285799999996</v>
      </c>
      <c r="N5">
        <v>0.89498699999999998</v>
      </c>
      <c r="O5">
        <v>3.5726200000000001</v>
      </c>
      <c r="P5">
        <f t="shared" si="0"/>
        <v>1.491645E-5</v>
      </c>
      <c r="Q5" cm="1">
        <f t="array" ref="Q5">[1]!PropsSI("D","T",J5+273.15,"P",101325,"Water")</f>
        <v>985.69491360469146</v>
      </c>
      <c r="R5" cm="1">
        <f t="array" ref="R5">[1]!PropsSI("D","T",K5+273.15,"P",101325,"Water")</f>
        <v>989.66571347358854</v>
      </c>
      <c r="S5">
        <f t="shared" si="1"/>
        <v>987.68031353914</v>
      </c>
      <c r="T5" cm="1">
        <f t="array" ref="T5">[1]!PropsSI("H","T",J5+273.15,"P",101325,"Water")</f>
        <v>230313.29263451241</v>
      </c>
      <c r="U5" cm="1">
        <f t="array" ref="U5">[1]!PropsSI("H","T",K5+273.15,"P",101325,"Water")</f>
        <v>193922.67412793881</v>
      </c>
      <c r="V5">
        <f t="shared" si="2"/>
        <v>536.13148349100891</v>
      </c>
      <c r="W5" s="2"/>
    </row>
    <row r="6" spans="1:23" x14ac:dyDescent="0.2">
      <c r="A6">
        <v>46122.641595486108</v>
      </c>
      <c r="B6">
        <v>20.154233000000001</v>
      </c>
      <c r="C6">
        <v>20.259509999999999</v>
      </c>
      <c r="D6">
        <v>19.820782999999999</v>
      </c>
      <c r="E6">
        <v>19.978681000000002</v>
      </c>
      <c r="F6">
        <v>28.769318999999999</v>
      </c>
      <c r="G6">
        <v>25.501704</v>
      </c>
      <c r="H6">
        <v>24.717884999999999</v>
      </c>
      <c r="I6">
        <v>21.810734</v>
      </c>
      <c r="J6">
        <v>54.993521999999999</v>
      </c>
      <c r="K6">
        <v>46.289976000000003</v>
      </c>
      <c r="L6">
        <v>86.853870000000001</v>
      </c>
      <c r="M6">
        <v>-622.50367300000005</v>
      </c>
      <c r="N6">
        <v>0.89973199999999998</v>
      </c>
      <c r="O6">
        <v>3.5070610000000002</v>
      </c>
      <c r="P6">
        <f t="shared" si="0"/>
        <v>1.4995533333333332E-5</v>
      </c>
      <c r="Q6" cm="1">
        <f t="array" ref="Q6">[1]!PropsSI("D","T",J6+273.15,"P",101325,"Water")</f>
        <v>985.69622326244189</v>
      </c>
      <c r="R6" cm="1">
        <f t="array" ref="R6">[1]!PropsSI("D","T",K6+273.15,"P",101325,"Water")</f>
        <v>989.66727360011748</v>
      </c>
      <c r="S6">
        <f t="shared" si="1"/>
        <v>987.68174843127963</v>
      </c>
      <c r="T6" cm="1">
        <f t="array" ref="T6">[1]!PropsSI("H","T",J6+273.15,"P",101325,"Water")</f>
        <v>230301.97774219737</v>
      </c>
      <c r="U6" cm="1">
        <f t="array" ref="U6">[1]!PropsSI("H","T",K6+273.15,"P",101325,"Water")</f>
        <v>193907.41563256417</v>
      </c>
      <c r="V6">
        <f t="shared" si="2"/>
        <v>539.03311117433748</v>
      </c>
      <c r="W6" s="2"/>
    </row>
    <row r="7" spans="1:23" x14ac:dyDescent="0.2">
      <c r="A7">
        <v>46122.641653356484</v>
      </c>
      <c r="B7">
        <v>20.078137999999999</v>
      </c>
      <c r="C7">
        <v>20.315476</v>
      </c>
      <c r="D7">
        <v>19.861426999999999</v>
      </c>
      <c r="E7">
        <v>19.960308000000001</v>
      </c>
      <c r="F7">
        <v>28.691018</v>
      </c>
      <c r="G7">
        <v>25.589969</v>
      </c>
      <c r="H7">
        <v>24.914138000000001</v>
      </c>
      <c r="I7">
        <v>22.242239000000001</v>
      </c>
      <c r="J7">
        <v>54.997182000000002</v>
      </c>
      <c r="K7">
        <v>46.286960999999998</v>
      </c>
      <c r="L7">
        <v>83.884630999999999</v>
      </c>
      <c r="M7">
        <v>-622.50530600000002</v>
      </c>
      <c r="N7">
        <v>0.89411799999999997</v>
      </c>
      <c r="O7">
        <v>3.619373</v>
      </c>
      <c r="P7">
        <f t="shared" si="0"/>
        <v>1.4901966666666666E-5</v>
      </c>
      <c r="Q7" cm="1">
        <f t="array" ref="Q7">[1]!PropsSI("D","T",J7+273.15,"P",101325,"Water")</f>
        <v>985.69445121931165</v>
      </c>
      <c r="R7" cm="1">
        <f t="array" ref="R7">[1]!PropsSI("D","T",K7+273.15,"P",101325,"Water")</f>
        <v>989.66856223844331</v>
      </c>
      <c r="S7">
        <f t="shared" si="1"/>
        <v>987.68150672887748</v>
      </c>
      <c r="T7" cm="1">
        <f t="array" ref="T7">[1]!PropsSI("H","T",J7+273.15,"P",101325,"Water")</f>
        <v>230317.28735680995</v>
      </c>
      <c r="U7" cm="1">
        <f t="array" ref="U7">[1]!PropsSI("H","T",K7+273.15,"P",101325,"Water")</f>
        <v>193894.81169953727</v>
      </c>
      <c r="V7">
        <f t="shared" si="2"/>
        <v>536.08045246038432</v>
      </c>
    </row>
    <row r="8" spans="1:23" x14ac:dyDescent="0.2">
      <c r="A8">
        <v>46122.641711805554</v>
      </c>
      <c r="B8">
        <v>20.073823999999998</v>
      </c>
      <c r="C8">
        <v>20.092006999999999</v>
      </c>
      <c r="D8">
        <v>19.781223000000001</v>
      </c>
      <c r="E8">
        <v>19.872429</v>
      </c>
      <c r="F8">
        <v>28.716339000000001</v>
      </c>
      <c r="G8">
        <v>25.427077000000001</v>
      </c>
      <c r="H8">
        <v>24.493473000000002</v>
      </c>
      <c r="I8">
        <v>21.989066000000001</v>
      </c>
      <c r="J8">
        <v>54.990659000000001</v>
      </c>
      <c r="K8">
        <v>46.280296999999997</v>
      </c>
      <c r="L8">
        <v>90.620620000000002</v>
      </c>
      <c r="M8">
        <v>-622.48367399999995</v>
      </c>
      <c r="N8">
        <v>0.89566299999999999</v>
      </c>
      <c r="O8">
        <v>3.5240130000000001</v>
      </c>
      <c r="P8">
        <f t="shared" ref="P8:P71" si="3" xml:space="preserve"> N8*0.001/60</f>
        <v>1.4927716666666666E-5</v>
      </c>
      <c r="Q8" cm="1">
        <f t="array" ref="Q8">[1]!PropsSI("D","T",J8+273.15,"P",101325,"Water")</f>
        <v>985.69760936829289</v>
      </c>
      <c r="R8" cm="1">
        <f t="array" ref="R8">[1]!PropsSI("D","T",K8+273.15,"P",101325,"Water")</f>
        <v>989.67141027130253</v>
      </c>
      <c r="S8">
        <f t="shared" ref="S8:S71" si="4">(Q8+R8)/2</f>
        <v>987.68450981979777</v>
      </c>
      <c r="T8" cm="1">
        <f t="array" ref="T8">[1]!PropsSI("H","T",J8+273.15,"P",101325,"Water")</f>
        <v>230290.00194588746</v>
      </c>
      <c r="U8" cm="1">
        <f t="array" ref="U8">[1]!PropsSI("H","T",K8+273.15,"P",101325,"Water")</f>
        <v>193866.9534612713</v>
      </c>
      <c r="V8">
        <f t="shared" ref="V8:V71" si="5">S8*P8*(T8-U8)</f>
        <v>537.01685644372139</v>
      </c>
    </row>
    <row r="9" spans="1:23" x14ac:dyDescent="0.2">
      <c r="A9">
        <v>46122.641770254631</v>
      </c>
      <c r="B9">
        <v>20.138612999999999</v>
      </c>
      <c r="C9">
        <v>20.193868999999999</v>
      </c>
      <c r="D9">
        <v>19.779985</v>
      </c>
      <c r="E9">
        <v>19.924977999999999</v>
      </c>
      <c r="F9">
        <v>28.650772</v>
      </c>
      <c r="G9">
        <v>25.498799000000002</v>
      </c>
      <c r="H9">
        <v>24.655390000000001</v>
      </c>
      <c r="I9">
        <v>21.839116000000001</v>
      </c>
      <c r="J9">
        <v>54.982225999999997</v>
      </c>
      <c r="K9">
        <v>46.270457999999998</v>
      </c>
      <c r="L9">
        <v>84.918864999999997</v>
      </c>
      <c r="M9">
        <v>-622.47836800000005</v>
      </c>
      <c r="N9">
        <v>0.89483500000000005</v>
      </c>
      <c r="O9">
        <v>3.5697610000000002</v>
      </c>
      <c r="P9">
        <f t="shared" si="3"/>
        <v>1.4913916666666668E-5</v>
      </c>
      <c r="Q9" cm="1">
        <f t="array" ref="Q9">[1]!PropsSI("D","T",J9+273.15,"P",101325,"Water")</f>
        <v>985.70169186355633</v>
      </c>
      <c r="R9" cm="1">
        <f t="array" ref="R9">[1]!PropsSI("D","T",K9+273.15,"P",101325,"Water")</f>
        <v>989.67561466573</v>
      </c>
      <c r="S9">
        <f t="shared" si="4"/>
        <v>987.68865326464311</v>
      </c>
      <c r="T9" cm="1">
        <f t="array" ref="T9">[1]!PropsSI("H","T",J9+273.15,"P",101325,"Water")</f>
        <v>230254.72711506652</v>
      </c>
      <c r="U9" cm="1">
        <f t="array" ref="U9">[1]!PropsSI("H","T",K9+273.15,"P",101325,"Water")</f>
        <v>193825.82244564788</v>
      </c>
      <c r="V9">
        <f t="shared" si="5"/>
        <v>536.6089227664952</v>
      </c>
    </row>
    <row r="10" spans="1:23" x14ac:dyDescent="0.2">
      <c r="A10">
        <v>44660.641828703898</v>
      </c>
      <c r="B10">
        <v>20.062089</v>
      </c>
      <c r="C10">
        <v>20.088729000000001</v>
      </c>
      <c r="D10">
        <v>19.781661</v>
      </c>
      <c r="E10">
        <v>19.834484</v>
      </c>
      <c r="F10">
        <v>28.660440000000001</v>
      </c>
      <c r="G10">
        <v>25.441227999999999</v>
      </c>
      <c r="H10">
        <v>24.885361</v>
      </c>
      <c r="I10">
        <v>22.066347</v>
      </c>
      <c r="J10">
        <v>54.988908000000002</v>
      </c>
      <c r="K10">
        <v>46.258875000000003</v>
      </c>
      <c r="L10">
        <v>90.873260999999999</v>
      </c>
      <c r="M10">
        <v>-622.54203900000005</v>
      </c>
      <c r="N10">
        <v>0.89433099999999999</v>
      </c>
      <c r="O10">
        <v>3.53193</v>
      </c>
      <c r="P10">
        <f t="shared" si="3"/>
        <v>1.4905516666666668E-5</v>
      </c>
      <c r="Q10" cm="1">
        <f t="array" ref="Q10">[1]!PropsSI("D","T",J10+273.15,"P",101325,"Water")</f>
        <v>985.69845708031687</v>
      </c>
      <c r="R10" cm="1">
        <f t="array" ref="R10">[1]!PropsSI("D","T",K10+273.15,"P",101325,"Water")</f>
        <v>989.68056345399157</v>
      </c>
      <c r="S10">
        <f t="shared" si="4"/>
        <v>987.68951026715422</v>
      </c>
      <c r="T10" cm="1">
        <f t="array" ref="T10">[1]!PropsSI("H","T",J10+273.15,"P",101325,"Water")</f>
        <v>230282.67759553765</v>
      </c>
      <c r="U10" cm="1">
        <f t="array" ref="U10">[1]!PropsSI("H","T",K10+273.15,"P",101325,"Water")</f>
        <v>193777.40082903227</v>
      </c>
      <c r="V10">
        <f t="shared" si="5"/>
        <v>537.43150434742154</v>
      </c>
    </row>
    <row r="11" spans="1:23" x14ac:dyDescent="0.2">
      <c r="A11">
        <v>44660.641886574303</v>
      </c>
      <c r="B11">
        <v>20.093434999999999</v>
      </c>
      <c r="C11">
        <v>20.033659</v>
      </c>
      <c r="D11">
        <v>19.787199999999999</v>
      </c>
      <c r="E11">
        <v>19.841114999999999</v>
      </c>
      <c r="F11">
        <v>28.657429</v>
      </c>
      <c r="G11">
        <v>25.498358</v>
      </c>
      <c r="H11">
        <v>24.418975</v>
      </c>
      <c r="I11">
        <v>22.119592000000001</v>
      </c>
      <c r="J11">
        <v>54.989227</v>
      </c>
      <c r="K11">
        <v>46.250782000000001</v>
      </c>
      <c r="L11">
        <v>81.522300000000001</v>
      </c>
      <c r="M11">
        <v>-622.48122499999999</v>
      </c>
      <c r="N11">
        <v>0.89163499999999996</v>
      </c>
      <c r="O11">
        <v>3.2704029999999999</v>
      </c>
      <c r="P11">
        <f t="shared" si="3"/>
        <v>1.4860583333333333E-5</v>
      </c>
      <c r="Q11" cm="1">
        <f t="array" ref="Q11">[1]!PropsSI("D","T",J11+273.15,"P",101325,"Water")</f>
        <v>985.69830264419249</v>
      </c>
      <c r="R11" cm="1">
        <f t="array" ref="R11">[1]!PropsSI("D","T",K11+273.15,"P",101325,"Water")</f>
        <v>989.68402060814753</v>
      </c>
      <c r="S11">
        <f t="shared" si="4"/>
        <v>987.69116162617001</v>
      </c>
      <c r="T11" cm="1">
        <f t="array" ref="T11">[1]!PropsSI("H","T",J11+273.15,"P",101325,"Water")</f>
        <v>230284.01195739591</v>
      </c>
      <c r="U11" cm="1">
        <f t="array" ref="U11">[1]!PropsSI("H","T",K11+273.15,"P",101325,"Water")</f>
        <v>193743.56883885741</v>
      </c>
      <c r="V11">
        <f t="shared" si="5"/>
        <v>536.3284493642667</v>
      </c>
    </row>
    <row r="12" spans="1:23" x14ac:dyDescent="0.2">
      <c r="A12">
        <v>44660.641945023301</v>
      </c>
      <c r="B12">
        <v>20.076353999999998</v>
      </c>
      <c r="C12">
        <v>20.106126</v>
      </c>
      <c r="D12">
        <v>19.786284999999999</v>
      </c>
      <c r="E12">
        <v>19.879508000000001</v>
      </c>
      <c r="F12">
        <v>28.69454</v>
      </c>
      <c r="G12">
        <v>25.498372</v>
      </c>
      <c r="H12">
        <v>24.625236000000001</v>
      </c>
      <c r="I12">
        <v>21.974032999999999</v>
      </c>
      <c r="J12">
        <v>54.984931000000003</v>
      </c>
      <c r="K12">
        <v>46.255701000000002</v>
      </c>
      <c r="L12">
        <v>96.690520000000006</v>
      </c>
      <c r="M12">
        <v>-622.51999899999998</v>
      </c>
      <c r="N12">
        <v>0.90020299999999998</v>
      </c>
      <c r="O12">
        <v>3.6134759999999999</v>
      </c>
      <c r="P12">
        <f t="shared" si="3"/>
        <v>1.5003383333333334E-5</v>
      </c>
      <c r="Q12" cm="1">
        <f t="array" ref="Q12">[1]!PropsSI("D","T",J12+273.15,"P",101325,"Water")</f>
        <v>985.70038239550126</v>
      </c>
      <c r="R12" cm="1">
        <f t="array" ref="R12">[1]!PropsSI("D","T",K12+273.15,"P",101325,"Water")</f>
        <v>989.68191937153961</v>
      </c>
      <c r="S12">
        <f t="shared" si="4"/>
        <v>987.69115088352044</v>
      </c>
      <c r="T12" cm="1">
        <f t="array" ref="T12">[1]!PropsSI("H","T",J12+273.15,"P",101325,"Water")</f>
        <v>230266.04199630726</v>
      </c>
      <c r="U12" cm="1">
        <f t="array" ref="U12">[1]!PropsSI("H","T",K12+273.15,"P",101325,"Water")</f>
        <v>193764.13223262099</v>
      </c>
      <c r="V12">
        <f t="shared" si="5"/>
        <v>540.91117696733522</v>
      </c>
    </row>
    <row r="13" spans="1:23" x14ac:dyDescent="0.2">
      <c r="A13">
        <v>44660.642002893699</v>
      </c>
      <c r="B13">
        <v>20.117048</v>
      </c>
      <c r="C13">
        <v>20.160409999999999</v>
      </c>
      <c r="D13">
        <v>19.725394999999999</v>
      </c>
      <c r="E13">
        <v>19.825679999999998</v>
      </c>
      <c r="F13">
        <v>28.659911000000001</v>
      </c>
      <c r="G13">
        <v>25.401368999999999</v>
      </c>
      <c r="H13">
        <v>25.073937999999998</v>
      </c>
      <c r="I13">
        <v>22.073409000000002</v>
      </c>
      <c r="J13">
        <v>54.986840000000001</v>
      </c>
      <c r="K13">
        <v>46.252051000000002</v>
      </c>
      <c r="L13">
        <v>94.090650999999994</v>
      </c>
      <c r="M13">
        <v>-622.45143099999996</v>
      </c>
      <c r="N13">
        <v>0.89451999999999998</v>
      </c>
      <c r="O13">
        <v>3.0966870000000002</v>
      </c>
      <c r="P13">
        <f t="shared" si="3"/>
        <v>1.4908666666666667E-5</v>
      </c>
      <c r="Q13" cm="1">
        <f t="array" ref="Q13">[1]!PropsSI("D","T",J13+273.15,"P",101325,"Water")</f>
        <v>985.69945823709634</v>
      </c>
      <c r="R13" cm="1">
        <f t="array" ref="R13">[1]!PropsSI("D","T",K13+273.15,"P",101325,"Water")</f>
        <v>989.68347854856302</v>
      </c>
      <c r="S13">
        <f t="shared" si="4"/>
        <v>987.69146839282962</v>
      </c>
      <c r="T13" cm="1">
        <f t="array" ref="T13">[1]!PropsSI("H","T",J13+273.15,"P",101325,"Water")</f>
        <v>230274.02725055875</v>
      </c>
      <c r="U13" cm="1">
        <f t="array" ref="U13">[1]!PropsSI("H","T",K13+273.15,"P",101325,"Water")</f>
        <v>193748.87376755345</v>
      </c>
      <c r="V13">
        <f t="shared" si="5"/>
        <v>537.83883395398755</v>
      </c>
    </row>
    <row r="14" spans="1:23" x14ac:dyDescent="0.2">
      <c r="A14">
        <v>44660.642061342798</v>
      </c>
      <c r="B14">
        <v>20.069068000000001</v>
      </c>
      <c r="C14">
        <v>20.161829999999998</v>
      </c>
      <c r="D14">
        <v>19.771166000000001</v>
      </c>
      <c r="E14">
        <v>19.880171000000001</v>
      </c>
      <c r="F14">
        <v>28.709399000000001</v>
      </c>
      <c r="G14">
        <v>25.471366</v>
      </c>
      <c r="H14">
        <v>24.722773</v>
      </c>
      <c r="I14">
        <v>21.994938999999999</v>
      </c>
      <c r="J14">
        <v>54.983499000000002</v>
      </c>
      <c r="K14">
        <v>46.252685999999997</v>
      </c>
      <c r="L14">
        <v>86.173903999999993</v>
      </c>
      <c r="M14">
        <v>-622.48449100000005</v>
      </c>
      <c r="N14">
        <v>0.89381100000000002</v>
      </c>
      <c r="O14">
        <v>3.5610439999999999</v>
      </c>
      <c r="P14">
        <f t="shared" si="3"/>
        <v>1.489685E-5</v>
      </c>
      <c r="Q14" cm="1">
        <f t="array" ref="Q14">[1]!PropsSI("D","T",J14+273.15,"P",101325,"Water")</f>
        <v>985.70107562048042</v>
      </c>
      <c r="R14" cm="1">
        <f t="array" ref="R14">[1]!PropsSI("D","T",K14+273.15,"P",101325,"Water")</f>
        <v>989.6832073010446</v>
      </c>
      <c r="S14">
        <f t="shared" si="4"/>
        <v>987.69214146076251</v>
      </c>
      <c r="T14" cm="1">
        <f t="array" ref="T14">[1]!PropsSI("H","T",J14+273.15,"P",101325,"Water")</f>
        <v>230260.05201078791</v>
      </c>
      <c r="U14" cm="1">
        <f t="array" ref="U14">[1]!PropsSI("H","T",K14+273.15,"P",101325,"Water")</f>
        <v>193751.52832225678</v>
      </c>
      <c r="V14">
        <f t="shared" si="5"/>
        <v>537.16822453497264</v>
      </c>
    </row>
    <row r="15" spans="1:23" x14ac:dyDescent="0.2">
      <c r="A15">
        <v>46122.642119212964</v>
      </c>
      <c r="B15">
        <v>20.022112</v>
      </c>
      <c r="C15">
        <v>20.329583</v>
      </c>
      <c r="D15">
        <v>19.912451999999998</v>
      </c>
      <c r="E15">
        <v>19.983692000000001</v>
      </c>
      <c r="F15">
        <v>28.670124999999999</v>
      </c>
      <c r="G15">
        <v>25.605004000000001</v>
      </c>
      <c r="H15">
        <v>24.528542000000002</v>
      </c>
      <c r="I15">
        <v>22.007425999999999</v>
      </c>
      <c r="J15">
        <v>54.974747999999998</v>
      </c>
      <c r="K15">
        <v>46.243640999999997</v>
      </c>
      <c r="L15">
        <v>92.733984000000007</v>
      </c>
      <c r="M15">
        <v>-622.52081499999997</v>
      </c>
      <c r="N15">
        <v>0.89051199999999997</v>
      </c>
      <c r="O15">
        <v>3.3190230000000001</v>
      </c>
      <c r="P15">
        <f t="shared" si="3"/>
        <v>1.4841866666666666E-5</v>
      </c>
      <c r="Q15" cm="1">
        <f t="array" ref="Q15">[1]!PropsSI("D","T",J15+273.15,"P",101325,"Water")</f>
        <v>985.70531166487615</v>
      </c>
      <c r="R15" cm="1">
        <f t="array" ref="R15">[1]!PropsSI("D","T",K15+273.15,"P",101325,"Water")</f>
        <v>989.68707071534732</v>
      </c>
      <c r="S15">
        <f t="shared" si="4"/>
        <v>987.69619119011168</v>
      </c>
      <c r="T15" cm="1">
        <f t="array" ref="T15">[1]!PropsSI("H","T",J15+273.15,"P",101325,"Water")</f>
        <v>230223.44702446068</v>
      </c>
      <c r="U15" cm="1">
        <f t="array" ref="U15">[1]!PropsSI("H","T",K15+273.15,"P",101325,"Water")</f>
        <v>193713.71660289555</v>
      </c>
      <c r="V15">
        <f t="shared" si="5"/>
        <v>535.20545468656348</v>
      </c>
    </row>
    <row r="16" spans="1:23" x14ac:dyDescent="0.2">
      <c r="A16">
        <v>46122.642177662034</v>
      </c>
      <c r="B16">
        <v>20.078218</v>
      </c>
      <c r="C16">
        <v>20.336683000000001</v>
      </c>
      <c r="D16">
        <v>19.896101999999999</v>
      </c>
      <c r="E16">
        <v>19.952573999999998</v>
      </c>
      <c r="F16">
        <v>28.675066999999999</v>
      </c>
      <c r="G16">
        <v>25.620455</v>
      </c>
      <c r="H16">
        <v>24.821142999999999</v>
      </c>
      <c r="I16">
        <v>22.108180000000001</v>
      </c>
      <c r="J16">
        <v>54.975383999999998</v>
      </c>
      <c r="K16">
        <v>46.234437999999997</v>
      </c>
      <c r="L16">
        <v>89.834129000000004</v>
      </c>
      <c r="M16">
        <v>-622.48000100000002</v>
      </c>
      <c r="N16">
        <v>0.89529000000000003</v>
      </c>
      <c r="O16">
        <v>3.2823989999999998</v>
      </c>
      <c r="P16">
        <f t="shared" si="3"/>
        <v>1.4921500000000001E-5</v>
      </c>
      <c r="Q16" cm="1">
        <f t="array" ref="Q16">[1]!PropsSI("D","T",J16+273.15,"P",101325,"Water")</f>
        <v>985.7050038161741</v>
      </c>
      <c r="R16" cm="1">
        <f t="array" ref="R16">[1]!PropsSI("D","T",K16+273.15,"P",101325,"Water")</f>
        <v>989.69100104046436</v>
      </c>
      <c r="S16">
        <f t="shared" si="4"/>
        <v>987.69800242831923</v>
      </c>
      <c r="T16" cm="1">
        <f t="array" ref="T16">[1]!PropsSI("H","T",J16+273.15,"P",101325,"Water")</f>
        <v>230226.10737906894</v>
      </c>
      <c r="U16" cm="1">
        <f t="array" ref="U16">[1]!PropsSI("H","T",K16+273.15,"P",101325,"Water")</f>
        <v>193675.24439861003</v>
      </c>
      <c r="V16">
        <f t="shared" si="5"/>
        <v>538.68426996575988</v>
      </c>
    </row>
    <row r="17" spans="1:22" x14ac:dyDescent="0.2">
      <c r="A17">
        <v>46122.64223553241</v>
      </c>
      <c r="B17">
        <v>20.406609</v>
      </c>
      <c r="C17">
        <v>20.171249</v>
      </c>
      <c r="D17">
        <v>19.961689</v>
      </c>
      <c r="E17">
        <v>20.153278</v>
      </c>
      <c r="F17">
        <v>28.944441000000001</v>
      </c>
      <c r="G17">
        <v>25.545347</v>
      </c>
      <c r="H17">
        <v>24.947566999999999</v>
      </c>
      <c r="I17">
        <v>21.89873</v>
      </c>
      <c r="J17">
        <v>54.977612000000001</v>
      </c>
      <c r="K17">
        <v>46.235073</v>
      </c>
      <c r="L17">
        <v>87.886062999999993</v>
      </c>
      <c r="M17">
        <v>-622.45265500000005</v>
      </c>
      <c r="N17">
        <v>0.89122100000000004</v>
      </c>
      <c r="O17">
        <v>3.380592</v>
      </c>
      <c r="P17">
        <f t="shared" si="3"/>
        <v>1.4853683333333335E-5</v>
      </c>
      <c r="Q17" cm="1">
        <f t="array" ref="Q17">[1]!PropsSI("D","T",J17+273.15,"P",101325,"Water")</f>
        <v>985.7039253578032</v>
      </c>
      <c r="R17" cm="1">
        <f t="array" ref="R17">[1]!PropsSI("D","T",K17+273.15,"P",101325,"Water")</f>
        <v>989.69072986969786</v>
      </c>
      <c r="S17">
        <f t="shared" si="4"/>
        <v>987.69732761375053</v>
      </c>
      <c r="T17" cm="1">
        <f t="array" ref="T17">[1]!PropsSI("H","T",J17+273.15,"P",101325,"Water")</f>
        <v>230235.42698724757</v>
      </c>
      <c r="U17" cm="1">
        <f t="array" ref="U17">[1]!PropsSI("H","T",K17+273.15,"P",101325,"Water")</f>
        <v>193677.89895089663</v>
      </c>
      <c r="V17">
        <f t="shared" si="5"/>
        <v>536.33342223612499</v>
      </c>
    </row>
    <row r="18" spans="1:22" x14ac:dyDescent="0.2">
      <c r="A18">
        <v>46122.64229340278</v>
      </c>
      <c r="B18">
        <v>20.172415000000001</v>
      </c>
      <c r="C18">
        <v>20.005855</v>
      </c>
      <c r="D18">
        <v>19.939810000000001</v>
      </c>
      <c r="E18">
        <v>19.955390000000001</v>
      </c>
      <c r="F18">
        <v>28.751377000000002</v>
      </c>
      <c r="G18">
        <v>25.279354000000001</v>
      </c>
      <c r="H18">
        <v>24.78154</v>
      </c>
      <c r="I18">
        <v>21.980506999999999</v>
      </c>
      <c r="J18">
        <v>54.985726</v>
      </c>
      <c r="K18">
        <v>46.248401999999999</v>
      </c>
      <c r="L18">
        <v>85.851062999999996</v>
      </c>
      <c r="M18">
        <v>-622.50285699999995</v>
      </c>
      <c r="N18">
        <v>0.89322900000000005</v>
      </c>
      <c r="O18">
        <v>3.3098610000000002</v>
      </c>
      <c r="P18">
        <f t="shared" si="3"/>
        <v>1.488715E-5</v>
      </c>
      <c r="Q18" cm="1">
        <f t="array" ref="Q18">[1]!PropsSI("D","T",J18+273.15,"P",101325,"Water")</f>
        <v>985.6999975339736</v>
      </c>
      <c r="R18" cm="1">
        <f t="array" ref="R18">[1]!PropsSI("D","T",K18+273.15,"P",101325,"Water")</f>
        <v>989.68503720704302</v>
      </c>
      <c r="S18">
        <f t="shared" si="4"/>
        <v>987.69251737050831</v>
      </c>
      <c r="T18" cm="1">
        <f t="array" ref="T18">[1]!PropsSI("H","T",J18+273.15,"P",101325,"Water")</f>
        <v>230269.36744251626</v>
      </c>
      <c r="U18" cm="1">
        <f t="array" ref="U18">[1]!PropsSI("H","T",K18+273.15,"P",101325,"Water")</f>
        <v>193733.6194857739</v>
      </c>
      <c r="V18">
        <f t="shared" si="5"/>
        <v>537.21895842317474</v>
      </c>
    </row>
    <row r="19" spans="1:22" x14ac:dyDescent="0.2">
      <c r="A19">
        <v>46122.64235185185</v>
      </c>
      <c r="B19">
        <v>20.155819000000001</v>
      </c>
      <c r="C19">
        <v>20.060458000000001</v>
      </c>
      <c r="D19">
        <v>19.883189000000002</v>
      </c>
      <c r="E19">
        <v>19.982994000000001</v>
      </c>
      <c r="F19">
        <v>28.751864999999999</v>
      </c>
      <c r="G19">
        <v>25.681353999999999</v>
      </c>
      <c r="H19">
        <v>24.912012000000001</v>
      </c>
      <c r="I19">
        <v>22.327788000000002</v>
      </c>
      <c r="J19">
        <v>54.986044</v>
      </c>
      <c r="K19">
        <v>46.255859999999998</v>
      </c>
      <c r="L19">
        <v>86.367363999999995</v>
      </c>
      <c r="M19">
        <v>-622.50122399999998</v>
      </c>
      <c r="N19">
        <v>0.89374500000000001</v>
      </c>
      <c r="O19">
        <v>3.1463109999999999</v>
      </c>
      <c r="P19">
        <f t="shared" si="3"/>
        <v>1.489575E-5</v>
      </c>
      <c r="Q19" cm="1">
        <f t="array" ref="Q19">[1]!PropsSI("D","T",J19+273.15,"P",101325,"Water")</f>
        <v>985.69984358825604</v>
      </c>
      <c r="R19" cm="1">
        <f t="array" ref="R19">[1]!PropsSI("D","T",K19+273.15,"P",101325,"Water")</f>
        <v>989.68185144913457</v>
      </c>
      <c r="S19">
        <f t="shared" si="4"/>
        <v>987.69084751869536</v>
      </c>
      <c r="T19" cm="1">
        <f t="array" ref="T19">[1]!PropsSI("H","T",J19+273.15,"P",101325,"Water")</f>
        <v>230270.69762106679</v>
      </c>
      <c r="U19" cm="1">
        <f t="array" ref="U19">[1]!PropsSI("H","T",K19+273.15,"P",101325,"Water")</f>
        <v>193764.79691652433</v>
      </c>
      <c r="V19">
        <f t="shared" si="5"/>
        <v>537.08926538188621</v>
      </c>
    </row>
    <row r="20" spans="1:22" x14ac:dyDescent="0.2">
      <c r="A20">
        <v>46122.642410300927</v>
      </c>
      <c r="B20">
        <v>20.387739</v>
      </c>
      <c r="C20">
        <v>20.310189000000001</v>
      </c>
      <c r="D20">
        <v>19.816668</v>
      </c>
      <c r="E20">
        <v>20.012063000000001</v>
      </c>
      <c r="F20">
        <v>28.906986</v>
      </c>
      <c r="G20">
        <v>25.605111000000001</v>
      </c>
      <c r="H20">
        <v>24.4314</v>
      </c>
      <c r="I20">
        <v>21.848389999999998</v>
      </c>
      <c r="J20">
        <v>54.983021000000001</v>
      </c>
      <c r="K20">
        <v>46.252051000000002</v>
      </c>
      <c r="L20">
        <v>81.760655999999997</v>
      </c>
      <c r="M20">
        <v>-622.52938600000004</v>
      </c>
      <c r="N20">
        <v>0.89424099999999995</v>
      </c>
      <c r="O20">
        <v>3.0967760000000002</v>
      </c>
      <c r="P20">
        <f t="shared" si="3"/>
        <v>1.4904016666666665E-5</v>
      </c>
      <c r="Q20" cm="1">
        <f t="array" ref="Q20">[1]!PropsSI("D","T",J20+273.15,"P",101325,"Water")</f>
        <v>985.70130701536687</v>
      </c>
      <c r="R20" cm="1">
        <f t="array" ref="R20">[1]!PropsSI("D","T",K20+273.15,"P",101325,"Water")</f>
        <v>989.68347854856302</v>
      </c>
      <c r="S20">
        <f t="shared" si="4"/>
        <v>987.69239278196494</v>
      </c>
      <c r="T20" cm="1">
        <f t="array" ref="T20">[1]!PropsSI("H","T",J20+273.15,"P",101325,"Water")</f>
        <v>230258.05256049871</v>
      </c>
      <c r="U20" cm="1">
        <f t="array" ref="U20">[1]!PropsSI("H","T",K20+273.15,"P",101325,"Water")</f>
        <v>193748.87376755345</v>
      </c>
      <c r="V20">
        <f t="shared" si="5"/>
        <v>537.43642894152379</v>
      </c>
    </row>
    <row r="21" spans="1:22" x14ac:dyDescent="0.2">
      <c r="A21">
        <v>46122.642468171296</v>
      </c>
      <c r="B21">
        <v>20.297504</v>
      </c>
      <c r="C21">
        <v>20.107854</v>
      </c>
      <c r="D21">
        <v>19.756898</v>
      </c>
      <c r="E21">
        <v>19.845597999999999</v>
      </c>
      <c r="F21">
        <v>28.774097999999999</v>
      </c>
      <c r="G21">
        <v>25.573696999999999</v>
      </c>
      <c r="H21">
        <v>24.785260999999998</v>
      </c>
      <c r="I21">
        <v>21.957249000000001</v>
      </c>
      <c r="J21">
        <v>54.982861999999997</v>
      </c>
      <c r="K21">
        <v>46.256811999999996</v>
      </c>
      <c r="L21">
        <v>84.467866999999998</v>
      </c>
      <c r="M21">
        <v>-622.51142800000002</v>
      </c>
      <c r="N21">
        <v>0.89718699999999996</v>
      </c>
      <c r="O21">
        <v>3.4919380000000002</v>
      </c>
      <c r="P21">
        <f t="shared" si="3"/>
        <v>1.4953116666666668E-5</v>
      </c>
      <c r="Q21" cm="1">
        <f t="array" ref="Q21">[1]!PropsSI("D","T",J21+273.15,"P",101325,"Water")</f>
        <v>985.70138398533038</v>
      </c>
      <c r="R21" cm="1">
        <f t="array" ref="R21">[1]!PropsSI("D","T",K21+273.15,"P",101325,"Water")</f>
        <v>989.68144476554369</v>
      </c>
      <c r="S21">
        <f t="shared" si="4"/>
        <v>987.69141437543703</v>
      </c>
      <c r="T21" cm="1">
        <f t="array" ref="T21">[1]!PropsSI("H","T",J21+273.15,"P",101325,"Water")</f>
        <v>230257.38747138204</v>
      </c>
      <c r="U21" cm="1">
        <f t="array" ref="U21">[1]!PropsSI("H","T",K21+273.15,"P",101325,"Water")</f>
        <v>193768.77665914968</v>
      </c>
      <c r="V21">
        <f t="shared" si="5"/>
        <v>538.90266301459769</v>
      </c>
    </row>
    <row r="22" spans="1:22" x14ac:dyDescent="0.2">
      <c r="A22">
        <v>46122.642526041665</v>
      </c>
      <c r="B22">
        <v>20.190093000000001</v>
      </c>
      <c r="C22">
        <v>20.228197000000002</v>
      </c>
      <c r="D22">
        <v>19.725148000000001</v>
      </c>
      <c r="E22">
        <v>19.787286000000002</v>
      </c>
      <c r="F22">
        <v>28.743476999999999</v>
      </c>
      <c r="G22">
        <v>25.465838000000002</v>
      </c>
      <c r="H22">
        <v>24.506495999999999</v>
      </c>
      <c r="I22">
        <v>21.94304</v>
      </c>
      <c r="J22">
        <v>54.978884999999998</v>
      </c>
      <c r="K22">
        <v>46.256335999999997</v>
      </c>
      <c r="L22">
        <v>89.685157000000004</v>
      </c>
      <c r="M22">
        <v>-622.52285600000005</v>
      </c>
      <c r="N22">
        <v>0.89988000000000001</v>
      </c>
      <c r="O22">
        <v>3.669505</v>
      </c>
      <c r="P22">
        <f t="shared" si="3"/>
        <v>1.4998000000000001E-5</v>
      </c>
      <c r="Q22" cm="1">
        <f t="array" ref="Q22">[1]!PropsSI("D","T",J22+273.15,"P",101325,"Water")</f>
        <v>985.70330915121588</v>
      </c>
      <c r="R22" cm="1">
        <f t="array" ref="R22">[1]!PropsSI("D","T",K22+273.15,"P",101325,"Water")</f>
        <v>989.68164810812846</v>
      </c>
      <c r="S22">
        <f t="shared" si="4"/>
        <v>987.69247862967222</v>
      </c>
      <c r="T22" cm="1">
        <f t="array" ref="T22">[1]!PropsSI("H","T",J22+273.15,"P",101325,"Water")</f>
        <v>230240.75188085379</v>
      </c>
      <c r="U22" cm="1">
        <f t="array" ref="U22">[1]!PropsSI("H","T",K22+273.15,"P",101325,"Water")</f>
        <v>193766.78678779985</v>
      </c>
      <c r="V22">
        <f t="shared" si="5"/>
        <v>540.30386470118242</v>
      </c>
    </row>
    <row r="23" spans="1:22" x14ac:dyDescent="0.2">
      <c r="A23">
        <v>46122.642584490743</v>
      </c>
      <c r="B23">
        <v>20.157914999999999</v>
      </c>
      <c r="C23">
        <v>20.195592999999999</v>
      </c>
      <c r="D23">
        <v>19.732482000000001</v>
      </c>
      <c r="E23">
        <v>19.743293000000001</v>
      </c>
      <c r="F23">
        <v>28.749563999999999</v>
      </c>
      <c r="G23">
        <v>25.468715</v>
      </c>
      <c r="H23">
        <v>24.316496000000001</v>
      </c>
      <c r="I23">
        <v>21.557739999999999</v>
      </c>
      <c r="J23">
        <v>54.982543999999997</v>
      </c>
      <c r="K23">
        <v>46.250146999999998</v>
      </c>
      <c r="L23">
        <v>83.650357</v>
      </c>
      <c r="M23">
        <v>-622.45102299999996</v>
      </c>
      <c r="N23">
        <v>0.89536000000000004</v>
      </c>
      <c r="O23">
        <v>3.3726880000000001</v>
      </c>
      <c r="P23">
        <f t="shared" si="3"/>
        <v>1.4922666666666669E-5</v>
      </c>
      <c r="Q23" cm="1">
        <f t="array" ref="Q23">[1]!PropsSI("D","T",J23+273.15,"P",101325,"Water")</f>
        <v>985.70153792475901</v>
      </c>
      <c r="R23" cm="1">
        <f t="array" ref="R23">[1]!PropsSI("D","T",K23+273.15,"P",101325,"Water")</f>
        <v>989.6842918473767</v>
      </c>
      <c r="S23">
        <f t="shared" si="4"/>
        <v>987.69291488606791</v>
      </c>
      <c r="T23" cm="1">
        <f t="array" ref="T23">[1]!PropsSI("H","T",J23+273.15,"P",101325,"Water")</f>
        <v>230256.05729321993</v>
      </c>
      <c r="U23" cm="1">
        <f t="array" ref="U23">[1]!PropsSI("H","T",K23+273.15,"P",101325,"Water")</f>
        <v>193740.91428446054</v>
      </c>
      <c r="V23">
        <f t="shared" si="5"/>
        <v>538.1971360222791</v>
      </c>
    </row>
    <row r="24" spans="1:22" x14ac:dyDescent="0.2">
      <c r="A24">
        <v>46122.642642361112</v>
      </c>
      <c r="B24">
        <v>20.188732999999999</v>
      </c>
      <c r="C24">
        <v>20.111443999999999</v>
      </c>
      <c r="D24">
        <v>19.720548000000001</v>
      </c>
      <c r="E24">
        <v>19.801119</v>
      </c>
      <c r="F24">
        <v>28.738941000000001</v>
      </c>
      <c r="G24">
        <v>25.390194000000001</v>
      </c>
      <c r="H24">
        <v>24.383935999999999</v>
      </c>
      <c r="I24">
        <v>21.775126</v>
      </c>
      <c r="J24">
        <v>54.974429999999998</v>
      </c>
      <c r="K24">
        <v>46.248083999999999</v>
      </c>
      <c r="L24">
        <v>92.003816</v>
      </c>
      <c r="M24">
        <v>-622.49224500000003</v>
      </c>
      <c r="N24">
        <v>0.90191200000000005</v>
      </c>
      <c r="O24">
        <v>3.460855</v>
      </c>
      <c r="P24">
        <f t="shared" si="3"/>
        <v>1.5031866666666667E-5</v>
      </c>
      <c r="Q24" cm="1">
        <f t="array" ref="Q24">[1]!PropsSI("D","T",J24+273.15,"P",101325,"Water")</f>
        <v>985.70546558830097</v>
      </c>
      <c r="R24" cm="1">
        <f t="array" ref="R24">[1]!PropsSI("D","T",K24+273.15,"P",101325,"Water")</f>
        <v>989.6851730353693</v>
      </c>
      <c r="S24">
        <f t="shared" si="4"/>
        <v>987.69531931183519</v>
      </c>
      <c r="T24" cm="1">
        <f t="array" ref="T24">[1]!PropsSI("H","T",J24+273.15,"P",101325,"Water")</f>
        <v>230222.11684721982</v>
      </c>
      <c r="U24" cm="1">
        <f t="array" ref="U24">[1]!PropsSI("H","T",K24+273.15,"P",101325,"Water")</f>
        <v>193732.29011851072</v>
      </c>
      <c r="V24">
        <f t="shared" si="5"/>
        <v>541.76096708654472</v>
      </c>
    </row>
    <row r="25" spans="1:22" x14ac:dyDescent="0.2">
      <c r="A25">
        <v>46122.642700810182</v>
      </c>
      <c r="B25">
        <v>20.060859000000001</v>
      </c>
      <c r="C25">
        <v>19.919605000000001</v>
      </c>
      <c r="D25">
        <v>19.714959</v>
      </c>
      <c r="E25">
        <v>19.701816999999998</v>
      </c>
      <c r="F25">
        <v>28.574733999999999</v>
      </c>
      <c r="G25">
        <v>25.497191000000001</v>
      </c>
      <c r="H25">
        <v>24.836932999999998</v>
      </c>
      <c r="I25">
        <v>22.138356000000002</v>
      </c>
      <c r="J25">
        <v>54.978406999999997</v>
      </c>
      <c r="K25">
        <v>46.242688999999999</v>
      </c>
      <c r="L25">
        <v>96.248093999999995</v>
      </c>
      <c r="M25">
        <v>-622.52775399999996</v>
      </c>
      <c r="N25">
        <v>0.89417599999999997</v>
      </c>
      <c r="O25">
        <v>3.3001649999999998</v>
      </c>
      <c r="P25">
        <f t="shared" si="3"/>
        <v>1.4902933333333333E-5</v>
      </c>
      <c r="Q25" cm="1">
        <f t="array" ref="Q25">[1]!PropsSI("D","T",J25+273.15,"P",101325,"Water")</f>
        <v>985.70354053240931</v>
      </c>
      <c r="R25" cm="1">
        <f t="array" ref="R25">[1]!PropsSI("D","T",K25+273.15,"P",101325,"Water")</f>
        <v>989.68747731292865</v>
      </c>
      <c r="S25">
        <f t="shared" si="4"/>
        <v>987.69550892266898</v>
      </c>
      <c r="T25" cm="1">
        <f t="array" ref="T25">[1]!PropsSI("H","T",J25+273.15,"P",101325,"Water")</f>
        <v>230238.75243130981</v>
      </c>
      <c r="U25" cm="1">
        <f t="array" ref="U25">[1]!PropsSI("H","T",K25+273.15,"P",101325,"Water")</f>
        <v>193709.73686298882</v>
      </c>
      <c r="V25">
        <f t="shared" si="5"/>
        <v>537.69104820162545</v>
      </c>
    </row>
    <row r="26" spans="1:22" x14ac:dyDescent="0.2">
      <c r="A26">
        <v>46122.642758680558</v>
      </c>
      <c r="B26">
        <v>19.916322000000001</v>
      </c>
      <c r="C26">
        <v>19.910278000000002</v>
      </c>
      <c r="D26">
        <v>19.701917999999999</v>
      </c>
      <c r="E26">
        <v>19.679026</v>
      </c>
      <c r="F26">
        <v>28.499578</v>
      </c>
      <c r="G26">
        <v>25.616731000000001</v>
      </c>
      <c r="H26">
        <v>24.813742000000001</v>
      </c>
      <c r="I26">
        <v>22.057210000000001</v>
      </c>
      <c r="J26">
        <v>54.969338</v>
      </c>
      <c r="K26">
        <v>46.24015</v>
      </c>
      <c r="L26">
        <v>86.251042999999996</v>
      </c>
      <c r="M26">
        <v>-622.52163199999995</v>
      </c>
      <c r="N26">
        <v>0.89645799999999998</v>
      </c>
      <c r="O26">
        <v>3.6181909999999999</v>
      </c>
      <c r="P26">
        <f t="shared" si="3"/>
        <v>1.4940966666666668E-5</v>
      </c>
      <c r="Q26" cm="1">
        <f t="array" ref="Q26">[1]!PropsSI("D","T",J26+273.15,"P",101325,"Water")</f>
        <v>985.70793021347185</v>
      </c>
      <c r="R26" cm="1">
        <f t="array" ref="R26">[1]!PropsSI("D","T",K26+273.15,"P",101325,"Water")</f>
        <v>989.68856168512229</v>
      </c>
      <c r="S26">
        <f t="shared" si="4"/>
        <v>987.69824594929707</v>
      </c>
      <c r="T26" cm="1">
        <f t="array" ref="T26">[1]!PropsSI("H","T",J26+273.15,"P",101325,"Water")</f>
        <v>230200.81728445005</v>
      </c>
      <c r="U26" cm="1">
        <f t="array" ref="U26">[1]!PropsSI("H","T",K26+273.15,"P",101325,"Water")</f>
        <v>193699.12283074844</v>
      </c>
      <c r="V26">
        <f t="shared" si="5"/>
        <v>538.66158512057473</v>
      </c>
    </row>
    <row r="27" spans="1:22" x14ac:dyDescent="0.2">
      <c r="A27">
        <v>46122.642817129628</v>
      </c>
      <c r="B27">
        <v>19.936816</v>
      </c>
      <c r="C27">
        <v>19.854884999999999</v>
      </c>
      <c r="D27">
        <v>19.696462</v>
      </c>
      <c r="E27">
        <v>19.691783000000001</v>
      </c>
      <c r="F27">
        <v>28.434875999999999</v>
      </c>
      <c r="G27">
        <v>25.480578999999999</v>
      </c>
      <c r="H27">
        <v>24.410965000000001</v>
      </c>
      <c r="I27">
        <v>22.000717999999999</v>
      </c>
      <c r="J27">
        <v>54.972839</v>
      </c>
      <c r="K27">
        <v>46.236500999999997</v>
      </c>
      <c r="L27">
        <v>91.761787999999996</v>
      </c>
      <c r="M27">
        <v>-622.47347100000002</v>
      </c>
      <c r="N27">
        <v>0.89442500000000003</v>
      </c>
      <c r="O27">
        <v>3.6804589999999999</v>
      </c>
      <c r="P27">
        <f t="shared" si="3"/>
        <v>1.4907083333333333E-5</v>
      </c>
      <c r="Q27" cm="1">
        <f t="array" ref="Q27">[1]!PropsSI("D","T",J27+273.15,"P",101325,"Water")</f>
        <v>985.70623567993425</v>
      </c>
      <c r="R27" cm="1">
        <f t="array" ref="R27">[1]!PropsSI("D","T",K27+273.15,"P",101325,"Water")</f>
        <v>989.69012004560796</v>
      </c>
      <c r="S27">
        <f t="shared" si="4"/>
        <v>987.6981778627711</v>
      </c>
      <c r="T27" cm="1">
        <f t="array" ref="T27">[1]!PropsSI("H","T",J27+273.15,"P",101325,"Water")</f>
        <v>230215.46177860096</v>
      </c>
      <c r="U27" cm="1">
        <f t="array" ref="U27">[1]!PropsSI("H","T",K27+273.15,"P",101325,"Water")</f>
        <v>193683.86855839577</v>
      </c>
      <c r="V27">
        <f t="shared" si="5"/>
        <v>537.88018422991843</v>
      </c>
    </row>
    <row r="28" spans="1:22" x14ac:dyDescent="0.2">
      <c r="A28">
        <v>46122.642874999998</v>
      </c>
      <c r="B28">
        <v>19.963609999999999</v>
      </c>
      <c r="C28">
        <v>19.825945999999998</v>
      </c>
      <c r="D28">
        <v>19.641019</v>
      </c>
      <c r="E28">
        <v>19.660339</v>
      </c>
      <c r="F28">
        <v>28.612921</v>
      </c>
      <c r="G28">
        <v>25.274405999999999</v>
      </c>
      <c r="H28">
        <v>25.014299999999999</v>
      </c>
      <c r="I28">
        <v>21.970841</v>
      </c>
      <c r="J28">
        <v>54.978884999999998</v>
      </c>
      <c r="K28">
        <v>46.227455999999997</v>
      </c>
      <c r="L28">
        <v>87.376700999999997</v>
      </c>
      <c r="M28">
        <v>-622.46449199999995</v>
      </c>
      <c r="N28">
        <v>0.89712599999999998</v>
      </c>
      <c r="O28">
        <v>3.1502379999999999</v>
      </c>
      <c r="P28">
        <f t="shared" si="3"/>
        <v>1.49521E-5</v>
      </c>
      <c r="Q28" cm="1">
        <f t="array" ref="Q28">[1]!PropsSI("D","T",J28+273.15,"P",101325,"Water")</f>
        <v>985.70330915121588</v>
      </c>
      <c r="R28" cm="1">
        <f t="array" ref="R28">[1]!PropsSI("D","T",K28+273.15,"P",101325,"Water")</f>
        <v>989.69398245537138</v>
      </c>
      <c r="S28">
        <f t="shared" si="4"/>
        <v>987.69864580329363</v>
      </c>
      <c r="T28" cm="1">
        <f t="array" ref="T28">[1]!PropsSI("H","T",J28+273.15,"P",101325,"Water")</f>
        <v>230240.75188085379</v>
      </c>
      <c r="U28" cm="1">
        <f t="array" ref="U28">[1]!PropsSI("H","T",K28+273.15,"P",101325,"Water")</f>
        <v>193646.0568710402</v>
      </c>
      <c r="V28">
        <f t="shared" si="5"/>
        <v>540.43663755090256</v>
      </c>
    </row>
    <row r="29" spans="1:22" x14ac:dyDescent="0.2">
      <c r="A29">
        <v>46122.642933449075</v>
      </c>
      <c r="B29">
        <v>20.073366</v>
      </c>
      <c r="C29">
        <v>20.027691000000001</v>
      </c>
      <c r="D29">
        <v>19.825351000000001</v>
      </c>
      <c r="E29">
        <v>19.777754999999999</v>
      </c>
      <c r="F29">
        <v>28.676734</v>
      </c>
      <c r="G29">
        <v>25.481964999999999</v>
      </c>
      <c r="H29">
        <v>24.956001000000001</v>
      </c>
      <c r="I29">
        <v>21.911525999999999</v>
      </c>
      <c r="J29">
        <v>54.977770999999997</v>
      </c>
      <c r="K29">
        <v>46.221584999999997</v>
      </c>
      <c r="L29">
        <v>81.532911999999996</v>
      </c>
      <c r="M29">
        <v>-622.48979599999996</v>
      </c>
      <c r="N29">
        <v>0.89278199999999996</v>
      </c>
      <c r="O29">
        <v>3.7687789999999999</v>
      </c>
      <c r="P29">
        <f t="shared" si="3"/>
        <v>1.4879699999999999E-5</v>
      </c>
      <c r="Q29" cm="1">
        <f t="array" ref="Q29">[1]!PropsSI("D","T",J29+273.15,"P",101325,"Water")</f>
        <v>985.70384839305018</v>
      </c>
      <c r="R29" cm="1">
        <f t="array" ref="R29">[1]!PropsSI("D","T",K29+273.15,"P",101325,"Water")</f>
        <v>989.69648919831775</v>
      </c>
      <c r="S29">
        <f t="shared" si="4"/>
        <v>987.70016879568402</v>
      </c>
      <c r="T29" cm="1">
        <f t="array" ref="T29">[1]!PropsSI("H","T",J29+273.15,"P",101325,"Water")</f>
        <v>230236.09207607296</v>
      </c>
      <c r="U29" cm="1">
        <f t="array" ref="U29">[1]!PropsSI("H","T",K29+273.15,"P",101325,"Water")</f>
        <v>193621.51377204093</v>
      </c>
      <c r="V29">
        <f t="shared" si="5"/>
        <v>538.11282128102414</v>
      </c>
    </row>
    <row r="30" spans="1:22" x14ac:dyDescent="0.2">
      <c r="A30">
        <v>46122.642991898145</v>
      </c>
      <c r="B30">
        <v>20.172122999999999</v>
      </c>
      <c r="C30">
        <v>20.060604000000001</v>
      </c>
      <c r="D30">
        <v>19.824822999999999</v>
      </c>
      <c r="E30">
        <v>19.902940000000001</v>
      </c>
      <c r="F30">
        <v>28.744222000000001</v>
      </c>
      <c r="G30">
        <v>25.521916000000001</v>
      </c>
      <c r="H30">
        <v>24.544578000000001</v>
      </c>
      <c r="I30">
        <v>21.979258999999999</v>
      </c>
      <c r="J30">
        <v>54.971248000000003</v>
      </c>
      <c r="K30">
        <v>46.227455999999997</v>
      </c>
      <c r="L30">
        <v>93.866579999999999</v>
      </c>
      <c r="M30">
        <v>-622.46489999999994</v>
      </c>
      <c r="N30">
        <v>0.89655200000000002</v>
      </c>
      <c r="O30">
        <v>3.8237139999999998</v>
      </c>
      <c r="P30">
        <f t="shared" si="3"/>
        <v>1.4942533333333333E-5</v>
      </c>
      <c r="Q30" cm="1">
        <f t="array" ref="Q30">[1]!PropsSI("D","T",J30+273.15,"P",101325,"Water")</f>
        <v>985.70700575587853</v>
      </c>
      <c r="R30" cm="1">
        <f t="array" ref="R30">[1]!PropsSI("D","T",K30+273.15,"P",101325,"Water")</f>
        <v>989.69398245537138</v>
      </c>
      <c r="S30">
        <f t="shared" si="4"/>
        <v>987.70049410562501</v>
      </c>
      <c r="T30" cm="1">
        <f t="array" ref="T30">[1]!PropsSI("H","T",J30+273.15,"P",101325,"Water")</f>
        <v>230208.80671087999</v>
      </c>
      <c r="U30" cm="1">
        <f t="array" ref="U30">[1]!PropsSI("H","T",K30+273.15,"P",101325,"Water")</f>
        <v>193646.0568710402</v>
      </c>
      <c r="V30">
        <f t="shared" si="5"/>
        <v>539.62039485850096</v>
      </c>
    </row>
    <row r="31" spans="1:22" x14ac:dyDescent="0.2">
      <c r="A31">
        <v>46122.643050347222</v>
      </c>
      <c r="B31">
        <v>20.143037</v>
      </c>
      <c r="C31">
        <v>19.945830999999998</v>
      </c>
      <c r="D31">
        <v>19.913004000000001</v>
      </c>
      <c r="E31">
        <v>19.898295999999998</v>
      </c>
      <c r="F31">
        <v>28.727688000000001</v>
      </c>
      <c r="G31">
        <v>25.502203999999999</v>
      </c>
      <c r="H31">
        <v>24.724577</v>
      </c>
      <c r="I31">
        <v>22.17568</v>
      </c>
      <c r="J31">
        <v>54.974589000000002</v>
      </c>
      <c r="K31">
        <v>46.233485999999999</v>
      </c>
      <c r="L31">
        <v>90.090035</v>
      </c>
      <c r="M31">
        <v>-622.480817</v>
      </c>
      <c r="N31">
        <v>0.899011</v>
      </c>
      <c r="O31">
        <v>3.3805800000000001</v>
      </c>
      <c r="P31">
        <f t="shared" si="3"/>
        <v>1.4983516666666666E-5</v>
      </c>
      <c r="Q31" cm="1">
        <f t="array" ref="Q31">[1]!PropsSI("D","T",J31+273.15,"P",101325,"Water")</f>
        <v>985.70538862665842</v>
      </c>
      <c r="R31" cm="1">
        <f t="array" ref="R31">[1]!PropsSI("D","T",K31+273.15,"P",101325,"Water")</f>
        <v>989.69140757791229</v>
      </c>
      <c r="S31">
        <f t="shared" si="4"/>
        <v>987.69839810228541</v>
      </c>
      <c r="T31" cm="1">
        <f t="array" ref="T31">[1]!PropsSI("H","T",J31+273.15,"P",101325,"Water")</f>
        <v>230222.78193582984</v>
      </c>
      <c r="U31" cm="1">
        <f t="array" ref="U31">[1]!PropsSI("H","T",K31+273.15,"P",101325,"Water")</f>
        <v>193671.26466065118</v>
      </c>
      <c r="V31">
        <f t="shared" si="5"/>
        <v>540.9330466729424</v>
      </c>
    </row>
    <row r="32" spans="1:22" x14ac:dyDescent="0.2">
      <c r="A32">
        <v>46122.643108796299</v>
      </c>
      <c r="B32">
        <v>20.318010999999998</v>
      </c>
      <c r="C32">
        <v>20.061778</v>
      </c>
      <c r="D32">
        <v>19.917477999999999</v>
      </c>
      <c r="E32">
        <v>19.866185000000002</v>
      </c>
      <c r="F32">
        <v>28.814988</v>
      </c>
      <c r="G32">
        <v>25.341743000000001</v>
      </c>
      <c r="H32">
        <v>24.656579000000001</v>
      </c>
      <c r="I32">
        <v>22.019949</v>
      </c>
      <c r="J32">
        <v>54.981112000000003</v>
      </c>
      <c r="K32">
        <v>46.242055000000001</v>
      </c>
      <c r="L32">
        <v>81.501076999999995</v>
      </c>
      <c r="M32">
        <v>-622.50693799999999</v>
      </c>
      <c r="N32">
        <v>0.89327800000000002</v>
      </c>
      <c r="O32">
        <v>3.7244280000000001</v>
      </c>
      <c r="P32">
        <f t="shared" si="3"/>
        <v>1.4887966666666667E-5</v>
      </c>
      <c r="Q32" cm="1">
        <f t="array" ref="Q32">[1]!PropsSI("D","T",J32+273.15,"P",101325,"Water")</f>
        <v>985.70223112851068</v>
      </c>
      <c r="R32" cm="1">
        <f t="array" ref="R32">[1]!PropsSI("D","T",K32+273.15,"P",101325,"Water")</f>
        <v>989.68774808981323</v>
      </c>
      <c r="S32">
        <f t="shared" si="4"/>
        <v>987.69498960916189</v>
      </c>
      <c r="T32" cm="1">
        <f t="array" ref="T32">[1]!PropsSI("H","T",J32+273.15,"P",101325,"Water")</f>
        <v>230250.06730886249</v>
      </c>
      <c r="U32" cm="1">
        <f t="array" ref="U32">[1]!PropsSI("H","T",K32+273.15,"P",101325,"Water")</f>
        <v>193707.08649012155</v>
      </c>
      <c r="V32">
        <f t="shared" si="5"/>
        <v>537.35613105545065</v>
      </c>
    </row>
    <row r="33" spans="1:22" x14ac:dyDescent="0.2">
      <c r="A33">
        <v>46122.643167245369</v>
      </c>
      <c r="B33">
        <v>20.316337999999998</v>
      </c>
      <c r="C33">
        <v>19.975355</v>
      </c>
      <c r="D33">
        <v>19.815051</v>
      </c>
      <c r="E33">
        <v>19.814903000000001</v>
      </c>
      <c r="F33">
        <v>28.801674999999999</v>
      </c>
      <c r="G33">
        <v>25.578140999999999</v>
      </c>
      <c r="H33">
        <v>25.023308</v>
      </c>
      <c r="I33">
        <v>22.412572999999998</v>
      </c>
      <c r="J33">
        <v>54.96902</v>
      </c>
      <c r="K33">
        <v>46.247290999999997</v>
      </c>
      <c r="L33">
        <v>87.557916000000006</v>
      </c>
      <c r="M33">
        <v>-622.53020300000003</v>
      </c>
      <c r="N33">
        <v>0.89567099999999999</v>
      </c>
      <c r="O33">
        <v>3.4088799999999999</v>
      </c>
      <c r="P33">
        <f t="shared" si="3"/>
        <v>1.492785E-5</v>
      </c>
      <c r="Q33" cm="1">
        <f t="array" ref="Q33">[1]!PropsSI("D","T",J33+273.15,"P",101325,"Water")</f>
        <v>985.70808412617055</v>
      </c>
      <c r="R33" cm="1">
        <f t="array" ref="R33">[1]!PropsSI("D","T",K33+273.15,"P",101325,"Water")</f>
        <v>989.68551174894617</v>
      </c>
      <c r="S33">
        <f t="shared" si="4"/>
        <v>987.69679793755836</v>
      </c>
      <c r="T33" cm="1">
        <f t="array" ref="T33">[1]!PropsSI("H","T",J33+273.15,"P",101325,"Water")</f>
        <v>230199.4871078727</v>
      </c>
      <c r="U33" cm="1">
        <f t="array" ref="U33">[1]!PropsSI("H","T",K33+273.15,"P",101325,"Water")</f>
        <v>193728.97506128775</v>
      </c>
      <c r="V33">
        <f t="shared" si="5"/>
        <v>537.72814606846737</v>
      </c>
    </row>
    <row r="34" spans="1:22" x14ac:dyDescent="0.2">
      <c r="A34">
        <v>46122.643225694446</v>
      </c>
      <c r="B34">
        <v>20.067463</v>
      </c>
      <c r="C34">
        <v>19.970048999999999</v>
      </c>
      <c r="D34">
        <v>19.767717000000001</v>
      </c>
      <c r="E34">
        <v>19.798392</v>
      </c>
      <c r="F34">
        <v>28.687221000000001</v>
      </c>
      <c r="G34">
        <v>25.475515000000001</v>
      </c>
      <c r="H34">
        <v>24.699878999999999</v>
      </c>
      <c r="I34">
        <v>21.822502</v>
      </c>
      <c r="J34">
        <v>54.965837999999998</v>
      </c>
      <c r="K34">
        <v>46.249988999999999</v>
      </c>
      <c r="L34">
        <v>90.237781999999996</v>
      </c>
      <c r="M34">
        <v>-622.46612400000004</v>
      </c>
      <c r="N34">
        <v>0.89543399999999995</v>
      </c>
      <c r="O34">
        <v>3.2870499999999998</v>
      </c>
      <c r="P34">
        <f t="shared" si="3"/>
        <v>1.49239E-5</v>
      </c>
      <c r="Q34" cm="1">
        <f t="array" ref="Q34">[1]!PropsSI("D","T",J34+273.15,"P",101325,"Water")</f>
        <v>985.70962418687202</v>
      </c>
      <c r="R34" cm="1">
        <f t="array" ref="R34">[1]!PropsSI("D","T",K34+273.15,"P",101325,"Water")</f>
        <v>989.68435933638523</v>
      </c>
      <c r="S34">
        <f t="shared" si="4"/>
        <v>987.69699176162862</v>
      </c>
      <c r="T34" cm="1">
        <f t="array" ref="T34">[1]!PropsSI("H","T",J34+273.15,"P",101325,"Water")</f>
        <v>230186.17697771027</v>
      </c>
      <c r="U34" cm="1">
        <f t="array" ref="U34">[1]!PropsSI("H","T",K34+273.15,"P",101325,"Water")</f>
        <v>193740.25378114681</v>
      </c>
      <c r="V34">
        <f t="shared" si="5"/>
        <v>537.22351861400125</v>
      </c>
    </row>
    <row r="35" spans="1:22" x14ac:dyDescent="0.2">
      <c r="A35">
        <v>46122.643284143516</v>
      </c>
      <c r="B35">
        <v>20.103283000000001</v>
      </c>
      <c r="C35">
        <v>19.974451999999999</v>
      </c>
      <c r="D35">
        <v>19.767939999999999</v>
      </c>
      <c r="E35">
        <v>19.840209000000002</v>
      </c>
      <c r="F35">
        <v>28.677821999999999</v>
      </c>
      <c r="G35">
        <v>25.436405000000001</v>
      </c>
      <c r="H35">
        <v>24.916516000000001</v>
      </c>
      <c r="I35">
        <v>21.959996</v>
      </c>
      <c r="J35">
        <v>54.961224000000001</v>
      </c>
      <c r="K35">
        <v>46.246338999999999</v>
      </c>
      <c r="L35">
        <v>94.906527999999994</v>
      </c>
      <c r="M35">
        <v>-622.45102299999996</v>
      </c>
      <c r="N35">
        <v>0.89419999999999999</v>
      </c>
      <c r="O35">
        <v>3.2546710000000001</v>
      </c>
      <c r="P35">
        <f t="shared" si="3"/>
        <v>1.4903333333333334E-5</v>
      </c>
      <c r="Q35" cm="1">
        <f t="array" ref="Q35">[1]!PropsSI("D","T",J35+273.15,"P",101325,"Water")</f>
        <v>985.71185721156724</v>
      </c>
      <c r="R35" cm="1">
        <f t="array" ref="R35">[1]!PropsSI("D","T",K35+273.15,"P",101325,"Water")</f>
        <v>989.68591837035819</v>
      </c>
      <c r="S35">
        <f t="shared" si="4"/>
        <v>987.69888779096277</v>
      </c>
      <c r="T35" cm="1">
        <f t="array" ref="T35">[1]!PropsSI("H","T",J35+273.15,"P",101325,"Water")</f>
        <v>230166.87687721752</v>
      </c>
      <c r="U35" cm="1">
        <f t="array" ref="U35">[1]!PropsSI("H","T",K35+273.15,"P",101325,"Water")</f>
        <v>193724.99532064583</v>
      </c>
      <c r="V35">
        <f t="shared" si="5"/>
        <v>536.42470633456912</v>
      </c>
    </row>
    <row r="36" spans="1:22" x14ac:dyDescent="0.2">
      <c r="A36">
        <v>46122.643342013886</v>
      </c>
      <c r="B36">
        <v>20.165441000000001</v>
      </c>
      <c r="C36">
        <v>20.003350999999999</v>
      </c>
      <c r="D36">
        <v>19.78894</v>
      </c>
      <c r="E36">
        <v>19.836403000000001</v>
      </c>
      <c r="F36">
        <v>28.703341000000002</v>
      </c>
      <c r="G36">
        <v>25.482009000000001</v>
      </c>
      <c r="H36">
        <v>24.604137000000001</v>
      </c>
      <c r="I36">
        <v>22.027895000000001</v>
      </c>
      <c r="J36">
        <v>54.966475000000003</v>
      </c>
      <c r="K36">
        <v>46.240625999999999</v>
      </c>
      <c r="L36">
        <v>88.546030000000002</v>
      </c>
      <c r="M36">
        <v>-622.51469299999997</v>
      </c>
      <c r="N36">
        <v>0.90007599999999999</v>
      </c>
      <c r="O36">
        <v>3.6626810000000001</v>
      </c>
      <c r="P36">
        <f t="shared" si="3"/>
        <v>1.5001266666666666E-5</v>
      </c>
      <c r="Q36" cm="1">
        <f t="array" ref="Q36">[1]!PropsSI("D","T",J36+273.15,"P",101325,"Water")</f>
        <v>985.70931588938561</v>
      </c>
      <c r="R36" cm="1">
        <f t="array" ref="R36">[1]!PropsSI("D","T",K36+273.15,"P",101325,"Water")</f>
        <v>989.6883583953886</v>
      </c>
      <c r="S36">
        <f t="shared" si="4"/>
        <v>987.69883714238711</v>
      </c>
      <c r="T36" cm="1">
        <f t="array" ref="T36">[1]!PropsSI("H","T",J36+273.15,"P",101325,"Water")</f>
        <v>230188.84151319452</v>
      </c>
      <c r="U36" cm="1">
        <f t="array" ref="U36">[1]!PropsSI("H","T",K36+273.15,"P",101325,"Water")</f>
        <v>193701.11270034721</v>
      </c>
      <c r="V36">
        <f t="shared" si="5"/>
        <v>540.62895903351102</v>
      </c>
    </row>
    <row r="37" spans="1:22" x14ac:dyDescent="0.2">
      <c r="A37">
        <v>46122.643400462963</v>
      </c>
      <c r="B37">
        <v>20.285651000000001</v>
      </c>
      <c r="C37">
        <v>20.038043999999999</v>
      </c>
      <c r="D37">
        <v>19.785547000000001</v>
      </c>
      <c r="E37">
        <v>19.855566</v>
      </c>
      <c r="F37">
        <v>28.800744999999999</v>
      </c>
      <c r="G37">
        <v>25.399550999999999</v>
      </c>
      <c r="H37">
        <v>25.079678999999999</v>
      </c>
      <c r="I37">
        <v>22.104817000000001</v>
      </c>
      <c r="J37">
        <v>54.961224000000001</v>
      </c>
      <c r="K37">
        <v>46.236818</v>
      </c>
      <c r="L37">
        <v>87.570976999999999</v>
      </c>
      <c r="M37">
        <v>-622.50408100000004</v>
      </c>
      <c r="N37">
        <v>0.89857200000000004</v>
      </c>
      <c r="O37">
        <v>3.6519430000000002</v>
      </c>
      <c r="P37">
        <f t="shared" si="3"/>
        <v>1.4976200000000001E-5</v>
      </c>
      <c r="Q37" cm="1">
        <f t="array" ref="Q37">[1]!PropsSI("D","T",J37+273.15,"P",101325,"Water")</f>
        <v>985.71185721156724</v>
      </c>
      <c r="R37" cm="1">
        <f t="array" ref="R37">[1]!PropsSI("D","T",K37+273.15,"P",101325,"Water")</f>
        <v>989.68998466959408</v>
      </c>
      <c r="S37">
        <f t="shared" si="4"/>
        <v>987.70092094058066</v>
      </c>
      <c r="T37" cm="1">
        <f t="array" ref="T37">[1]!PropsSI("H","T",J37+273.15,"P",101325,"Water")</f>
        <v>230166.87687721752</v>
      </c>
      <c r="U37" cm="1">
        <f t="array" ref="U37">[1]!PropsSI("H","T",K37+273.15,"P",101325,"Water")</f>
        <v>193685.19374449534</v>
      </c>
      <c r="V37">
        <f t="shared" si="5"/>
        <v>539.63729520452421</v>
      </c>
    </row>
    <row r="38" spans="1:22" x14ac:dyDescent="0.2">
      <c r="A38">
        <v>44660.6434589122</v>
      </c>
      <c r="B38">
        <v>20.067299999999999</v>
      </c>
      <c r="C38">
        <v>20.172615</v>
      </c>
      <c r="D38">
        <v>19.765930000000001</v>
      </c>
      <c r="E38">
        <v>19.907160999999999</v>
      </c>
      <c r="F38">
        <v>28.681564999999999</v>
      </c>
      <c r="G38">
        <v>25.614139999999999</v>
      </c>
      <c r="H38">
        <v>24.752222</v>
      </c>
      <c r="I38">
        <v>22.235037999999999</v>
      </c>
      <c r="J38">
        <v>54.962974000000003</v>
      </c>
      <c r="K38">
        <v>46.235073</v>
      </c>
      <c r="L38">
        <v>93.460070000000002</v>
      </c>
      <c r="M38">
        <v>-622.42694200000005</v>
      </c>
      <c r="N38">
        <v>0.89198699999999997</v>
      </c>
      <c r="O38">
        <v>3.5920510000000001</v>
      </c>
      <c r="P38">
        <f t="shared" si="3"/>
        <v>1.4866450000000001E-5</v>
      </c>
      <c r="Q38" cm="1">
        <f t="array" ref="Q38">[1]!PropsSI("D","T",J38+273.15,"P",101325,"Water")</f>
        <v>985.7110102845096</v>
      </c>
      <c r="R38" cm="1">
        <f t="array" ref="R38">[1]!PropsSI("D","T",K38+273.15,"P",101325,"Water")</f>
        <v>989.69072986969786</v>
      </c>
      <c r="S38">
        <f t="shared" si="4"/>
        <v>987.70087007710367</v>
      </c>
      <c r="T38" cm="1">
        <f t="array" ref="T38">[1]!PropsSI("H","T",J38+273.15,"P",101325,"Water")</f>
        <v>230174.19702715927</v>
      </c>
      <c r="U38" cm="1">
        <f t="array" ref="U38">[1]!PropsSI("H","T",K38+273.15,"P",101325,"Water")</f>
        <v>193677.89895089663</v>
      </c>
      <c r="V38">
        <f t="shared" si="5"/>
        <v>535.89724681033761</v>
      </c>
    </row>
    <row r="39" spans="1:22" x14ac:dyDescent="0.2">
      <c r="A39">
        <v>44660.643516782598</v>
      </c>
      <c r="B39">
        <v>20.060683999999998</v>
      </c>
      <c r="C39">
        <v>20.287724000000001</v>
      </c>
      <c r="D39">
        <v>19.826476</v>
      </c>
      <c r="E39">
        <v>19.965931999999999</v>
      </c>
      <c r="F39">
        <v>28.675096</v>
      </c>
      <c r="G39">
        <v>25.602194000000001</v>
      </c>
      <c r="H39">
        <v>24.798476999999998</v>
      </c>
      <c r="I39">
        <v>21.944319</v>
      </c>
      <c r="J39">
        <v>54.96011</v>
      </c>
      <c r="K39">
        <v>46.231422999999999</v>
      </c>
      <c r="L39">
        <v>80.817846000000003</v>
      </c>
      <c r="M39">
        <v>-622.49183700000003</v>
      </c>
      <c r="N39">
        <v>0.89158599999999999</v>
      </c>
      <c r="O39">
        <v>3.3596879999999998</v>
      </c>
      <c r="P39">
        <f t="shared" si="3"/>
        <v>1.4859766666666666E-5</v>
      </c>
      <c r="Q39" cm="1">
        <f t="array" ref="Q39">[1]!PropsSI("D","T",J39+273.15,"P",101325,"Water")</f>
        <v>985.71239633123548</v>
      </c>
      <c r="R39" cm="1">
        <f t="array" ref="R39">[1]!PropsSI("D","T",K39+273.15,"P",101325,"Water")</f>
        <v>989.69228853008724</v>
      </c>
      <c r="S39">
        <f t="shared" si="4"/>
        <v>987.70234243066136</v>
      </c>
      <c r="T39" cm="1">
        <f t="array" ref="T39">[1]!PropsSI("H","T",J39+273.15,"P",101325,"Water")</f>
        <v>230162.21707952907</v>
      </c>
      <c r="U39" cm="1">
        <f t="array" ref="U39">[1]!PropsSI("H","T",K39+273.15,"P",101325,"Water")</f>
        <v>193662.64050226708</v>
      </c>
      <c r="V39">
        <f t="shared" si="5"/>
        <v>535.70524699266934</v>
      </c>
    </row>
    <row r="40" spans="1:22" x14ac:dyDescent="0.2">
      <c r="A40">
        <v>44660.643575231697</v>
      </c>
      <c r="B40">
        <v>20.017928000000001</v>
      </c>
      <c r="C40">
        <v>20.324273999999999</v>
      </c>
      <c r="D40">
        <v>19.831914999999999</v>
      </c>
      <c r="E40">
        <v>19.941212</v>
      </c>
      <c r="F40">
        <v>28.606952</v>
      </c>
      <c r="G40">
        <v>25.642301</v>
      </c>
      <c r="H40">
        <v>24.747907000000001</v>
      </c>
      <c r="I40">
        <v>22.468602000000001</v>
      </c>
      <c r="J40">
        <v>54.959632999999997</v>
      </c>
      <c r="K40">
        <v>46.237453000000002</v>
      </c>
      <c r="L40">
        <v>95.343241000000006</v>
      </c>
      <c r="M40">
        <v>-622.51999899999998</v>
      </c>
      <c r="N40">
        <v>0.89486399999999999</v>
      </c>
      <c r="O40">
        <v>3.6322960000000002</v>
      </c>
      <c r="P40">
        <f t="shared" si="3"/>
        <v>1.4914399999999999E-5</v>
      </c>
      <c r="Q40" cm="1">
        <f t="array" ref="Q40">[1]!PropsSI("D","T",J40+273.15,"P",101325,"Water")</f>
        <v>985.7126271727625</v>
      </c>
      <c r="R40" cm="1">
        <f t="array" ref="R40">[1]!PropsSI("D","T",K40+273.15,"P",101325,"Water")</f>
        <v>989.68971348845935</v>
      </c>
      <c r="S40">
        <f t="shared" si="4"/>
        <v>987.70117033061092</v>
      </c>
      <c r="T40" cm="1">
        <f t="array" ref="T40">[1]!PropsSI("H","T",J40+273.15,"P",101325,"Water")</f>
        <v>230160.22181617038</v>
      </c>
      <c r="U40" cm="1">
        <f t="array" ref="U40">[1]!PropsSI("H","T",K40+273.15,"P",101325,"Water")</f>
        <v>193687.84829707109</v>
      </c>
      <c r="V40">
        <f t="shared" si="5"/>
        <v>537.2734523488258</v>
      </c>
    </row>
    <row r="41" spans="1:22" x14ac:dyDescent="0.2">
      <c r="A41">
        <v>44660.643633680702</v>
      </c>
      <c r="B41">
        <v>20.056559</v>
      </c>
      <c r="C41">
        <v>20.205155000000001</v>
      </c>
      <c r="D41">
        <v>19.824476000000001</v>
      </c>
      <c r="E41">
        <v>19.938215</v>
      </c>
      <c r="F41">
        <v>28.619767</v>
      </c>
      <c r="G41">
        <v>25.488191</v>
      </c>
      <c r="H41">
        <v>24.762111999999998</v>
      </c>
      <c r="I41">
        <v>22.242443000000002</v>
      </c>
      <c r="J41">
        <v>54.962020000000003</v>
      </c>
      <c r="K41">
        <v>46.243640999999997</v>
      </c>
      <c r="L41">
        <v>99.002650000000003</v>
      </c>
      <c r="M41">
        <v>-622.49428599999999</v>
      </c>
      <c r="N41">
        <v>0.89359</v>
      </c>
      <c r="O41">
        <v>3.3787240000000001</v>
      </c>
      <c r="P41">
        <f t="shared" si="3"/>
        <v>1.4893166666666667E-5</v>
      </c>
      <c r="Q41" cm="1">
        <f t="array" ref="Q41">[1]!PropsSI("D","T",J41+273.15,"P",101325,"Water")</f>
        <v>985.71147198310393</v>
      </c>
      <c r="R41" cm="1">
        <f t="array" ref="R41">[1]!PropsSI("D","T",K41+273.15,"P",101325,"Water")</f>
        <v>989.68707071534732</v>
      </c>
      <c r="S41">
        <f t="shared" si="4"/>
        <v>987.69927134922568</v>
      </c>
      <c r="T41" cm="1">
        <f t="array" ref="T41">[1]!PropsSI("H","T",J41+273.15,"P",101325,"Water")</f>
        <v>230170.20649957232</v>
      </c>
      <c r="U41" cm="1">
        <f t="array" ref="U41">[1]!PropsSI("H","T",K41+273.15,"P",101325,"Water")</f>
        <v>193713.71660289555</v>
      </c>
      <c r="V41">
        <f t="shared" si="5"/>
        <v>536.2738677546505</v>
      </c>
    </row>
    <row r="42" spans="1:22" x14ac:dyDescent="0.2">
      <c r="A42">
        <v>46122.643692129626</v>
      </c>
      <c r="B42">
        <v>20.068235000000001</v>
      </c>
      <c r="C42">
        <v>20.253184999999998</v>
      </c>
      <c r="D42">
        <v>19.833033</v>
      </c>
      <c r="E42">
        <v>19.960242000000001</v>
      </c>
      <c r="F42">
        <v>28.699195</v>
      </c>
      <c r="G42">
        <v>25.559494999999998</v>
      </c>
      <c r="H42">
        <v>24.827189000000001</v>
      </c>
      <c r="I42">
        <v>22.042618000000001</v>
      </c>
      <c r="J42">
        <v>54.965519999999998</v>
      </c>
      <c r="K42">
        <v>46.242372000000003</v>
      </c>
      <c r="L42">
        <v>85.199258999999998</v>
      </c>
      <c r="M42">
        <v>-622.50653</v>
      </c>
      <c r="N42">
        <v>0.89661800000000003</v>
      </c>
      <c r="O42">
        <v>3.264583</v>
      </c>
      <c r="P42">
        <f t="shared" si="3"/>
        <v>1.4943633333333334E-5</v>
      </c>
      <c r="Q42" cm="1">
        <f t="array" ref="Q42">[1]!PropsSI("D","T",J42+273.15,"P",101325,"Water")</f>
        <v>985.7097780926847</v>
      </c>
      <c r="R42" cm="1">
        <f t="array" ref="R42">[1]!PropsSI("D","T",K42+273.15,"P",101325,"Water")</f>
        <v>989.68761270172149</v>
      </c>
      <c r="S42">
        <f t="shared" si="4"/>
        <v>987.6986953972031</v>
      </c>
      <c r="T42" cm="1">
        <f t="array" ref="T42">[1]!PropsSI("H","T",J42+273.15,"P",101325,"Water")</f>
        <v>230184.84680150033</v>
      </c>
      <c r="U42" cm="1">
        <f t="array" ref="U42">[1]!PropsSI("H","T",K42+273.15,"P",101325,"Water")</f>
        <v>193708.41167652275</v>
      </c>
      <c r="V42">
        <f t="shared" si="5"/>
        <v>538.38514788490988</v>
      </c>
    </row>
    <row r="43" spans="1:22" x14ac:dyDescent="0.2">
      <c r="A43">
        <v>46122.643750578703</v>
      </c>
      <c r="B43">
        <v>20.273046999999998</v>
      </c>
      <c r="C43">
        <v>20.303025000000002</v>
      </c>
      <c r="D43">
        <v>19.767938999999998</v>
      </c>
      <c r="E43">
        <v>19.841816999999999</v>
      </c>
      <c r="F43">
        <v>28.750181000000001</v>
      </c>
      <c r="G43">
        <v>25.677616</v>
      </c>
      <c r="H43">
        <v>25.043274</v>
      </c>
      <c r="I43">
        <v>22.312484000000001</v>
      </c>
      <c r="J43">
        <v>54.966475000000003</v>
      </c>
      <c r="K43">
        <v>46.247608</v>
      </c>
      <c r="L43">
        <v>83.637704999999997</v>
      </c>
      <c r="M43">
        <v>-622.51510099999996</v>
      </c>
      <c r="N43">
        <v>0.89464699999999997</v>
      </c>
      <c r="O43">
        <v>3.4419710000000001</v>
      </c>
      <c r="P43">
        <f t="shared" si="3"/>
        <v>1.4910783333333335E-5</v>
      </c>
      <c r="Q43" cm="1">
        <f t="array" ref="Q43">[1]!PropsSI("D","T",J43+273.15,"P",101325,"Water")</f>
        <v>985.70931588938561</v>
      </c>
      <c r="R43" cm="1">
        <f t="array" ref="R43">[1]!PropsSI("D","T",K43+273.15,"P",101325,"Water")</f>
        <v>989.68537634946256</v>
      </c>
      <c r="S43">
        <f t="shared" si="4"/>
        <v>987.69734611942408</v>
      </c>
      <c r="T43" cm="1">
        <f t="array" ref="T43">[1]!PropsSI("H","T",J43+273.15,"P",101325,"Water")</f>
        <v>230188.84151319452</v>
      </c>
      <c r="U43" cm="1">
        <f t="array" ref="U43">[1]!PropsSI("H","T",K43+273.15,"P",101325,"Water")</f>
        <v>193730.30024806614</v>
      </c>
      <c r="V43">
        <f t="shared" si="5"/>
        <v>536.93737420052639</v>
      </c>
    </row>
    <row r="44" spans="1:22" x14ac:dyDescent="0.2">
      <c r="A44">
        <v>46122.643809027781</v>
      </c>
      <c r="B44">
        <v>20.014423000000001</v>
      </c>
      <c r="C44">
        <v>20.213763</v>
      </c>
      <c r="D44">
        <v>19.804524000000001</v>
      </c>
      <c r="E44">
        <v>19.899626000000001</v>
      </c>
      <c r="F44">
        <v>28.623906000000002</v>
      </c>
      <c r="G44">
        <v>25.737866</v>
      </c>
      <c r="H44">
        <v>24.784597000000002</v>
      </c>
      <c r="I44">
        <v>21.713656</v>
      </c>
      <c r="J44">
        <v>54.970134000000002</v>
      </c>
      <c r="K44">
        <v>46.246656000000002</v>
      </c>
      <c r="L44">
        <v>86.712653000000003</v>
      </c>
      <c r="M44">
        <v>-622.47755199999995</v>
      </c>
      <c r="N44">
        <v>0.89400299999999999</v>
      </c>
      <c r="O44">
        <v>3.5081150000000001</v>
      </c>
      <c r="P44">
        <f t="shared" si="3"/>
        <v>1.490005E-5</v>
      </c>
      <c r="Q44" cm="1">
        <f t="array" ref="Q44">[1]!PropsSI("D","T",J44+273.15,"P",101325,"Water")</f>
        <v>985.70754494488529</v>
      </c>
      <c r="R44" cm="1">
        <f t="array" ref="R44">[1]!PropsSI("D","T",K44+273.15,"P",101325,"Water")</f>
        <v>989.68578297294607</v>
      </c>
      <c r="S44">
        <f t="shared" si="4"/>
        <v>987.69666395891568</v>
      </c>
      <c r="T44" cm="1">
        <f t="array" ref="T44">[1]!PropsSI("H","T",J44+273.15,"P",101325,"Water")</f>
        <v>230204.14690914209</v>
      </c>
      <c r="U44" cm="1">
        <f t="array" ref="U44">[1]!PropsSI("H","T",K44+273.15,"P",101325,"Water")</f>
        <v>193726.32050733475</v>
      </c>
      <c r="V44">
        <f t="shared" si="5"/>
        <v>536.83431038988203</v>
      </c>
    </row>
    <row r="45" spans="1:22" x14ac:dyDescent="0.2">
      <c r="A45">
        <v>46122.64386689815</v>
      </c>
      <c r="B45">
        <v>20.001076000000001</v>
      </c>
      <c r="C45">
        <v>20.091394000000001</v>
      </c>
      <c r="D45">
        <v>19.825889</v>
      </c>
      <c r="E45">
        <v>19.867685999999999</v>
      </c>
      <c r="F45">
        <v>28.612915999999998</v>
      </c>
      <c r="G45">
        <v>25.5943</v>
      </c>
      <c r="H45">
        <v>25.109185</v>
      </c>
      <c r="I45">
        <v>22.097857000000001</v>
      </c>
      <c r="J45">
        <v>54.963929</v>
      </c>
      <c r="K45">
        <v>46.235866000000001</v>
      </c>
      <c r="L45">
        <v>86.455522999999999</v>
      </c>
      <c r="M45">
        <v>-622.48244999999997</v>
      </c>
      <c r="N45">
        <v>0.89603999999999995</v>
      </c>
      <c r="O45">
        <v>3.52156</v>
      </c>
      <c r="P45">
        <f t="shared" si="3"/>
        <v>1.4934E-5</v>
      </c>
      <c r="Q45" cm="1">
        <f t="array" ref="Q45">[1]!PropsSI("D","T",J45+273.15,"P",101325,"Water")</f>
        <v>985.71054809631482</v>
      </c>
      <c r="R45" cm="1">
        <f t="array" ref="R45">[1]!PropsSI("D","T",K45+273.15,"P",101325,"Water")</f>
        <v>989.69039122261404</v>
      </c>
      <c r="S45">
        <f t="shared" si="4"/>
        <v>987.70046965946449</v>
      </c>
      <c r="T45" cm="1">
        <f t="array" ref="T45">[1]!PropsSI("H","T",J45+273.15,"P",101325,"Water")</f>
        <v>230178.19173796027</v>
      </c>
      <c r="U45" cm="1">
        <f t="array" ref="U45">[1]!PropsSI("H","T",K45+273.15,"P",101325,"Water")</f>
        <v>193681.21400598437</v>
      </c>
      <c r="V45">
        <f t="shared" si="5"/>
        <v>538.34205729025064</v>
      </c>
    </row>
    <row r="46" spans="1:22" x14ac:dyDescent="0.2">
      <c r="A46">
        <v>46122.64392534722</v>
      </c>
      <c r="B46">
        <v>20.069635000000002</v>
      </c>
      <c r="C46">
        <v>20.205580999999999</v>
      </c>
      <c r="D46">
        <v>19.805630000000001</v>
      </c>
      <c r="E46">
        <v>19.874752999999998</v>
      </c>
      <c r="F46">
        <v>28.703313000000001</v>
      </c>
      <c r="G46">
        <v>25.532283</v>
      </c>
      <c r="H46">
        <v>24.778582</v>
      </c>
      <c r="I46">
        <v>21.877524000000001</v>
      </c>
      <c r="J46">
        <v>54.969338</v>
      </c>
      <c r="K46">
        <v>46.237135000000002</v>
      </c>
      <c r="L46">
        <v>92.237682000000007</v>
      </c>
      <c r="M46">
        <v>-622.50693799999999</v>
      </c>
      <c r="N46">
        <v>0.89299099999999998</v>
      </c>
      <c r="O46">
        <v>3.3672490000000002</v>
      </c>
      <c r="P46">
        <f t="shared" si="3"/>
        <v>1.4883183333333333E-5</v>
      </c>
      <c r="Q46" cm="1">
        <f t="array" ref="Q46">[1]!PropsSI("D","T",J46+273.15,"P",101325,"Water")</f>
        <v>985.70793021347185</v>
      </c>
      <c r="R46" cm="1">
        <f t="array" ref="R46">[1]!PropsSI("D","T",K46+273.15,"P",101325,"Water")</f>
        <v>989.68984929292901</v>
      </c>
      <c r="S46">
        <f t="shared" si="4"/>
        <v>987.69888975320043</v>
      </c>
      <c r="T46" cm="1">
        <f t="array" ref="T46">[1]!PropsSI("H","T",J46+273.15,"P",101325,"Water")</f>
        <v>230200.81728445005</v>
      </c>
      <c r="U46" cm="1">
        <f t="array" ref="U46">[1]!PropsSI("H","T",K46+273.15,"P",101325,"Water")</f>
        <v>193686.51893054729</v>
      </c>
      <c r="V46">
        <f t="shared" si="5"/>
        <v>536.76397066738036</v>
      </c>
    </row>
    <row r="47" spans="1:22" x14ac:dyDescent="0.2">
      <c r="A47">
        <v>46122.643983796297</v>
      </c>
      <c r="B47">
        <v>19.976825000000002</v>
      </c>
      <c r="C47">
        <v>20.198080999999998</v>
      </c>
      <c r="D47">
        <v>19.899827999999999</v>
      </c>
      <c r="E47">
        <v>19.928916999999998</v>
      </c>
      <c r="F47">
        <v>28.591263000000001</v>
      </c>
      <c r="G47">
        <v>25.533815000000001</v>
      </c>
      <c r="H47">
        <v>24.708355999999998</v>
      </c>
      <c r="I47">
        <v>21.887920000000001</v>
      </c>
      <c r="J47">
        <v>54.966475000000003</v>
      </c>
      <c r="K47">
        <v>46.232534000000001</v>
      </c>
      <c r="L47">
        <v>91.379766000000004</v>
      </c>
      <c r="M47">
        <v>-622.50857099999996</v>
      </c>
      <c r="N47">
        <v>0.89708100000000002</v>
      </c>
      <c r="O47">
        <v>3.410075</v>
      </c>
      <c r="P47">
        <f t="shared" si="3"/>
        <v>1.495135E-5</v>
      </c>
      <c r="Q47" cm="1">
        <f t="array" ref="Q47">[1]!PropsSI("D","T",J47+273.15,"P",101325,"Water")</f>
        <v>985.70931588938561</v>
      </c>
      <c r="R47" cm="1">
        <f t="array" ref="R47">[1]!PropsSI("D","T",K47+273.15,"P",101325,"Water")</f>
        <v>989.69181410916292</v>
      </c>
      <c r="S47">
        <f t="shared" si="4"/>
        <v>987.70056499927432</v>
      </c>
      <c r="T47" cm="1">
        <f t="array" ref="T47">[1]!PropsSI("H","T",J47+273.15,"P",101325,"Water")</f>
        <v>230188.84151319452</v>
      </c>
      <c r="U47" cm="1">
        <f t="array" ref="U47">[1]!PropsSI("H","T",K47+273.15,"P",101325,"Water")</f>
        <v>193667.28492285457</v>
      </c>
      <c r="V47">
        <f t="shared" si="5"/>
        <v>539.33051076883612</v>
      </c>
    </row>
    <row r="48" spans="1:22" x14ac:dyDescent="0.2">
      <c r="A48">
        <v>46122.644042245367</v>
      </c>
      <c r="B48">
        <v>20.031656999999999</v>
      </c>
      <c r="C48">
        <v>20.173034000000001</v>
      </c>
      <c r="D48">
        <v>19.856207999999999</v>
      </c>
      <c r="E48">
        <v>19.926418999999999</v>
      </c>
      <c r="F48">
        <v>28.620377000000001</v>
      </c>
      <c r="G48">
        <v>25.668047999999999</v>
      </c>
      <c r="H48">
        <v>24.760200999999999</v>
      </c>
      <c r="I48">
        <v>22.117736000000001</v>
      </c>
      <c r="J48">
        <v>54.962496999999999</v>
      </c>
      <c r="K48">
        <v>46.238087999999998</v>
      </c>
      <c r="L48">
        <v>87.402822</v>
      </c>
      <c r="M48">
        <v>-622.50040799999999</v>
      </c>
      <c r="N48">
        <v>0.89604399999999995</v>
      </c>
      <c r="O48">
        <v>3.3599800000000002</v>
      </c>
      <c r="P48">
        <f t="shared" si="3"/>
        <v>1.4934066666666665E-5</v>
      </c>
      <c r="Q48" cm="1">
        <f t="array" ref="Q48">[1]!PropsSI("D","T",J48+273.15,"P",101325,"Water")</f>
        <v>985.71124113452186</v>
      </c>
      <c r="R48" cm="1">
        <f t="array" ref="R48">[1]!PropsSI("D","T",K48+273.15,"P",101325,"Water")</f>
        <v>989.68944230455975</v>
      </c>
      <c r="S48">
        <f t="shared" si="4"/>
        <v>987.7003417195408</v>
      </c>
      <c r="T48" cm="1">
        <f t="array" ref="T48">[1]!PropsSI("H","T",J48+273.15,"P",101325,"Water")</f>
        <v>230172.20176332223</v>
      </c>
      <c r="U48" cm="1">
        <f t="array" ref="U48">[1]!PropsSI("H","T",K48+273.15,"P",101325,"Water")</f>
        <v>193690.50284967068</v>
      </c>
      <c r="V48">
        <f t="shared" si="5"/>
        <v>538.11902234403181</v>
      </c>
    </row>
    <row r="49" spans="1:22" x14ac:dyDescent="0.2">
      <c r="A49">
        <v>44660.644100694597</v>
      </c>
      <c r="B49">
        <v>20.164802000000002</v>
      </c>
      <c r="C49">
        <v>20.174327000000002</v>
      </c>
      <c r="D49">
        <v>19.877237000000001</v>
      </c>
      <c r="E49">
        <v>19.981698999999999</v>
      </c>
      <c r="F49">
        <v>28.679131000000002</v>
      </c>
      <c r="G49">
        <v>25.606451</v>
      </c>
      <c r="H49">
        <v>24.757121999999999</v>
      </c>
      <c r="I49">
        <v>22.018446000000001</v>
      </c>
      <c r="J49">
        <v>54.966155999999998</v>
      </c>
      <c r="K49">
        <v>46.238563999999997</v>
      </c>
      <c r="L49">
        <v>84.869479999999996</v>
      </c>
      <c r="M49">
        <v>-622.45673699999998</v>
      </c>
      <c r="N49">
        <v>0.89973599999999998</v>
      </c>
      <c r="O49">
        <v>3.4055119999999999</v>
      </c>
      <c r="P49">
        <f t="shared" si="3"/>
        <v>1.4995600000000001E-5</v>
      </c>
      <c r="Q49" cm="1">
        <f t="array" ref="Q49">[1]!PropsSI("D","T",J49+273.15,"P",101325,"Water")</f>
        <v>985.70947028044714</v>
      </c>
      <c r="R49" cm="1">
        <f t="array" ref="R49">[1]!PropsSI("D","T",K49+273.15,"P",101325,"Water")</f>
        <v>989.68923902156223</v>
      </c>
      <c r="S49">
        <f t="shared" si="4"/>
        <v>987.69935465100468</v>
      </c>
      <c r="T49" cm="1">
        <f t="array" ref="T49">[1]!PropsSI("H","T",J49+273.15,"P",101325,"Water")</f>
        <v>230187.50715396265</v>
      </c>
      <c r="U49" cm="1">
        <f t="array" ref="U49">[1]!PropsSI("H","T",K49+273.15,"P",101325,"Water")</f>
        <v>193692.49271915987</v>
      </c>
      <c r="V49">
        <f t="shared" si="5"/>
        <v>540.53293022880416</v>
      </c>
    </row>
    <row r="50" spans="1:22" x14ac:dyDescent="0.2">
      <c r="A50" t="s">
        <v>22</v>
      </c>
      <c r="B50">
        <v>20.119530999999998</v>
      </c>
      <c r="C50">
        <v>20.429876</v>
      </c>
      <c r="D50">
        <v>20.071249999999999</v>
      </c>
      <c r="E50">
        <v>20.154869999999999</v>
      </c>
      <c r="F50">
        <v>28.709053000000001</v>
      </c>
      <c r="G50">
        <v>25.541902</v>
      </c>
      <c r="H50">
        <v>24.767364000000001</v>
      </c>
      <c r="I50">
        <v>21.735982</v>
      </c>
      <c r="J50">
        <v>54.965679000000002</v>
      </c>
      <c r="K50">
        <v>46.243006999999999</v>
      </c>
      <c r="L50">
        <v>88.219108000000006</v>
      </c>
      <c r="M50">
        <v>-622.50163299999997</v>
      </c>
      <c r="N50">
        <v>0.89191799999999999</v>
      </c>
      <c r="O50">
        <v>3.5578409999999998</v>
      </c>
      <c r="P50">
        <f t="shared" si="3"/>
        <v>1.48653E-5</v>
      </c>
      <c r="Q50" cm="1">
        <f t="array" ref="Q50">[1]!PropsSI("D","T",J50+273.15,"P",101325,"Water")</f>
        <v>985.709701139858</v>
      </c>
      <c r="R50" cm="1">
        <f t="array" ref="R50">[1]!PropsSI("D","T",K50+273.15,"P",101325,"Water")</f>
        <v>989.68734149638158</v>
      </c>
      <c r="S50">
        <f t="shared" si="4"/>
        <v>987.69852131811979</v>
      </c>
      <c r="T50" cm="1">
        <f t="array" ref="T50">[1]!PropsSI("H","T",J50+273.15,"P",101325,"Water")</f>
        <v>230185.51188962546</v>
      </c>
      <c r="U50" cm="1">
        <f t="array" ref="U50">[1]!PropsSI("H","T",K50+273.15,"P",101325,"Water")</f>
        <v>193711.06622983626</v>
      </c>
      <c r="V50">
        <f t="shared" si="5"/>
        <v>535.53367132194205</v>
      </c>
    </row>
    <row r="51" spans="1:22" x14ac:dyDescent="0.2">
      <c r="A51">
        <v>46122.644217013891</v>
      </c>
      <c r="B51">
        <v>20.255927</v>
      </c>
      <c r="C51">
        <v>20.1876</v>
      </c>
      <c r="D51">
        <v>20.025399</v>
      </c>
      <c r="E51">
        <v>20.06101</v>
      </c>
      <c r="F51">
        <v>28.785416000000001</v>
      </c>
      <c r="G51">
        <v>25.464960000000001</v>
      </c>
      <c r="H51">
        <v>24.802095000000001</v>
      </c>
      <c r="I51">
        <v>21.898354000000001</v>
      </c>
      <c r="J51">
        <v>54.961224000000001</v>
      </c>
      <c r="K51">
        <v>46.246498000000003</v>
      </c>
      <c r="L51">
        <v>81.085588000000001</v>
      </c>
      <c r="M51">
        <v>-622.46367499999997</v>
      </c>
      <c r="N51">
        <v>0.89796600000000004</v>
      </c>
      <c r="O51">
        <v>3.5058919999999998</v>
      </c>
      <c r="P51">
        <f t="shared" si="3"/>
        <v>1.4966100000000001E-5</v>
      </c>
      <c r="Q51" cm="1">
        <f t="array" ref="Q51">[1]!PropsSI("D","T",J51+273.15,"P",101325,"Water")</f>
        <v>985.71185721156724</v>
      </c>
      <c r="R51" cm="1">
        <f t="array" ref="R51">[1]!PropsSI("D","T",K51+273.15,"P",101325,"Water")</f>
        <v>989.68585045818975</v>
      </c>
      <c r="S51">
        <f t="shared" si="4"/>
        <v>987.69885383487849</v>
      </c>
      <c r="T51" cm="1">
        <f t="array" ref="T51">[1]!PropsSI("H","T",J51+273.15,"P",101325,"Water")</f>
        <v>230166.87687721752</v>
      </c>
      <c r="U51" cm="1">
        <f t="array" ref="U51">[1]!PropsSI("H","T",K51+273.15,"P",101325,"Water")</f>
        <v>193725.66000417885</v>
      </c>
      <c r="V51">
        <f t="shared" si="5"/>
        <v>538.67406112585502</v>
      </c>
    </row>
    <row r="52" spans="1:22" x14ac:dyDescent="0.2">
      <c r="A52">
        <v>46122.644275462961</v>
      </c>
      <c r="B52">
        <v>20.110593000000001</v>
      </c>
      <c r="C52">
        <v>20.034417999999999</v>
      </c>
      <c r="D52">
        <v>19.894069999999999</v>
      </c>
      <c r="E52">
        <v>19.990545999999998</v>
      </c>
      <c r="F52">
        <v>28.738095000000001</v>
      </c>
      <c r="G52">
        <v>25.462292999999999</v>
      </c>
      <c r="H52">
        <v>24.674823</v>
      </c>
      <c r="I52">
        <v>21.909376999999999</v>
      </c>
      <c r="J52">
        <v>54.953268999999999</v>
      </c>
      <c r="K52">
        <v>46.246656000000002</v>
      </c>
      <c r="L52">
        <v>83.362616000000003</v>
      </c>
      <c r="M52">
        <v>-622.48449100000005</v>
      </c>
      <c r="N52">
        <v>0.89552799999999999</v>
      </c>
      <c r="O52">
        <v>3.5626449999999998</v>
      </c>
      <c r="P52">
        <f t="shared" si="3"/>
        <v>1.4925466666666668E-5</v>
      </c>
      <c r="Q52" cm="1">
        <f t="array" ref="Q52">[1]!PropsSI("D","T",J52+273.15,"P",101325,"Water")</f>
        <v>985.71570686023176</v>
      </c>
      <c r="R52" cm="1">
        <f t="array" ref="R52">[1]!PropsSI("D","T",K52+273.15,"P",101325,"Water")</f>
        <v>989.68578297294607</v>
      </c>
      <c r="S52">
        <f t="shared" si="4"/>
        <v>987.70074491658897</v>
      </c>
      <c r="T52" cm="1">
        <f t="array" ref="T52">[1]!PropsSI("H","T",J52+273.15,"P",101325,"Water")</f>
        <v>230133.60158119982</v>
      </c>
      <c r="U52" cm="1">
        <f t="array" ref="U52">[1]!PropsSI("H","T",K52+273.15,"P",101325,"Water")</f>
        <v>193726.32050733475</v>
      </c>
      <c r="V52">
        <f t="shared" si="5"/>
        <v>536.71229825724822</v>
      </c>
    </row>
    <row r="53" spans="1:22" x14ac:dyDescent="0.2">
      <c r="A53">
        <v>46122.644333912038</v>
      </c>
      <c r="B53">
        <v>20.129299</v>
      </c>
      <c r="C53">
        <v>20.085014999999999</v>
      </c>
      <c r="D53">
        <v>19.855732</v>
      </c>
      <c r="E53">
        <v>19.93468</v>
      </c>
      <c r="F53">
        <v>28.713108999999999</v>
      </c>
      <c r="G53">
        <v>25.321176000000001</v>
      </c>
      <c r="H53">
        <v>24.850517</v>
      </c>
      <c r="I53">
        <v>22.160060999999999</v>
      </c>
      <c r="J53">
        <v>54.961224000000001</v>
      </c>
      <c r="K53">
        <v>46.242372000000003</v>
      </c>
      <c r="L53">
        <v>87.999934999999994</v>
      </c>
      <c r="M53">
        <v>-622.50408100000004</v>
      </c>
      <c r="N53">
        <v>0.89591699999999996</v>
      </c>
      <c r="O53">
        <v>3.3171680000000001</v>
      </c>
      <c r="P53">
        <f t="shared" si="3"/>
        <v>1.493195E-5</v>
      </c>
      <c r="Q53" cm="1">
        <f t="array" ref="Q53">[1]!PropsSI("D","T",J53+273.15,"P",101325,"Water")</f>
        <v>985.71185721156724</v>
      </c>
      <c r="R53" cm="1">
        <f t="array" ref="R53">[1]!PropsSI("D","T",K53+273.15,"P",101325,"Water")</f>
        <v>989.68761270172149</v>
      </c>
      <c r="S53">
        <f t="shared" si="4"/>
        <v>987.69973495664431</v>
      </c>
      <c r="T53" cm="1">
        <f t="array" ref="T53">[1]!PropsSI("H","T",J53+273.15,"P",101325,"Water")</f>
        <v>230166.87687721752</v>
      </c>
      <c r="U53" cm="1">
        <f t="array" ref="U53">[1]!PropsSI("H","T",K53+273.15,"P",101325,"Water")</f>
        <v>193708.41167652275</v>
      </c>
      <c r="V53">
        <f t="shared" si="5"/>
        <v>537.69976461769886</v>
      </c>
    </row>
    <row r="54" spans="1:22" x14ac:dyDescent="0.2">
      <c r="A54">
        <v>46122.644392361108</v>
      </c>
      <c r="B54">
        <v>20.137981</v>
      </c>
      <c r="C54">
        <v>20.094553999999999</v>
      </c>
      <c r="D54">
        <v>19.816278000000001</v>
      </c>
      <c r="E54">
        <v>19.907351999999999</v>
      </c>
      <c r="F54">
        <v>28.755258999999999</v>
      </c>
      <c r="G54">
        <v>25.400545000000001</v>
      </c>
      <c r="H54">
        <v>25.049045</v>
      </c>
      <c r="I54">
        <v>21.95195</v>
      </c>
      <c r="J54">
        <v>54.959950999999997</v>
      </c>
      <c r="K54">
        <v>46.237769999999998</v>
      </c>
      <c r="L54">
        <v>84.100129999999993</v>
      </c>
      <c r="M54">
        <v>-622.50244899999996</v>
      </c>
      <c r="N54">
        <v>0.89027800000000001</v>
      </c>
      <c r="O54">
        <v>3.3816220000000001</v>
      </c>
      <c r="P54">
        <f t="shared" si="3"/>
        <v>1.4837966666666666E-5</v>
      </c>
      <c r="Q54" cm="1">
        <f t="array" ref="Q54">[1]!PropsSI("D","T",J54+273.15,"P",101325,"Water")</f>
        <v>985.71247327856383</v>
      </c>
      <c r="R54" cm="1">
        <f t="array" ref="R54">[1]!PropsSI("D","T",K54+273.15,"P",101325,"Water")</f>
        <v>989.68957811037899</v>
      </c>
      <c r="S54">
        <f t="shared" si="4"/>
        <v>987.70102569447135</v>
      </c>
      <c r="T54" cm="1">
        <f t="array" ref="T54">[1]!PropsSI("H","T",J54+273.15,"P",101325,"Water")</f>
        <v>230161.55199174519</v>
      </c>
      <c r="U54" cm="1">
        <f t="array" ref="U54">[1]!PropsSI("H","T",K54+273.15,"P",101325,"Water")</f>
        <v>193689.17348317869</v>
      </c>
      <c r="V54">
        <f t="shared" si="5"/>
        <v>534.52002762558641</v>
      </c>
    </row>
    <row r="55" spans="1:22" x14ac:dyDescent="0.2">
      <c r="A55">
        <v>46122.644450810185</v>
      </c>
      <c r="B55">
        <v>20.042348</v>
      </c>
      <c r="C55">
        <v>20.020619</v>
      </c>
      <c r="D55">
        <v>19.802955000000001</v>
      </c>
      <c r="E55">
        <v>19.904968</v>
      </c>
      <c r="F55">
        <v>28.666097000000001</v>
      </c>
      <c r="G55">
        <v>25.564402000000001</v>
      </c>
      <c r="H55">
        <v>24.694081000000001</v>
      </c>
      <c r="I55">
        <v>22.286038999999999</v>
      </c>
      <c r="J55">
        <v>54.964247</v>
      </c>
      <c r="K55">
        <v>46.230311999999998</v>
      </c>
      <c r="L55">
        <v>88.672555000000003</v>
      </c>
      <c r="M55">
        <v>-622.49959200000001</v>
      </c>
      <c r="N55">
        <v>0.89757299999999995</v>
      </c>
      <c r="O55">
        <v>3.1901269999999999</v>
      </c>
      <c r="P55">
        <f t="shared" si="3"/>
        <v>1.4959549999999998E-5</v>
      </c>
      <c r="Q55" cm="1">
        <f t="array" ref="Q55">[1]!PropsSI("D","T",J55+273.15,"P",101325,"Water")</f>
        <v>985.71039419364172</v>
      </c>
      <c r="R55" cm="1">
        <f t="array" ref="R55">[1]!PropsSI("D","T",K55+273.15,"P",101325,"Water")</f>
        <v>989.69276294253814</v>
      </c>
      <c r="S55">
        <f t="shared" si="4"/>
        <v>987.70157856808987</v>
      </c>
      <c r="T55" cm="1">
        <f t="array" ref="T55">[1]!PropsSI("H","T",J55+273.15,"P",101325,"Water")</f>
        <v>230179.52191401852</v>
      </c>
      <c r="U55" cm="1">
        <f t="array" ref="U55">[1]!PropsSI("H","T",K55+273.15,"P",101325,"Water")</f>
        <v>193657.99608184415</v>
      </c>
      <c r="V55">
        <f t="shared" si="5"/>
        <v>539.62640342774</v>
      </c>
    </row>
    <row r="56" spans="1:22" x14ac:dyDescent="0.2">
      <c r="A56">
        <v>46122.644509259262</v>
      </c>
      <c r="B56">
        <v>20.105072</v>
      </c>
      <c r="C56">
        <v>20.064706000000001</v>
      </c>
      <c r="D56">
        <v>19.947569000000001</v>
      </c>
      <c r="E56">
        <v>19.950430999999998</v>
      </c>
      <c r="F56">
        <v>28.601941</v>
      </c>
      <c r="G56">
        <v>25.513836999999999</v>
      </c>
      <c r="H56">
        <v>25.075969000000001</v>
      </c>
      <c r="I56">
        <v>21.989646</v>
      </c>
      <c r="J56">
        <v>54.967587999999999</v>
      </c>
      <c r="K56">
        <v>46.227455999999997</v>
      </c>
      <c r="L56">
        <v>81.161910000000006</v>
      </c>
      <c r="M56">
        <v>-622.47020599999996</v>
      </c>
      <c r="N56">
        <v>0.89378199999999997</v>
      </c>
      <c r="O56">
        <v>3.468467</v>
      </c>
      <c r="P56">
        <f t="shared" si="3"/>
        <v>1.4896366666666667E-5</v>
      </c>
      <c r="Q56" cm="1">
        <f t="array" ref="Q56">[1]!PropsSI("D","T",J56+273.15,"P",101325,"Water")</f>
        <v>985.70877720964575</v>
      </c>
      <c r="R56" cm="1">
        <f t="array" ref="R56">[1]!PropsSI("D","T",K56+273.15,"P",101325,"Water")</f>
        <v>989.69398245537138</v>
      </c>
      <c r="S56">
        <f t="shared" si="4"/>
        <v>987.70137983250856</v>
      </c>
      <c r="T56" cm="1">
        <f t="array" ref="T56">[1]!PropsSI("H","T",J56+273.15,"P",101325,"Water")</f>
        <v>230193.49713057195</v>
      </c>
      <c r="U56" cm="1">
        <f t="array" ref="U56">[1]!PropsSI("H","T",K56+273.15,"P",101325,"Water")</f>
        <v>193646.0568710402</v>
      </c>
      <c r="V56">
        <f t="shared" si="5"/>
        <v>537.7284059768524</v>
      </c>
    </row>
    <row r="57" spans="1:22" x14ac:dyDescent="0.2">
      <c r="A57">
        <v>46122.644567708332</v>
      </c>
      <c r="B57">
        <v>20.364173000000001</v>
      </c>
      <c r="C57">
        <v>20.124514999999999</v>
      </c>
      <c r="D57">
        <v>19.983219999999999</v>
      </c>
      <c r="E57">
        <v>19.987784999999999</v>
      </c>
      <c r="F57">
        <v>28.825099999999999</v>
      </c>
      <c r="G57">
        <v>25.535457000000001</v>
      </c>
      <c r="H57">
        <v>24.914957000000001</v>
      </c>
      <c r="I57">
        <v>22.265445</v>
      </c>
      <c r="J57">
        <v>54.960428999999998</v>
      </c>
      <c r="K57">
        <v>46.230153000000001</v>
      </c>
      <c r="L57">
        <v>80.888454999999993</v>
      </c>
      <c r="M57">
        <v>-622.52285600000005</v>
      </c>
      <c r="N57">
        <v>0.89731399999999994</v>
      </c>
      <c r="O57">
        <v>3.3552279999999999</v>
      </c>
      <c r="P57">
        <f t="shared" si="3"/>
        <v>1.4955233333333332E-5</v>
      </c>
      <c r="Q57" cm="1">
        <f t="array" ref="Q57">[1]!PropsSI("D","T",J57+273.15,"P",101325,"Water")</f>
        <v>985.71224195214518</v>
      </c>
      <c r="R57" cm="1">
        <f t="array" ref="R57">[1]!PropsSI("D","T",K57+273.15,"P",101325,"Water")</f>
        <v>989.69283083707319</v>
      </c>
      <c r="S57">
        <f t="shared" si="4"/>
        <v>987.70253639460918</v>
      </c>
      <c r="T57" cm="1">
        <f t="array" ref="T57">[1]!PropsSI("H","T",J57+273.15,"P",101325,"Water")</f>
        <v>230163.55143802805</v>
      </c>
      <c r="U57" cm="1">
        <f t="array" ref="U57">[1]!PropsSI("H","T",K57+273.15,"P",101325,"Water")</f>
        <v>193657.3313988593</v>
      </c>
      <c r="V57">
        <f t="shared" si="5"/>
        <v>539.24512739405418</v>
      </c>
    </row>
    <row r="58" spans="1:22" x14ac:dyDescent="0.2">
      <c r="A58">
        <v>46122.644625578701</v>
      </c>
      <c r="B58">
        <v>20.185752999999998</v>
      </c>
      <c r="C58">
        <v>20.353217000000001</v>
      </c>
      <c r="D58">
        <v>19.870149000000001</v>
      </c>
      <c r="E58">
        <v>19.965952000000001</v>
      </c>
      <c r="F58">
        <v>28.771747999999999</v>
      </c>
      <c r="G58">
        <v>25.642681</v>
      </c>
      <c r="H58">
        <v>24.721235</v>
      </c>
      <c r="I58">
        <v>21.968128</v>
      </c>
      <c r="J58">
        <v>54.963292000000003</v>
      </c>
      <c r="K58">
        <v>46.242848000000002</v>
      </c>
      <c r="L58">
        <v>83.298946000000001</v>
      </c>
      <c r="M58">
        <v>-622.48040900000001</v>
      </c>
      <c r="N58">
        <v>0.89302000000000004</v>
      </c>
      <c r="O58">
        <v>3.3944190000000001</v>
      </c>
      <c r="P58">
        <f t="shared" si="3"/>
        <v>1.4883666666666666E-5</v>
      </c>
      <c r="Q58" cm="1">
        <f t="array" ref="Q58">[1]!PropsSI("D","T",J58+273.15,"P",101325,"Water")</f>
        <v>985.71085638372426</v>
      </c>
      <c r="R58" cm="1">
        <f t="array" ref="R58">[1]!PropsSI("D","T",K58+273.15,"P",101325,"Water")</f>
        <v>989.68740940476653</v>
      </c>
      <c r="S58">
        <f t="shared" si="4"/>
        <v>987.69913289424539</v>
      </c>
      <c r="T58" cm="1">
        <f t="array" ref="T58">[1]!PropsSI("H","T",J58+273.15,"P",101325,"Water")</f>
        <v>230175.5272030918</v>
      </c>
      <c r="U58" cm="1">
        <f t="array" ref="U58">[1]!PropsSI("H","T",K58+273.15,"P",101325,"Water")</f>
        <v>193710.40154640318</v>
      </c>
      <c r="V58">
        <f t="shared" si="5"/>
        <v>536.05866688846402</v>
      </c>
    </row>
    <row r="59" spans="1:22" x14ac:dyDescent="0.2">
      <c r="A59">
        <v>46122.644684027779</v>
      </c>
      <c r="B59">
        <v>20.080386000000001</v>
      </c>
      <c r="C59">
        <v>20.253391000000001</v>
      </c>
      <c r="D59">
        <v>19.896162</v>
      </c>
      <c r="E59">
        <v>20.012837000000001</v>
      </c>
      <c r="F59">
        <v>28.639859999999999</v>
      </c>
      <c r="G59">
        <v>25.505510000000001</v>
      </c>
      <c r="H59">
        <v>24.935134999999999</v>
      </c>
      <c r="I59">
        <v>22.170081</v>
      </c>
      <c r="J59">
        <v>54.969974999999998</v>
      </c>
      <c r="K59">
        <v>46.2438</v>
      </c>
      <c r="L59">
        <v>90.247169999999997</v>
      </c>
      <c r="M59">
        <v>-622.47224600000004</v>
      </c>
      <c r="N59">
        <v>0.89991200000000005</v>
      </c>
      <c r="O59">
        <v>3.2123529999999998</v>
      </c>
      <c r="P59">
        <f t="shared" si="3"/>
        <v>1.4998533333333336E-5</v>
      </c>
      <c r="Q59" cm="1">
        <f t="array" ref="Q59">[1]!PropsSI("D","T",J59+273.15,"P",101325,"Water")</f>
        <v>985.70762190210223</v>
      </c>
      <c r="R59" cm="1">
        <f t="array" ref="R59">[1]!PropsSI("D","T",K59+273.15,"P",101325,"Water")</f>
        <v>989.68700280612404</v>
      </c>
      <c r="S59">
        <f t="shared" si="4"/>
        <v>987.69731235411314</v>
      </c>
      <c r="T59" cm="1">
        <f t="array" ref="T59">[1]!PropsSI("H","T",J59+273.15,"P",101325,"Water")</f>
        <v>230203.48182079225</v>
      </c>
      <c r="U59" cm="1">
        <f t="array" ref="U59">[1]!PropsSI("H","T",K59+273.15,"P",101325,"Water")</f>
        <v>193714.3812863268</v>
      </c>
      <c r="V59">
        <f t="shared" si="5"/>
        <v>540.54993898141731</v>
      </c>
    </row>
    <row r="60" spans="1:22" x14ac:dyDescent="0.2">
      <c r="A60">
        <v>46122.644741898148</v>
      </c>
      <c r="B60">
        <v>20.14527</v>
      </c>
      <c r="C60">
        <v>20.331188000000001</v>
      </c>
      <c r="D60">
        <v>19.924040999999999</v>
      </c>
      <c r="E60">
        <v>20.052147000000001</v>
      </c>
      <c r="F60">
        <v>28.765592000000002</v>
      </c>
      <c r="G60">
        <v>25.637906000000001</v>
      </c>
      <c r="H60">
        <v>25.108436999999999</v>
      </c>
      <c r="I60">
        <v>22.3078</v>
      </c>
      <c r="J60">
        <v>54.969338</v>
      </c>
      <c r="K60">
        <v>46.241101999999998</v>
      </c>
      <c r="L60">
        <v>87.542406999999997</v>
      </c>
      <c r="M60">
        <v>-622.53510000000006</v>
      </c>
      <c r="N60">
        <v>0.89712199999999998</v>
      </c>
      <c r="O60">
        <v>3.45506</v>
      </c>
      <c r="P60">
        <f t="shared" si="3"/>
        <v>1.4952033333333334E-5</v>
      </c>
      <c r="Q60" cm="1">
        <f t="array" ref="Q60">[1]!PropsSI("D","T",J60+273.15,"P",101325,"Water")</f>
        <v>985.70793021347185</v>
      </c>
      <c r="R60" cm="1">
        <f t="array" ref="R60">[1]!PropsSI("D","T",K60+273.15,"P",101325,"Water")</f>
        <v>989.68815510410388</v>
      </c>
      <c r="S60">
        <f t="shared" si="4"/>
        <v>987.69804265878793</v>
      </c>
      <c r="T60" cm="1">
        <f t="array" ref="T60">[1]!PropsSI("H","T",J60+273.15,"P",101325,"Water")</f>
        <v>230200.81728445005</v>
      </c>
      <c r="U60" cm="1">
        <f t="array" ref="U60">[1]!PropsSI("H","T",K60+273.15,"P",101325,"Water")</f>
        <v>193703.10257013084</v>
      </c>
      <c r="V60">
        <f t="shared" si="5"/>
        <v>539.0016837703522</v>
      </c>
    </row>
    <row r="61" spans="1:22" x14ac:dyDescent="0.2">
      <c r="A61">
        <v>46122.644800347225</v>
      </c>
      <c r="B61">
        <v>20.184932</v>
      </c>
      <c r="C61">
        <v>20.317809</v>
      </c>
      <c r="D61">
        <v>19.987045999999999</v>
      </c>
      <c r="E61">
        <v>20.1037</v>
      </c>
      <c r="F61">
        <v>28.747817999999999</v>
      </c>
      <c r="G61">
        <v>25.590896000000001</v>
      </c>
      <c r="H61">
        <v>25.048242999999999</v>
      </c>
      <c r="I61">
        <v>22.221798</v>
      </c>
      <c r="J61">
        <v>54.973315999999997</v>
      </c>
      <c r="K61">
        <v>46.247132000000001</v>
      </c>
      <c r="L61">
        <v>85.194361000000001</v>
      </c>
      <c r="M61">
        <v>-622.48000100000002</v>
      </c>
      <c r="N61">
        <v>0.90105999999999997</v>
      </c>
      <c r="O61">
        <v>3.6498710000000001</v>
      </c>
      <c r="P61">
        <f t="shared" si="3"/>
        <v>1.5017666666666667E-5</v>
      </c>
      <c r="Q61" cm="1">
        <f t="array" ref="Q61">[1]!PropsSI("D","T",J61+273.15,"P",101325,"Water")</f>
        <v>985.70600479930874</v>
      </c>
      <c r="R61" cm="1">
        <f t="array" ref="R61">[1]!PropsSI("D","T",K61+273.15,"P",101325,"Water")</f>
        <v>989.6855796619858</v>
      </c>
      <c r="S61">
        <f t="shared" si="4"/>
        <v>987.69579223064727</v>
      </c>
      <c r="T61" cm="1">
        <f t="array" ref="T61">[1]!PropsSI("H","T",J61+273.15,"P",101325,"Water")</f>
        <v>230217.45704421148</v>
      </c>
      <c r="U61" cm="1">
        <f t="array" ref="U61">[1]!PropsSI("H","T",K61+273.15,"P",101325,"Water")</f>
        <v>193728.31037769586</v>
      </c>
      <c r="V61">
        <f t="shared" si="5"/>
        <v>541.23935915610105</v>
      </c>
    </row>
    <row r="62" spans="1:22" x14ac:dyDescent="0.2">
      <c r="A62">
        <v>46122.644858217594</v>
      </c>
      <c r="B62">
        <v>20.165499000000001</v>
      </c>
      <c r="C62">
        <v>20.172695000000001</v>
      </c>
      <c r="D62">
        <v>19.942703999999999</v>
      </c>
      <c r="E62">
        <v>20.052924999999998</v>
      </c>
      <c r="F62">
        <v>28.756979000000001</v>
      </c>
      <c r="G62">
        <v>25.462630000000001</v>
      </c>
      <c r="H62">
        <v>24.734648</v>
      </c>
      <c r="I62">
        <v>22.082187000000001</v>
      </c>
      <c r="J62">
        <v>54.973475000000001</v>
      </c>
      <c r="K62">
        <v>46.262523999999999</v>
      </c>
      <c r="L62">
        <v>89.170896999999997</v>
      </c>
      <c r="M62">
        <v>-622.53061100000002</v>
      </c>
      <c r="N62">
        <v>0.89700299999999999</v>
      </c>
      <c r="O62">
        <v>3.326254</v>
      </c>
      <c r="P62">
        <f t="shared" si="3"/>
        <v>1.4950050000000001E-5</v>
      </c>
      <c r="Q62" cm="1">
        <f t="array" ref="Q62">[1]!PropsSI("D","T",J62+273.15,"P",101325,"Water")</f>
        <v>985.70592783877328</v>
      </c>
      <c r="R62" cm="1">
        <f t="array" ref="R62">[1]!PropsSI("D","T",K62+273.15,"P",101325,"Water")</f>
        <v>989.67900453333152</v>
      </c>
      <c r="S62">
        <f t="shared" si="4"/>
        <v>987.69246618605234</v>
      </c>
      <c r="T62" cm="1">
        <f t="array" ref="T62">[1]!PropsSI("H","T",J62+273.15,"P",101325,"Water")</f>
        <v>230218.12213276944</v>
      </c>
      <c r="U62" cm="1">
        <f t="array" ref="U62">[1]!PropsSI("H","T",K62+273.15,"P",101325,"Water")</f>
        <v>193792.65511916409</v>
      </c>
      <c r="V62">
        <f t="shared" si="5"/>
        <v>537.86033109033349</v>
      </c>
    </row>
    <row r="63" spans="1:22" x14ac:dyDescent="0.2">
      <c r="A63">
        <v>46122.644916666664</v>
      </c>
      <c r="B63">
        <v>20.164334</v>
      </c>
      <c r="C63">
        <v>20.302261999999999</v>
      </c>
      <c r="D63">
        <v>19.919028999999998</v>
      </c>
      <c r="E63">
        <v>20.053849</v>
      </c>
      <c r="F63">
        <v>28.787666999999999</v>
      </c>
      <c r="G63">
        <v>25.674807999999999</v>
      </c>
      <c r="H63">
        <v>24.538526000000001</v>
      </c>
      <c r="I63">
        <v>21.771509999999999</v>
      </c>
      <c r="J63">
        <v>54.976339000000003</v>
      </c>
      <c r="K63">
        <v>46.255383999999999</v>
      </c>
      <c r="L63">
        <v>85.832289000000003</v>
      </c>
      <c r="M63">
        <v>-622.47796000000005</v>
      </c>
      <c r="N63">
        <v>0.899335</v>
      </c>
      <c r="O63">
        <v>3.6961909999999998</v>
      </c>
      <c r="P63">
        <f t="shared" si="3"/>
        <v>1.4988916666666666E-5</v>
      </c>
      <c r="Q63" cm="1">
        <f t="array" ref="Q63">[1]!PropsSI("D","T",J63+273.15,"P",101325,"Water")</f>
        <v>985.70454155435118</v>
      </c>
      <c r="R63" cm="1">
        <f t="array" ref="R63">[1]!PropsSI("D","T",K63+273.15,"P",101325,"Water")</f>
        <v>989.68205478860898</v>
      </c>
      <c r="S63">
        <f t="shared" si="4"/>
        <v>987.69329817148014</v>
      </c>
      <c r="T63" cm="1">
        <f t="array" ref="T63">[1]!PropsSI("H","T",J63+273.15,"P",101325,"Water")</f>
        <v>230230.10209421042</v>
      </c>
      <c r="U63" cm="1">
        <f t="array" ref="U63">[1]!PropsSI("H","T",K63+273.15,"P",101325,"Water")</f>
        <v>193762.80704528635</v>
      </c>
      <c r="V63">
        <f t="shared" si="5"/>
        <v>539.87833875990952</v>
      </c>
    </row>
    <row r="64" spans="1:22" x14ac:dyDescent="0.2">
      <c r="A64">
        <v>46122.644975115742</v>
      </c>
      <c r="B64">
        <v>20.077853999999999</v>
      </c>
      <c r="C64">
        <v>20.345144000000001</v>
      </c>
      <c r="D64">
        <v>19.894812999999999</v>
      </c>
      <c r="E64">
        <v>20.005298</v>
      </c>
      <c r="F64">
        <v>28.676772</v>
      </c>
      <c r="G64">
        <v>25.658736000000001</v>
      </c>
      <c r="H64">
        <v>24.875119000000002</v>
      </c>
      <c r="I64">
        <v>21.926314999999999</v>
      </c>
      <c r="J64">
        <v>54.975543999999999</v>
      </c>
      <c r="K64">
        <v>46.256017999999997</v>
      </c>
      <c r="L64">
        <v>87.848922000000002</v>
      </c>
      <c r="M64">
        <v>-622.461635</v>
      </c>
      <c r="N64">
        <v>0.89317199999999997</v>
      </c>
      <c r="O64">
        <v>3.5475349999999999</v>
      </c>
      <c r="P64">
        <f t="shared" si="3"/>
        <v>1.48862E-5</v>
      </c>
      <c r="Q64" cm="1">
        <f t="array" ref="Q64">[1]!PropsSI("D","T",J64+273.15,"P",101325,"Water")</f>
        <v>985.70492636955248</v>
      </c>
      <c r="R64" cm="1">
        <f t="array" ref="R64">[1]!PropsSI("D","T",K64+273.15,"P",101325,"Water")</f>
        <v>989.68178395376958</v>
      </c>
      <c r="S64">
        <f t="shared" si="4"/>
        <v>987.69335516166097</v>
      </c>
      <c r="T64" cm="1">
        <f t="array" ref="T64">[1]!PropsSI("H","T",J64+273.15,"P",101325,"Water")</f>
        <v>230226.77665068462</v>
      </c>
      <c r="U64" cm="1">
        <f t="array" ref="U64">[1]!PropsSI("H","T",K64+273.15,"P",101325,"Water")</f>
        <v>193765.45742000447</v>
      </c>
      <c r="V64">
        <f t="shared" si="5"/>
        <v>536.09080667850685</v>
      </c>
    </row>
    <row r="65" spans="1:22" x14ac:dyDescent="0.2">
      <c r="A65">
        <v>46122.645033564811</v>
      </c>
      <c r="B65">
        <v>20.046595</v>
      </c>
      <c r="C65">
        <v>20.182736999999999</v>
      </c>
      <c r="D65">
        <v>19.871251000000001</v>
      </c>
      <c r="E65">
        <v>19.983128000000001</v>
      </c>
      <c r="F65">
        <v>28.680783999999999</v>
      </c>
      <c r="G65">
        <v>25.641708999999999</v>
      </c>
      <c r="H65">
        <v>24.671993000000001</v>
      </c>
      <c r="I65">
        <v>21.896464000000002</v>
      </c>
      <c r="J65">
        <v>54.974429999999998</v>
      </c>
      <c r="K65">
        <v>46.256335999999997</v>
      </c>
      <c r="L65">
        <v>82.079414999999997</v>
      </c>
      <c r="M65">
        <v>-622.46081800000002</v>
      </c>
      <c r="N65">
        <v>0.89790000000000003</v>
      </c>
      <c r="O65">
        <v>3.4830679999999998</v>
      </c>
      <c r="P65">
        <f t="shared" si="3"/>
        <v>1.4965000000000002E-5</v>
      </c>
      <c r="Q65" cm="1">
        <f t="array" ref="Q65">[1]!PropsSI("D","T",J65+273.15,"P",101325,"Water")</f>
        <v>985.70546558830097</v>
      </c>
      <c r="R65" cm="1">
        <f t="array" ref="R65">[1]!PropsSI("D","T",K65+273.15,"P",101325,"Water")</f>
        <v>989.68164810812846</v>
      </c>
      <c r="S65">
        <f t="shared" si="4"/>
        <v>987.69355684821471</v>
      </c>
      <c r="T65" cm="1">
        <f t="array" ref="T65">[1]!PropsSI("H","T",J65+273.15,"P",101325,"Water")</f>
        <v>230222.11684721982</v>
      </c>
      <c r="U65" cm="1">
        <f t="array" ref="U65">[1]!PropsSI("H","T",K65+273.15,"P",101325,"Water")</f>
        <v>193766.78678779985</v>
      </c>
      <c r="V65">
        <f t="shared" si="5"/>
        <v>538.84018487552601</v>
      </c>
    </row>
    <row r="66" spans="1:22" x14ac:dyDescent="0.2">
      <c r="A66">
        <v>46122.645091435188</v>
      </c>
      <c r="B66">
        <v>20.089169999999999</v>
      </c>
      <c r="C66">
        <v>20.237257</v>
      </c>
      <c r="D66">
        <v>19.822676999999999</v>
      </c>
      <c r="E66">
        <v>19.916443000000001</v>
      </c>
      <c r="F66">
        <v>28.732261000000001</v>
      </c>
      <c r="G66">
        <v>25.508600000000001</v>
      </c>
      <c r="H66">
        <v>24.899034</v>
      </c>
      <c r="I66">
        <v>22.155932</v>
      </c>
      <c r="J66">
        <v>54.967111000000003</v>
      </c>
      <c r="K66">
        <v>46.250464999999998</v>
      </c>
      <c r="L66">
        <v>83.364249000000001</v>
      </c>
      <c r="M66">
        <v>-622.506122</v>
      </c>
      <c r="N66">
        <v>0.89722400000000002</v>
      </c>
      <c r="O66">
        <v>3.4870969999999999</v>
      </c>
      <c r="P66">
        <f t="shared" si="3"/>
        <v>1.4953733333333334E-5</v>
      </c>
      <c r="Q66" cm="1">
        <f t="array" ref="Q66">[1]!PropsSI("D","T",J66+273.15,"P",101325,"Water")</f>
        <v>985.70900807335829</v>
      </c>
      <c r="R66" cm="1">
        <f t="array" ref="R66">[1]!PropsSI("D","T",K66+273.15,"P",101325,"Water")</f>
        <v>989.68415601453694</v>
      </c>
      <c r="S66">
        <f t="shared" si="4"/>
        <v>987.69658204394761</v>
      </c>
      <c r="T66" cm="1">
        <f t="array" ref="T66">[1]!PropsSI("H","T",J66+273.15,"P",101325,"Water")</f>
        <v>230191.5018658679</v>
      </c>
      <c r="U66" cm="1">
        <f t="array" ref="U66">[1]!PropsSI("H","T",K66+273.15,"P",101325,"Water")</f>
        <v>193742.24365184861</v>
      </c>
      <c r="V66">
        <f t="shared" si="5"/>
        <v>538.34647896818342</v>
      </c>
    </row>
    <row r="67" spans="1:22" x14ac:dyDescent="0.2">
      <c r="A67">
        <v>46122.645149884258</v>
      </c>
      <c r="B67">
        <v>20.049468999999998</v>
      </c>
      <c r="C67">
        <v>20.255939999999999</v>
      </c>
      <c r="D67">
        <v>19.831377</v>
      </c>
      <c r="E67">
        <v>19.981352000000001</v>
      </c>
      <c r="F67">
        <v>28.609169000000001</v>
      </c>
      <c r="G67">
        <v>25.839735999999998</v>
      </c>
      <c r="H67">
        <v>24.900286999999999</v>
      </c>
      <c r="I67">
        <v>22.294934999999999</v>
      </c>
      <c r="J67">
        <v>54.962656000000003</v>
      </c>
      <c r="K67">
        <v>46.246022000000004</v>
      </c>
      <c r="L67">
        <v>82.505108000000007</v>
      </c>
      <c r="M67">
        <v>-622.48530700000003</v>
      </c>
      <c r="N67">
        <v>0.89523299999999995</v>
      </c>
      <c r="O67">
        <v>2.9575360000000002</v>
      </c>
      <c r="P67">
        <f t="shared" si="3"/>
        <v>1.4920549999999999E-5</v>
      </c>
      <c r="Q67" cm="1">
        <f t="array" ref="Q67">[1]!PropsSI("D","T",J67+273.15,"P",101325,"Water")</f>
        <v>985.71116418468307</v>
      </c>
      <c r="R67" cm="1">
        <f t="array" ref="R67">[1]!PropsSI("D","T",K67+273.15,"P",101325,"Water")</f>
        <v>989.68605376708376</v>
      </c>
      <c r="S67">
        <f t="shared" si="4"/>
        <v>987.69860897588342</v>
      </c>
      <c r="T67" cm="1">
        <f t="array" ref="T67">[1]!PropsSI("H","T",J67+273.15,"P",101325,"Water")</f>
        <v>230172.86685122072</v>
      </c>
      <c r="U67" cm="1">
        <f t="array" ref="U67">[1]!PropsSI("H","T",K67+273.15,"P",101325,"Water")</f>
        <v>193723.67013390057</v>
      </c>
      <c r="V67">
        <f t="shared" si="5"/>
        <v>537.15204821959571</v>
      </c>
    </row>
    <row r="68" spans="1:22" x14ac:dyDescent="0.2">
      <c r="A68">
        <v>46122.645208333335</v>
      </c>
      <c r="B68">
        <v>20.058252</v>
      </c>
      <c r="C68">
        <v>20.181524</v>
      </c>
      <c r="D68">
        <v>19.906490000000002</v>
      </c>
      <c r="E68">
        <v>20.012029999999999</v>
      </c>
      <c r="F68">
        <v>28.677527000000001</v>
      </c>
      <c r="G68">
        <v>25.538088999999999</v>
      </c>
      <c r="H68">
        <v>25.163077000000001</v>
      </c>
      <c r="I68">
        <v>21.9742</v>
      </c>
      <c r="J68">
        <v>54.970770000000002</v>
      </c>
      <c r="K68">
        <v>46.247767000000003</v>
      </c>
      <c r="L68">
        <v>90.432057999999998</v>
      </c>
      <c r="M68">
        <v>-622.49183700000003</v>
      </c>
      <c r="N68">
        <v>0.89265899999999998</v>
      </c>
      <c r="O68">
        <v>3.2406030000000001</v>
      </c>
      <c r="P68">
        <f t="shared" si="3"/>
        <v>1.487765E-5</v>
      </c>
      <c r="Q68" cm="1">
        <f t="array" ref="Q68">[1]!PropsSI("D","T",J68+273.15,"P",101325,"Water")</f>
        <v>985.70723711439939</v>
      </c>
      <c r="R68" cm="1">
        <f t="array" ref="R68">[1]!PropsSI("D","T",K68+273.15,"P",101325,"Water")</f>
        <v>989.68530843590463</v>
      </c>
      <c r="S68">
        <f t="shared" si="4"/>
        <v>987.69627277515201</v>
      </c>
      <c r="T68" cm="1">
        <f t="array" ref="T68">[1]!PropsSI("H","T",J68+273.15,"P",101325,"Water")</f>
        <v>230206.80726265896</v>
      </c>
      <c r="U68" cm="1">
        <f t="array" ref="U68">[1]!PropsSI("H","T",K68+273.15,"P",101325,"Water")</f>
        <v>193730.96493171394</v>
      </c>
      <c r="V68">
        <f t="shared" si="5"/>
        <v>535.9978927513705</v>
      </c>
    </row>
    <row r="69" spans="1:22" x14ac:dyDescent="0.2">
      <c r="A69">
        <v>46122.645266203705</v>
      </c>
      <c r="B69">
        <v>20.132669</v>
      </c>
      <c r="C69">
        <v>20.191224999999999</v>
      </c>
      <c r="D69">
        <v>19.939872000000001</v>
      </c>
      <c r="E69">
        <v>20.042308999999999</v>
      </c>
      <c r="F69">
        <v>28.710909000000001</v>
      </c>
      <c r="G69">
        <v>25.680928999999999</v>
      </c>
      <c r="H69">
        <v>24.985396000000001</v>
      </c>
      <c r="I69">
        <v>22.076906999999999</v>
      </c>
      <c r="J69">
        <v>54.974907000000002</v>
      </c>
      <c r="K69">
        <v>46.242531</v>
      </c>
      <c r="L69">
        <v>85.690663000000001</v>
      </c>
      <c r="M69">
        <v>-622.49591899999996</v>
      </c>
      <c r="N69">
        <v>0.89480199999999999</v>
      </c>
      <c r="O69">
        <v>3.8781289999999999</v>
      </c>
      <c r="P69">
        <f t="shared" si="3"/>
        <v>1.4913366666666667E-5</v>
      </c>
      <c r="Q69" cm="1">
        <f t="array" ref="Q69">[1]!PropsSI("D","T",J69+273.15,"P",101325,"Water")</f>
        <v>985.70523470293608</v>
      </c>
      <c r="R69" cm="1">
        <f t="array" ref="R69">[1]!PropsSI("D","T",K69+273.15,"P",101325,"Water")</f>
        <v>989.68754479388417</v>
      </c>
      <c r="S69">
        <f t="shared" si="4"/>
        <v>987.69638974841018</v>
      </c>
      <c r="T69" cm="1">
        <f t="array" ref="T69">[1]!PropsSI("H","T",J69+273.15,"P",101325,"Water")</f>
        <v>230224.1121131281</v>
      </c>
      <c r="U69" cm="1">
        <f t="array" ref="U69">[1]!PropsSI("H","T",K69+273.15,"P",101325,"Water")</f>
        <v>193709.07635992987</v>
      </c>
      <c r="V69">
        <f t="shared" si="5"/>
        <v>537.86203698812244</v>
      </c>
    </row>
    <row r="70" spans="1:22" x14ac:dyDescent="0.2">
      <c r="A70">
        <v>46122.645324074074</v>
      </c>
      <c r="B70">
        <v>20.064109999999999</v>
      </c>
      <c r="C70">
        <v>20.085391999999999</v>
      </c>
      <c r="D70">
        <v>19.935282999999998</v>
      </c>
      <c r="E70">
        <v>20.000543</v>
      </c>
      <c r="F70">
        <v>28.657149</v>
      </c>
      <c r="G70">
        <v>25.312628</v>
      </c>
      <c r="H70">
        <v>24.998515000000001</v>
      </c>
      <c r="I70">
        <v>22.094325999999999</v>
      </c>
      <c r="J70">
        <v>54.976975000000003</v>
      </c>
      <c r="K70">
        <v>46.241895999999997</v>
      </c>
      <c r="L70">
        <v>79.196293999999995</v>
      </c>
      <c r="M70">
        <v>-622.45632899999998</v>
      </c>
      <c r="N70">
        <v>0.89504799999999995</v>
      </c>
      <c r="O70">
        <v>3.5274700000000001</v>
      </c>
      <c r="P70">
        <f t="shared" si="3"/>
        <v>1.4917466666666666E-5</v>
      </c>
      <c r="Q70" cm="1">
        <f t="array" ref="Q70">[1]!PropsSI("D","T",J70+273.15,"P",101325,"Water")</f>
        <v>985.70423369936873</v>
      </c>
      <c r="R70" cm="1">
        <f t="array" ref="R70">[1]!PropsSI("D","T",K70+273.15,"P",101325,"Water")</f>
        <v>989.68781599713952</v>
      </c>
      <c r="S70">
        <f t="shared" si="4"/>
        <v>987.69602484825418</v>
      </c>
      <c r="T70" cm="1">
        <f t="array" ref="T70">[1]!PropsSI("H","T",J70+273.15,"P",101325,"Water")</f>
        <v>230232.76244918111</v>
      </c>
      <c r="U70" cm="1">
        <f t="array" ref="U70">[1]!PropsSI("H","T",K70+273.15,"P",101325,"Water")</f>
        <v>193706.42180667591</v>
      </c>
      <c r="V70">
        <f t="shared" si="5"/>
        <v>538.17627323876025</v>
      </c>
    </row>
    <row r="71" spans="1:22" x14ac:dyDescent="0.2">
      <c r="A71">
        <v>46122.645382523151</v>
      </c>
      <c r="B71">
        <v>20.073297</v>
      </c>
      <c r="C71">
        <v>20.123994</v>
      </c>
      <c r="D71">
        <v>19.965053999999999</v>
      </c>
      <c r="E71">
        <v>20.045632999999999</v>
      </c>
      <c r="F71">
        <v>28.620332999999999</v>
      </c>
      <c r="G71">
        <v>25.553692000000002</v>
      </c>
      <c r="H71">
        <v>24.987335999999999</v>
      </c>
      <c r="I71">
        <v>22.429470999999999</v>
      </c>
      <c r="J71">
        <v>54.969656999999998</v>
      </c>
      <c r="K71">
        <v>46.245704000000003</v>
      </c>
      <c r="L71">
        <v>79.778713999999994</v>
      </c>
      <c r="M71">
        <v>-622.50204099999996</v>
      </c>
      <c r="N71">
        <v>0.89652799999999999</v>
      </c>
      <c r="O71">
        <v>3.2632989999999999</v>
      </c>
      <c r="P71">
        <f t="shared" si="3"/>
        <v>1.4942133333333334E-5</v>
      </c>
      <c r="Q71" cm="1">
        <f t="array" ref="Q71">[1]!PropsSI("D","T",J71+273.15,"P",101325,"Water")</f>
        <v>985.70777581609389</v>
      </c>
      <c r="R71" cm="1">
        <f t="array" ref="R71">[1]!PropsSI("D","T",K71+273.15,"P",101325,"Water")</f>
        <v>989.68618959023138</v>
      </c>
      <c r="S71">
        <f t="shared" si="4"/>
        <v>987.69698270316258</v>
      </c>
      <c r="T71" cm="1">
        <f t="array" ref="T71">[1]!PropsSI("H","T",J71+273.15,"P",101325,"Water")</f>
        <v>230202.15164406644</v>
      </c>
      <c r="U71" cm="1">
        <f t="array" ref="U71">[1]!PropsSI("H","T",K71+273.15,"P",101325,"Water")</f>
        <v>193722.34076676305</v>
      </c>
      <c r="V71">
        <f t="shared" si="5"/>
        <v>538.37999317991682</v>
      </c>
    </row>
    <row r="72" spans="1:22" x14ac:dyDescent="0.2">
      <c r="A72">
        <v>46122.645440972221</v>
      </c>
      <c r="B72">
        <v>20.062607</v>
      </c>
      <c r="C72">
        <v>20.095513</v>
      </c>
      <c r="D72">
        <v>20.007853999999998</v>
      </c>
      <c r="E72">
        <v>20.103615000000001</v>
      </c>
      <c r="F72">
        <v>28.648810000000001</v>
      </c>
      <c r="G72">
        <v>25.635850000000001</v>
      </c>
      <c r="H72">
        <v>25.352499999999999</v>
      </c>
      <c r="I72">
        <v>21.878710000000002</v>
      </c>
      <c r="J72">
        <v>54.968860999999997</v>
      </c>
      <c r="K72">
        <v>46.236818</v>
      </c>
      <c r="L72">
        <v>87.301195000000007</v>
      </c>
      <c r="M72">
        <v>-622.48612300000002</v>
      </c>
      <c r="N72">
        <v>0.89258099999999996</v>
      </c>
      <c r="O72">
        <v>3.2713299999999998</v>
      </c>
      <c r="P72">
        <f t="shared" ref="P72:P83" si="6" xml:space="preserve"> N72*0.001/60</f>
        <v>1.4876349999999999E-5</v>
      </c>
      <c r="Q72" cm="1">
        <f t="array" ref="Q72">[1]!PropsSI("D","T",J72+273.15,"P",101325,"Water")</f>
        <v>985.70816108230861</v>
      </c>
      <c r="R72" cm="1">
        <f t="array" ref="R72">[1]!PropsSI("D","T",K72+273.15,"P",101325,"Water")</f>
        <v>989.68998466959408</v>
      </c>
      <c r="S72">
        <f t="shared" ref="S72:S83" si="7">(Q72+R72)/2</f>
        <v>987.69907287595129</v>
      </c>
      <c r="T72" cm="1">
        <f t="array" ref="T72">[1]!PropsSI("H","T",J72+273.15,"P",101325,"Water")</f>
        <v>230198.82201955677</v>
      </c>
      <c r="U72" cm="1">
        <f t="array" ref="U72">[1]!PropsSI("H","T",K72+273.15,"P",101325,"Water")</f>
        <v>193685.19374449534</v>
      </c>
      <c r="V72">
        <f t="shared" ref="V72:V83" si="8">S72*P72*(T72-U72)</f>
        <v>536.5077793635752</v>
      </c>
    </row>
    <row r="73" spans="1:22" x14ac:dyDescent="0.2">
      <c r="A73">
        <v>46122.645499421298</v>
      </c>
      <c r="B73">
        <v>20.109141000000001</v>
      </c>
      <c r="C73">
        <v>20.293046</v>
      </c>
      <c r="D73">
        <v>20.031931</v>
      </c>
      <c r="E73">
        <v>20.101251999999999</v>
      </c>
      <c r="F73">
        <v>28.709655999999999</v>
      </c>
      <c r="G73">
        <v>25.540903</v>
      </c>
      <c r="H73">
        <v>25.211044999999999</v>
      </c>
      <c r="I73">
        <v>22.110807999999999</v>
      </c>
      <c r="J73">
        <v>54.966315000000002</v>
      </c>
      <c r="K73">
        <v>46.230787999999997</v>
      </c>
      <c r="L73">
        <v>80.334197000000003</v>
      </c>
      <c r="M73">
        <v>-622.49918400000001</v>
      </c>
      <c r="N73">
        <v>0.89371199999999995</v>
      </c>
      <c r="O73">
        <v>3.6425130000000001</v>
      </c>
      <c r="P73">
        <f t="shared" si="6"/>
        <v>1.4895199999999999E-5</v>
      </c>
      <c r="Q73" cm="1">
        <f t="array" ref="Q73">[1]!PropsSI("D","T",J73+273.15,"P",101325,"Water")</f>
        <v>985.70939332696048</v>
      </c>
      <c r="R73" cm="1">
        <f t="array" ref="R73">[1]!PropsSI("D","T",K73+273.15,"P",101325,"Water")</f>
        <v>989.69255968496293</v>
      </c>
      <c r="S73">
        <f t="shared" si="7"/>
        <v>987.70097650596176</v>
      </c>
      <c r="T73" cm="1">
        <f t="array" ref="T73">[1]!PropsSI("H","T",J73+273.15,"P",101325,"Water")</f>
        <v>230188.17224212972</v>
      </c>
      <c r="U73" cm="1">
        <f t="array" ref="U73">[1]!PropsSI("H","T",K73+273.15,"P",101325,"Water")</f>
        <v>193659.98595046799</v>
      </c>
      <c r="V73">
        <f t="shared" si="8"/>
        <v>537.40280768566561</v>
      </c>
    </row>
    <row r="74" spans="1:22" x14ac:dyDescent="0.2">
      <c r="A74">
        <v>46122.645557291668</v>
      </c>
      <c r="B74">
        <v>20.103825000000001</v>
      </c>
      <c r="C74">
        <v>20.256895</v>
      </c>
      <c r="D74">
        <v>20.022482</v>
      </c>
      <c r="E74">
        <v>20.104077</v>
      </c>
      <c r="F74">
        <v>28.738575999999998</v>
      </c>
      <c r="G74">
        <v>25.582811</v>
      </c>
      <c r="H74">
        <v>24.642818999999999</v>
      </c>
      <c r="I74">
        <v>22.001937999999999</v>
      </c>
      <c r="J74">
        <v>54.959632999999997</v>
      </c>
      <c r="K74">
        <v>46.233167999999999</v>
      </c>
      <c r="L74">
        <v>88.691737000000003</v>
      </c>
      <c r="M74">
        <v>-622.49061300000005</v>
      </c>
      <c r="N74">
        <v>0.89465899999999998</v>
      </c>
      <c r="O74">
        <v>3.192822</v>
      </c>
      <c r="P74">
        <f t="shared" si="6"/>
        <v>1.4910983333333333E-5</v>
      </c>
      <c r="Q74" cm="1">
        <f t="array" ref="Q74">[1]!PropsSI("D","T",J74+273.15,"P",101325,"Water")</f>
        <v>985.7126271727625</v>
      </c>
      <c r="R74" cm="1">
        <f t="array" ref="R74">[1]!PropsSI("D","T",K74+273.15,"P",101325,"Water")</f>
        <v>989.69154337371413</v>
      </c>
      <c r="S74">
        <f t="shared" si="7"/>
        <v>987.70208527323825</v>
      </c>
      <c r="T74" cm="1">
        <f t="array" ref="T74">[1]!PropsSI("H","T",J74+273.15,"P",101325,"Water")</f>
        <v>230160.22181617038</v>
      </c>
      <c r="U74" cm="1">
        <f t="array" ref="U74">[1]!PropsSI("H","T",K74+273.15,"P",101325,"Water")</f>
        <v>193669.93529443498</v>
      </c>
      <c r="V74">
        <f t="shared" si="8"/>
        <v>537.41468429785186</v>
      </c>
    </row>
    <row r="75" spans="1:22" x14ac:dyDescent="0.2">
      <c r="A75">
        <v>46122.645615740737</v>
      </c>
      <c r="B75">
        <v>20.138777000000001</v>
      </c>
      <c r="C75">
        <v>20.160361999999999</v>
      </c>
      <c r="D75">
        <v>19.964037999999999</v>
      </c>
      <c r="E75">
        <v>20.065076000000001</v>
      </c>
      <c r="F75">
        <v>28.736115999999999</v>
      </c>
      <c r="G75">
        <v>25.52251</v>
      </c>
      <c r="H75">
        <v>24.567990000000002</v>
      </c>
      <c r="I75">
        <v>21.748161</v>
      </c>
      <c r="J75">
        <v>54.965997000000002</v>
      </c>
      <c r="K75">
        <v>46.238722000000003</v>
      </c>
      <c r="L75">
        <v>88.961519999999993</v>
      </c>
      <c r="M75">
        <v>-622.49347</v>
      </c>
      <c r="N75">
        <v>0.90011699999999994</v>
      </c>
      <c r="O75">
        <v>3.402412</v>
      </c>
      <c r="P75">
        <f t="shared" si="6"/>
        <v>1.500195E-5</v>
      </c>
      <c r="Q75" cm="1">
        <f t="array" ref="Q75">[1]!PropsSI("D","T",J75+273.15,"P",101325,"Water")</f>
        <v>985.70954723374098</v>
      </c>
      <c r="R75" cm="1">
        <f t="array" ref="R75">[1]!PropsSI("D","T",K75+273.15,"P",101325,"Water")</f>
        <v>989.68917154493658</v>
      </c>
      <c r="S75">
        <f t="shared" si="7"/>
        <v>987.69935938933872</v>
      </c>
      <c r="T75" cm="1">
        <f t="array" ref="T75">[1]!PropsSI("H","T",J75+273.15,"P",101325,"Water")</f>
        <v>230186.84206581992</v>
      </c>
      <c r="U75" cm="1">
        <f t="array" ref="U75">[1]!PropsSI("H","T",K75+273.15,"P",101325,"Water")</f>
        <v>193693.15322201277</v>
      </c>
      <c r="V75">
        <f t="shared" si="8"/>
        <v>540.74218373826363</v>
      </c>
    </row>
    <row r="76" spans="1:22" x14ac:dyDescent="0.2">
      <c r="A76">
        <v>46122.645673611114</v>
      </c>
      <c r="B76">
        <v>20.089865</v>
      </c>
      <c r="C76">
        <v>20.131133999999999</v>
      </c>
      <c r="D76">
        <v>19.992623999999999</v>
      </c>
      <c r="E76">
        <v>20.070620999999999</v>
      </c>
      <c r="F76">
        <v>28.722636000000001</v>
      </c>
      <c r="G76">
        <v>25.504476</v>
      </c>
      <c r="H76">
        <v>24.844467000000002</v>
      </c>
      <c r="I76">
        <v>22.023675999999998</v>
      </c>
      <c r="J76">
        <v>54.966315000000002</v>
      </c>
      <c r="K76">
        <v>46.236659000000003</v>
      </c>
      <c r="L76">
        <v>87.245687000000004</v>
      </c>
      <c r="M76">
        <v>-622.52816199999995</v>
      </c>
      <c r="N76">
        <v>0.895339</v>
      </c>
      <c r="O76">
        <v>3.4078249999999999</v>
      </c>
      <c r="P76">
        <f t="shared" si="6"/>
        <v>1.4922316666666666E-5</v>
      </c>
      <c r="Q76" cm="1">
        <f t="array" ref="Q76">[1]!PropsSI("D","T",J76+273.15,"P",101325,"Water")</f>
        <v>985.70939332696048</v>
      </c>
      <c r="R76" cm="1">
        <f t="array" ref="R76">[1]!PropsSI("D","T",K76+273.15,"P",101325,"Water")</f>
        <v>989.69005257121023</v>
      </c>
      <c r="S76">
        <f t="shared" si="7"/>
        <v>987.6997229490853</v>
      </c>
      <c r="T76" cm="1">
        <f t="array" ref="T76">[1]!PropsSI("H","T",J76+273.15,"P",101325,"Water")</f>
        <v>230188.17224212972</v>
      </c>
      <c r="U76" cm="1">
        <f t="array" ref="U76">[1]!PropsSI("H","T",K76+273.15,"P",101325,"Water")</f>
        <v>193684.52906128365</v>
      </c>
      <c r="V76">
        <f t="shared" si="8"/>
        <v>538.01872936342772</v>
      </c>
    </row>
    <row r="77" spans="1:22" x14ac:dyDescent="0.2">
      <c r="A77">
        <v>46122.645731481483</v>
      </c>
      <c r="B77">
        <v>20.199994</v>
      </c>
      <c r="C77">
        <v>20.181591999999998</v>
      </c>
      <c r="D77">
        <v>20.018695000000001</v>
      </c>
      <c r="E77">
        <v>20.070459</v>
      </c>
      <c r="F77">
        <v>28.779948999999998</v>
      </c>
      <c r="G77">
        <v>25.672587</v>
      </c>
      <c r="H77">
        <v>24.850037</v>
      </c>
      <c r="I77">
        <v>22.001387000000001</v>
      </c>
      <c r="J77">
        <v>54.964405999999997</v>
      </c>
      <c r="K77">
        <v>46.237929000000001</v>
      </c>
      <c r="L77">
        <v>90.756124</v>
      </c>
      <c r="M77">
        <v>-622.47265400000003</v>
      </c>
      <c r="N77">
        <v>0.89187700000000003</v>
      </c>
      <c r="O77">
        <v>3.8986909999999999</v>
      </c>
      <c r="P77">
        <f t="shared" si="6"/>
        <v>1.4864616666666667E-5</v>
      </c>
      <c r="Q77" cm="1">
        <f t="array" ref="Q77">[1]!PropsSI("D","T",J77+273.15,"P",101325,"Water")</f>
        <v>985.71031724205739</v>
      </c>
      <c r="R77" cm="1">
        <f t="array" ref="R77">[1]!PropsSI("D","T",K77+273.15,"P",101325,"Water")</f>
        <v>989.68951020754957</v>
      </c>
      <c r="S77">
        <f t="shared" si="7"/>
        <v>987.69991372480354</v>
      </c>
      <c r="T77" cm="1">
        <f t="array" ref="T77">[1]!PropsSI("H","T",J77+273.15,"P",101325,"Water")</f>
        <v>230180.18700207982</v>
      </c>
      <c r="U77" cm="1">
        <f t="array" ref="U77">[1]!PropsSI("H","T",K77+273.15,"P",101325,"Water")</f>
        <v>193689.8381664459</v>
      </c>
      <c r="V77">
        <f t="shared" si="8"/>
        <v>535.74329559374166</v>
      </c>
    </row>
    <row r="78" spans="1:22" x14ac:dyDescent="0.2">
      <c r="A78">
        <v>46122.645789351853</v>
      </c>
      <c r="B78">
        <v>20.286726000000002</v>
      </c>
      <c r="C78">
        <v>20.252970999999999</v>
      </c>
      <c r="D78">
        <v>20.036667000000001</v>
      </c>
      <c r="E78">
        <v>20.110074000000001</v>
      </c>
      <c r="F78">
        <v>28.814160000000001</v>
      </c>
      <c r="G78">
        <v>25.680911999999999</v>
      </c>
      <c r="H78">
        <v>25.175156000000001</v>
      </c>
      <c r="I78">
        <v>22.128504</v>
      </c>
      <c r="J78">
        <v>54.96011</v>
      </c>
      <c r="K78">
        <v>46.229677000000002</v>
      </c>
      <c r="L78">
        <v>89.701891000000003</v>
      </c>
      <c r="M78">
        <v>-622.49877600000002</v>
      </c>
      <c r="N78">
        <v>0.89550300000000005</v>
      </c>
      <c r="O78">
        <v>3.3403719999999999</v>
      </c>
      <c r="P78">
        <f t="shared" si="6"/>
        <v>1.4925050000000002E-5</v>
      </c>
      <c r="Q78" cm="1">
        <f t="array" ref="Q78">[1]!PropsSI("D","T",J78+273.15,"P",101325,"Water")</f>
        <v>985.71239633123548</v>
      </c>
      <c r="R78" cm="1">
        <f t="array" ref="R78">[1]!PropsSI("D","T",K78+273.15,"P",101325,"Water")</f>
        <v>989.6930340925835</v>
      </c>
      <c r="S78">
        <f t="shared" si="7"/>
        <v>987.70271521190944</v>
      </c>
      <c r="T78" cm="1">
        <f t="array" ref="T78">[1]!PropsSI("H","T",J78+273.15,"P",101325,"Water")</f>
        <v>230162.21707952907</v>
      </c>
      <c r="U78" cm="1">
        <f t="array" ref="U78">[1]!PropsSI("H","T",K78+273.15,"P",101325,"Water")</f>
        <v>193655.34153029774</v>
      </c>
      <c r="V78">
        <f t="shared" si="8"/>
        <v>538.16655894740018</v>
      </c>
    </row>
    <row r="79" spans="1:22" x14ac:dyDescent="0.2">
      <c r="A79">
        <v>46122.645847800923</v>
      </c>
      <c r="B79">
        <v>20.200932999999999</v>
      </c>
      <c r="C79">
        <v>20.264486999999999</v>
      </c>
      <c r="D79">
        <v>19.975283999999998</v>
      </c>
      <c r="E79">
        <v>20.022438999999999</v>
      </c>
      <c r="F79">
        <v>28.773081999999999</v>
      </c>
      <c r="G79">
        <v>25.724027</v>
      </c>
      <c r="H79">
        <v>24.78837</v>
      </c>
      <c r="I79">
        <v>21.731372</v>
      </c>
      <c r="J79">
        <v>54.961860999999999</v>
      </c>
      <c r="K79">
        <v>46.232216000000001</v>
      </c>
      <c r="L79">
        <v>91.081413999999995</v>
      </c>
      <c r="M79">
        <v>-622.52285600000005</v>
      </c>
      <c r="N79">
        <v>0.89683500000000005</v>
      </c>
      <c r="O79">
        <v>3.2088209999999999</v>
      </c>
      <c r="P79">
        <f t="shared" si="6"/>
        <v>1.494725E-5</v>
      </c>
      <c r="Q79" cm="1">
        <f t="array" ref="Q79">[1]!PropsSI("D","T",J79+273.15,"P",101325,"Water")</f>
        <v>985.71154893232563</v>
      </c>
      <c r="R79" cm="1">
        <f t="array" ref="R79">[1]!PropsSI("D","T",K79+273.15,"P",101325,"Water")</f>
        <v>989.69194990286337</v>
      </c>
      <c r="S79">
        <f t="shared" si="7"/>
        <v>987.70174941759456</v>
      </c>
      <c r="T79" cm="1">
        <f t="array" ref="T79">[1]!PropsSI("H","T",J79+273.15,"P",101325,"Water")</f>
        <v>230169.54141166434</v>
      </c>
      <c r="U79" cm="1">
        <f t="array" ref="U79">[1]!PropsSI("H","T",K79+273.15,"P",101325,"Water")</f>
        <v>193665.95555672524</v>
      </c>
      <c r="V79">
        <f t="shared" si="8"/>
        <v>538.91795105070912</v>
      </c>
    </row>
    <row r="80" spans="1:22" x14ac:dyDescent="0.2">
      <c r="A80">
        <v>46122.64590625</v>
      </c>
      <c r="B80">
        <v>20.099855000000002</v>
      </c>
      <c r="C80">
        <v>20.127572000000001</v>
      </c>
      <c r="D80">
        <v>19.966774999999998</v>
      </c>
      <c r="E80">
        <v>20.016774999999999</v>
      </c>
      <c r="F80">
        <v>28.637830999999998</v>
      </c>
      <c r="G80">
        <v>25.578021</v>
      </c>
      <c r="H80">
        <v>25.132745</v>
      </c>
      <c r="I80">
        <v>22.178438</v>
      </c>
      <c r="J80">
        <v>54.966951999999999</v>
      </c>
      <c r="K80">
        <v>46.234597000000001</v>
      </c>
      <c r="L80">
        <v>82.425111999999999</v>
      </c>
      <c r="M80">
        <v>-622.49142900000004</v>
      </c>
      <c r="N80">
        <v>0.891455</v>
      </c>
      <c r="O80">
        <v>3.9674779999999998</v>
      </c>
      <c r="P80">
        <f t="shared" si="6"/>
        <v>1.4857583333333333E-5</v>
      </c>
      <c r="Q80" cm="1">
        <f t="array" ref="Q80">[1]!PropsSI("D","T",J80+273.15,"P",101325,"Water")</f>
        <v>985.70908502756913</v>
      </c>
      <c r="R80" cm="1">
        <f t="array" ref="R80">[1]!PropsSI("D","T",K80+273.15,"P",101325,"Water")</f>
        <v>989.69093314129486</v>
      </c>
      <c r="S80">
        <f t="shared" si="7"/>
        <v>987.70000908443194</v>
      </c>
      <c r="T80" cm="1">
        <f t="array" ref="T80">[1]!PropsSI("H","T",J80+273.15,"P",101325,"Water")</f>
        <v>230190.83677774525</v>
      </c>
      <c r="U80" cm="1">
        <f t="array" ref="U80">[1]!PropsSI("H","T",K80+273.15,"P",101325,"Water")</f>
        <v>193675.90908174674</v>
      </c>
      <c r="V80">
        <f t="shared" si="8"/>
        <v>535.85054603426443</v>
      </c>
    </row>
    <row r="81" spans="1:22" x14ac:dyDescent="0.2">
      <c r="A81">
        <v>46122.645964120369</v>
      </c>
      <c r="B81">
        <v>20.094463000000001</v>
      </c>
      <c r="C81">
        <v>20.160772000000001</v>
      </c>
      <c r="D81">
        <v>19.888525999999999</v>
      </c>
      <c r="E81">
        <v>20.013781999999999</v>
      </c>
      <c r="F81">
        <v>28.705378</v>
      </c>
      <c r="G81">
        <v>25.551722000000002</v>
      </c>
      <c r="H81">
        <v>24.739611</v>
      </c>
      <c r="I81">
        <v>21.983150999999999</v>
      </c>
      <c r="J81">
        <v>54.972679999999997</v>
      </c>
      <c r="K81">
        <v>46.240625999999999</v>
      </c>
      <c r="L81">
        <v>89.107635000000002</v>
      </c>
      <c r="M81">
        <v>-622.52979400000004</v>
      </c>
      <c r="N81">
        <v>0.89684699999999995</v>
      </c>
      <c r="O81">
        <v>3.0276320000000001</v>
      </c>
      <c r="P81">
        <f t="shared" si="6"/>
        <v>1.494745E-5</v>
      </c>
      <c r="Q81" cm="1">
        <f t="array" ref="Q81">[1]!PropsSI("D","T",J81+273.15,"P",101325,"Water")</f>
        <v>985.70631263982648</v>
      </c>
      <c r="R81" cm="1">
        <f t="array" ref="R81">[1]!PropsSI("D","T",K81+273.15,"P",101325,"Water")</f>
        <v>989.6883583953886</v>
      </c>
      <c r="S81">
        <f t="shared" si="7"/>
        <v>987.6973355176076</v>
      </c>
      <c r="T81" cm="1">
        <f t="array" ref="T81">[1]!PropsSI("H","T",J81+273.15,"P",101325,"Water")</f>
        <v>230214.79669008972</v>
      </c>
      <c r="U81" cm="1">
        <f t="array" ref="U81">[1]!PropsSI("H","T",K81+273.15,"P",101325,"Water")</f>
        <v>193701.11270034721</v>
      </c>
      <c r="V81">
        <f t="shared" si="8"/>
        <v>539.0718379852932</v>
      </c>
    </row>
    <row r="82" spans="1:22" x14ac:dyDescent="0.2">
      <c r="A82">
        <v>46122.646022569446</v>
      </c>
      <c r="B82">
        <v>20.21386</v>
      </c>
      <c r="C82">
        <v>20.372727000000001</v>
      </c>
      <c r="D82">
        <v>20.033370999999999</v>
      </c>
      <c r="E82">
        <v>20.070049999999998</v>
      </c>
      <c r="F82">
        <v>28.881656</v>
      </c>
      <c r="G82">
        <v>25.762706999999999</v>
      </c>
      <c r="H82">
        <v>25.324983</v>
      </c>
      <c r="I82">
        <v>22.385781000000001</v>
      </c>
      <c r="J82">
        <v>54.980316999999999</v>
      </c>
      <c r="K82">
        <v>46.239992000000001</v>
      </c>
      <c r="L82">
        <v>89.768417999999997</v>
      </c>
      <c r="M82">
        <v>-622.49224500000003</v>
      </c>
      <c r="N82">
        <v>0.894339</v>
      </c>
      <c r="O82">
        <v>3.9760309999999999</v>
      </c>
      <c r="P82">
        <f t="shared" si="6"/>
        <v>1.490565E-5</v>
      </c>
      <c r="Q82" cm="1">
        <f t="array" ref="Q82">[1]!PropsSI("D","T",J82+273.15,"P",101325,"Water")</f>
        <v>985.70261596726789</v>
      </c>
      <c r="R82" cm="1">
        <f t="array" ref="R82">[1]!PropsSI("D","T",K82+273.15,"P",101325,"Water")</f>
        <v>989.68862916327532</v>
      </c>
      <c r="S82">
        <f t="shared" si="7"/>
        <v>987.69562256527161</v>
      </c>
      <c r="T82" cm="1">
        <f t="array" ref="T82">[1]!PropsSI("H","T",J82+273.15,"P",101325,"Water")</f>
        <v>230246.741863993</v>
      </c>
      <c r="U82" cm="1">
        <f t="array" ref="U82">[1]!PropsSI("H","T",K82+273.15,"P",101325,"Water")</f>
        <v>193698.46232780727</v>
      </c>
      <c r="V82">
        <f t="shared" si="8"/>
        <v>538.07273503448232</v>
      </c>
    </row>
    <row r="83" spans="1:22" x14ac:dyDescent="0.2">
      <c r="A83">
        <v>46122.646081018516</v>
      </c>
      <c r="B83">
        <v>20.141027000000001</v>
      </c>
      <c r="C83">
        <v>20.415666999999999</v>
      </c>
      <c r="D83">
        <v>19.973465000000001</v>
      </c>
      <c r="E83">
        <v>20.052807999999999</v>
      </c>
      <c r="F83">
        <v>28.761443</v>
      </c>
      <c r="G83">
        <v>25.696860999999998</v>
      </c>
      <c r="H83">
        <v>24.926185</v>
      </c>
      <c r="I83">
        <v>22.271386</v>
      </c>
      <c r="J83">
        <v>54.976339000000003</v>
      </c>
      <c r="K83">
        <v>46.239992000000001</v>
      </c>
      <c r="L83">
        <v>86.813463999999996</v>
      </c>
      <c r="M83">
        <v>-622.493878</v>
      </c>
      <c r="N83">
        <v>0.89394200000000001</v>
      </c>
      <c r="O83">
        <v>3.4911509999999999</v>
      </c>
      <c r="P83">
        <f t="shared" si="6"/>
        <v>1.4899033333333333E-5</v>
      </c>
      <c r="Q83" cm="1">
        <f t="array" ref="Q83">[1]!PropsSI("D","T",J83+273.15,"P",101325,"Water")</f>
        <v>985.70454155435118</v>
      </c>
      <c r="R83" cm="1">
        <f t="array" ref="R83">[1]!PropsSI("D","T",K83+273.15,"P",101325,"Water")</f>
        <v>989.68862916327532</v>
      </c>
      <c r="S83">
        <f t="shared" si="7"/>
        <v>987.69658535881331</v>
      </c>
      <c r="T83" cm="1">
        <f t="array" ref="T83">[1]!PropsSI("H","T",J83+273.15,"P",101325,"Water")</f>
        <v>230230.10209421042</v>
      </c>
      <c r="U83" cm="1">
        <f t="array" ref="U83">[1]!PropsSI("H","T",K83+273.15,"P",101325,"Water")</f>
        <v>193698.46232780727</v>
      </c>
      <c r="V83">
        <f t="shared" si="8"/>
        <v>537.58954080037631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FD92-7A82-644B-9A0C-14934407F3F8}">
  <dimension ref="A1:W53"/>
  <sheetViews>
    <sheetView topLeftCell="E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44660.649389467799</v>
      </c>
      <c r="B2">
        <v>20.303008999999999</v>
      </c>
      <c r="C2">
        <v>20.375453</v>
      </c>
      <c r="D2">
        <v>20.124544</v>
      </c>
      <c r="E2">
        <v>20.223925999999999</v>
      </c>
      <c r="F2">
        <v>27.914992999999999</v>
      </c>
      <c r="G2">
        <v>25.069330999999998</v>
      </c>
      <c r="H2">
        <v>24.404229000000001</v>
      </c>
      <c r="I2">
        <v>21.985916</v>
      </c>
      <c r="J2">
        <v>54.954224000000004</v>
      </c>
      <c r="K2">
        <v>45.843316000000002</v>
      </c>
      <c r="L2">
        <v>121.176641</v>
      </c>
      <c r="M2">
        <v>-622.50122399999998</v>
      </c>
      <c r="N2">
        <v>0.89411399999999996</v>
      </c>
      <c r="O2">
        <v>3.8258999999999999</v>
      </c>
      <c r="P2">
        <f xml:space="preserve"> N2*0.001/60</f>
        <v>1.49019E-5</v>
      </c>
      <c r="Q2" cm="1">
        <f t="array" ref="Q2">[1]!PropsSI("D","T",J2+273.15,"P",101325,"Water")</f>
        <v>985.71524472958981</v>
      </c>
      <c r="R2" cm="1">
        <f t="array" ref="R2">[1]!PropsSI("D","T",K2+273.15,"P",101325,"Water")</f>
        <v>989.85749941153938</v>
      </c>
      <c r="S2">
        <f t="shared" ref="S2:S9" si="0">(Q2+R2)/2</f>
        <v>987.78637207056454</v>
      </c>
      <c r="T2" cm="1">
        <f t="array" ref="T2">[1]!PropsSI("H","T",J2+273.15,"P",101325,"Water")</f>
        <v>230137.59628867757</v>
      </c>
      <c r="U2" cm="1">
        <f t="array" ref="U2">[1]!PropsSI("H","T",K2+273.15,"P",101325,"Water")</f>
        <v>192040.21560095454</v>
      </c>
      <c r="V2">
        <f t="shared" ref="V2:V9" si="1">S2*P2*(T2-U2)</f>
        <v>560.78939541782938</v>
      </c>
      <c r="W2" s="2">
        <f>AVERAGE(V2:V53)</f>
        <v>558.87860087298964</v>
      </c>
    </row>
    <row r="3" spans="1:23" x14ac:dyDescent="0.2">
      <c r="A3">
        <v>44660.649447338103</v>
      </c>
      <c r="B3">
        <v>20.359113000000001</v>
      </c>
      <c r="C3">
        <v>20.380474</v>
      </c>
      <c r="D3">
        <v>20.079885999999998</v>
      </c>
      <c r="E3">
        <v>20.173065999999999</v>
      </c>
      <c r="F3">
        <v>27.935072999999999</v>
      </c>
      <c r="G3">
        <v>25.049344999999999</v>
      </c>
      <c r="H3">
        <v>24.476738000000001</v>
      </c>
      <c r="I3">
        <v>21.919457999999999</v>
      </c>
      <c r="J3">
        <v>54.948655000000002</v>
      </c>
      <c r="K3">
        <v>45.834431000000002</v>
      </c>
      <c r="L3">
        <v>126.883703</v>
      </c>
      <c r="M3">
        <v>-622.51550899999995</v>
      </c>
      <c r="N3">
        <v>0.89614700000000003</v>
      </c>
      <c r="O3">
        <v>3.5472049999999999</v>
      </c>
      <c r="P3">
        <f xml:space="preserve"> N3*0.001/60</f>
        <v>1.4935783333333334E-5</v>
      </c>
      <c r="Q3" cm="1">
        <f t="array" ref="Q3">[1]!PropsSI("D","T",J3+273.15,"P",101325,"Water")</f>
        <v>985.71793952474809</v>
      </c>
      <c r="R3" cm="1">
        <f t="array" ref="R3">[1]!PropsSI("D","T",K3+273.15,"P",101325,"Water")</f>
        <v>989.86126946969159</v>
      </c>
      <c r="S3">
        <f t="shared" si="0"/>
        <v>987.7896044972199</v>
      </c>
      <c r="T3" cm="1">
        <f t="array" ref="T3">[1]!PropsSI("H","T",J3+273.15,"P",101325,"Water")</f>
        <v>230114.30150161451</v>
      </c>
      <c r="U3" cm="1">
        <f t="array" ref="U3">[1]!PropsSI("H","T",K3+273.15,"P",101325,"Water")</f>
        <v>192003.07352603597</v>
      </c>
      <c r="V3">
        <f t="shared" si="1"/>
        <v>562.2706295395235</v>
      </c>
      <c r="W3" s="2"/>
    </row>
    <row r="4" spans="1:23" x14ac:dyDescent="0.2">
      <c r="A4">
        <v>44660.649505787202</v>
      </c>
      <c r="B4">
        <v>20.436615</v>
      </c>
      <c r="C4">
        <v>20.403699</v>
      </c>
      <c r="D4">
        <v>20.060859000000001</v>
      </c>
      <c r="E4">
        <v>20.200645000000002</v>
      </c>
      <c r="F4">
        <v>28.014137000000002</v>
      </c>
      <c r="G4">
        <v>25.160976000000002</v>
      </c>
      <c r="H4">
        <v>24.575146</v>
      </c>
      <c r="I4">
        <v>22.377317000000001</v>
      </c>
      <c r="J4">
        <v>54.951678000000001</v>
      </c>
      <c r="K4">
        <v>45.839824999999998</v>
      </c>
      <c r="L4">
        <v>116.76992300000001</v>
      </c>
      <c r="M4">
        <v>-622.45510400000001</v>
      </c>
      <c r="N4">
        <v>0.89607700000000001</v>
      </c>
      <c r="O4">
        <v>3.9232550000000002</v>
      </c>
      <c r="P4">
        <f xml:space="preserve"> N4*0.001/60</f>
        <v>1.4934616666666666E-5</v>
      </c>
      <c r="Q4" cm="1">
        <f t="array" ref="Q4">[1]!PropsSI("D","T",J4+273.15,"P",101325,"Water")</f>
        <v>985.71647674280189</v>
      </c>
      <c r="R4" cm="1">
        <f t="array" ref="R4">[1]!PropsSI("D","T",K4+273.15,"P",101325,"Water")</f>
        <v>989.85898076774743</v>
      </c>
      <c r="S4">
        <f t="shared" si="0"/>
        <v>987.78772875527466</v>
      </c>
      <c r="T4" cm="1">
        <f t="array" ref="T4">[1]!PropsSI("H","T",J4+273.15,"P",101325,"Water")</f>
        <v>230126.94652468379</v>
      </c>
      <c r="U4" cm="1">
        <f t="array" ref="U4">[1]!PropsSI("H","T",K4+273.15,"P",101325,"Water")</f>
        <v>192025.6221286967</v>
      </c>
      <c r="V4">
        <f t="shared" si="1"/>
        <v>562.07954182923754</v>
      </c>
      <c r="W4" s="2"/>
    </row>
    <row r="5" spans="1:23" x14ac:dyDescent="0.2">
      <c r="A5">
        <v>44660.6495636576</v>
      </c>
      <c r="B5">
        <v>20.25055</v>
      </c>
      <c r="C5">
        <v>20.458784999999999</v>
      </c>
      <c r="D5">
        <v>20.087623000000001</v>
      </c>
      <c r="E5">
        <v>20.221616999999998</v>
      </c>
      <c r="F5">
        <v>27.914753000000001</v>
      </c>
      <c r="G5">
        <v>25.178653000000001</v>
      </c>
      <c r="H5">
        <v>24.417124000000001</v>
      </c>
      <c r="I5">
        <v>21.861250999999999</v>
      </c>
      <c r="J5">
        <v>54.952314000000001</v>
      </c>
      <c r="K5">
        <v>45.841887999999997</v>
      </c>
      <c r="L5">
        <v>119.26939</v>
      </c>
      <c r="M5">
        <v>-622.46204299999999</v>
      </c>
      <c r="N5">
        <v>0.89578199999999997</v>
      </c>
      <c r="O5">
        <v>3.469217</v>
      </c>
      <c r="P5">
        <f xml:space="preserve"> N5*0.001/60</f>
        <v>1.49297E-5</v>
      </c>
      <c r="Q5" cm="1">
        <f t="array" ref="Q5">[1]!PropsSI("D","T",J5+273.15,"P",101325,"Water")</f>
        <v>985.71616898521563</v>
      </c>
      <c r="R5" cm="1">
        <f t="array" ref="R5">[1]!PropsSI("D","T",K5+273.15,"P",101325,"Water")</f>
        <v>989.8581053731973</v>
      </c>
      <c r="S5">
        <f t="shared" si="0"/>
        <v>987.78713717920641</v>
      </c>
      <c r="T5" cm="1">
        <f t="array" ref="T5">[1]!PropsSI("H","T",J5+273.15,"P",101325,"Water")</f>
        <v>230129.60687399685</v>
      </c>
      <c r="U5" cm="1">
        <f t="array" ref="U5">[1]!PropsSI("H","T",K5+273.15,"P",101325,"Water")</f>
        <v>192034.24611382195</v>
      </c>
      <c r="V5">
        <f t="shared" si="1"/>
        <v>561.80621363017292</v>
      </c>
      <c r="W5" s="2"/>
    </row>
    <row r="6" spans="1:23" x14ac:dyDescent="0.2">
      <c r="A6">
        <v>46122.64962152778</v>
      </c>
      <c r="B6">
        <v>20.34863</v>
      </c>
      <c r="C6">
        <v>20.725930000000002</v>
      </c>
      <c r="D6">
        <v>20.163042999999998</v>
      </c>
      <c r="E6">
        <v>20.265933</v>
      </c>
      <c r="F6">
        <v>27.969726000000001</v>
      </c>
      <c r="G6">
        <v>25.237636999999999</v>
      </c>
      <c r="H6">
        <v>24.149498000000001</v>
      </c>
      <c r="I6">
        <v>21.795801000000001</v>
      </c>
      <c r="J6">
        <v>54.950564</v>
      </c>
      <c r="K6">
        <v>45.840142</v>
      </c>
      <c r="L6">
        <v>113.585185</v>
      </c>
      <c r="M6">
        <v>-622.48285799999996</v>
      </c>
      <c r="N6">
        <v>0.89815</v>
      </c>
      <c r="O6">
        <v>3.6893799999999999</v>
      </c>
      <c r="P6">
        <f xml:space="preserve"> N6*0.001/60</f>
        <v>1.4969166666666667E-5</v>
      </c>
      <c r="Q6" cm="1">
        <f t="array" ref="Q6">[1]!PropsSI("D","T",J6+273.15,"P",101325,"Water")</f>
        <v>985.7170157964199</v>
      </c>
      <c r="R6" cm="1">
        <f t="array" ref="R6">[1]!PropsSI("D","T",K6+273.15,"P",101325,"Water")</f>
        <v>989.85884625677829</v>
      </c>
      <c r="S6">
        <f t="shared" si="0"/>
        <v>987.78793102659915</v>
      </c>
      <c r="T6" cm="1">
        <f t="array" ref="T6">[1]!PropsSI("H","T",J6+273.15,"P",101325,"Water")</f>
        <v>230122.28673081653</v>
      </c>
      <c r="U6" cm="1">
        <f t="array" ref="U6">[1]!PropsSI("H","T",K6+273.15,"P",101325,"Water")</f>
        <v>192026.94728781068</v>
      </c>
      <c r="V6">
        <f t="shared" si="1"/>
        <v>563.29148602609462</v>
      </c>
      <c r="W6" s="2"/>
    </row>
    <row r="7" spans="1:23" x14ac:dyDescent="0.2">
      <c r="A7">
        <v>46122.64967939815</v>
      </c>
      <c r="B7">
        <v>20.631139999999998</v>
      </c>
      <c r="C7">
        <v>20.800613999999999</v>
      </c>
      <c r="D7">
        <v>20.194796</v>
      </c>
      <c r="E7">
        <v>20.271169</v>
      </c>
      <c r="F7">
        <v>28.093409999999999</v>
      </c>
      <c r="G7">
        <v>25.228898999999998</v>
      </c>
      <c r="H7">
        <v>24.507162000000001</v>
      </c>
      <c r="I7">
        <v>22.173977000000001</v>
      </c>
      <c r="J7">
        <v>54.948813999999999</v>
      </c>
      <c r="K7">
        <v>45.841253000000002</v>
      </c>
      <c r="L7">
        <v>124.286282</v>
      </c>
      <c r="M7">
        <v>-622.50693799999999</v>
      </c>
      <c r="N7">
        <v>0.90099799999999997</v>
      </c>
      <c r="O7">
        <v>3.3651779999999998</v>
      </c>
      <c r="P7">
        <f xml:space="preserve"> N7*0.001/60</f>
        <v>1.5016633333333333E-5</v>
      </c>
      <c r="Q7" cm="1">
        <f t="array" ref="Q7">[1]!PropsSI("D","T",J7+273.15,"P",101325,"Water")</f>
        <v>985.71786258857742</v>
      </c>
      <c r="R7" cm="1">
        <f t="array" ref="R7">[1]!PropsSI("D","T",K7+273.15,"P",101325,"Water")</f>
        <v>989.85837482640102</v>
      </c>
      <c r="S7">
        <f t="shared" si="0"/>
        <v>987.78811870748928</v>
      </c>
      <c r="T7" cm="1">
        <f t="array" ref="T7">[1]!PropsSI("H","T",J7+273.15,"P",101325,"Water")</f>
        <v>230114.96658876559</v>
      </c>
      <c r="U7" cm="1">
        <f t="array" ref="U7">[1]!PropsSI("H","T",K7+273.15,"P",101325,"Water")</f>
        <v>192031.59161525892</v>
      </c>
      <c r="V7">
        <f t="shared" si="1"/>
        <v>564.90029759848835</v>
      </c>
    </row>
    <row r="8" spans="1:23" x14ac:dyDescent="0.2">
      <c r="A8">
        <v>46122.64973784722</v>
      </c>
      <c r="B8">
        <v>20.445732</v>
      </c>
      <c r="C8">
        <v>20.533221000000001</v>
      </c>
      <c r="D8">
        <v>20.116327999999999</v>
      </c>
      <c r="E8">
        <v>20.258524999999999</v>
      </c>
      <c r="F8">
        <v>27.963253999999999</v>
      </c>
      <c r="G8">
        <v>25.122993999999998</v>
      </c>
      <c r="H8">
        <v>24.532502000000001</v>
      </c>
      <c r="I8">
        <v>22.008420999999998</v>
      </c>
      <c r="J8">
        <v>54.945950000000003</v>
      </c>
      <c r="K8">
        <v>45.848551</v>
      </c>
      <c r="L8">
        <v>108.919296</v>
      </c>
      <c r="M8">
        <v>-622.48326599999996</v>
      </c>
      <c r="N8">
        <v>0.892065</v>
      </c>
      <c r="O8">
        <v>3.5902080000000001</v>
      </c>
      <c r="P8">
        <f xml:space="preserve"> N8*0.001/60</f>
        <v>1.486775E-5</v>
      </c>
      <c r="Q8" cm="1">
        <f t="array" ref="Q8">[1]!PropsSI("D","T",J8+273.15,"P",101325,"Water")</f>
        <v>985.71924838340487</v>
      </c>
      <c r="R8" cm="1">
        <f t="array" ref="R8">[1]!PropsSI("D","T",K8+273.15,"P",101325,"Water")</f>
        <v>989.85527785620354</v>
      </c>
      <c r="S8">
        <f t="shared" si="0"/>
        <v>987.78726311980427</v>
      </c>
      <c r="T8" cm="1">
        <f t="array" ref="T8">[1]!PropsSI("H","T",J8+273.15,"P",101325,"Water")</f>
        <v>230102.98665577773</v>
      </c>
      <c r="U8" cm="1">
        <f t="array" ref="U8">[1]!PropsSI("H","T",K8+273.15,"P",101325,"Water")</f>
        <v>192062.09954380355</v>
      </c>
      <c r="V8">
        <f t="shared" si="1"/>
        <v>558.6750903316123</v>
      </c>
    </row>
    <row r="9" spans="1:23" x14ac:dyDescent="0.2">
      <c r="A9">
        <v>46122.649796296297</v>
      </c>
      <c r="B9">
        <v>20.467139</v>
      </c>
      <c r="C9">
        <v>20.554216</v>
      </c>
      <c r="D9">
        <v>20.134537000000002</v>
      </c>
      <c r="E9">
        <v>20.237950999999999</v>
      </c>
      <c r="F9">
        <v>28.123289</v>
      </c>
      <c r="G9">
        <v>25.192169</v>
      </c>
      <c r="H9">
        <v>24.343164999999999</v>
      </c>
      <c r="I9">
        <v>21.946677999999999</v>
      </c>
      <c r="J9">
        <v>54.948973000000002</v>
      </c>
      <c r="K9">
        <v>45.851249000000003</v>
      </c>
      <c r="L9">
        <v>117.685796</v>
      </c>
      <c r="M9">
        <v>-622.52938600000004</v>
      </c>
      <c r="N9">
        <v>0.89415100000000003</v>
      </c>
      <c r="O9">
        <v>3.3403339999999999</v>
      </c>
      <c r="P9">
        <f xml:space="preserve"> N9*0.001/60</f>
        <v>1.4902516666666667E-5</v>
      </c>
      <c r="Q9" cm="1">
        <f t="array" ref="Q9">[1]!PropsSI("D","T",J9+273.15,"P",101325,"Water")</f>
        <v>985.71778565225873</v>
      </c>
      <c r="R9" cm="1">
        <f t="array" ref="R9">[1]!PropsSI("D","T",K9+273.15,"P",101325,"Water")</f>
        <v>989.85413284328718</v>
      </c>
      <c r="S9">
        <f t="shared" si="0"/>
        <v>987.78595924777301</v>
      </c>
      <c r="T9" cm="1">
        <f t="array" ref="T9">[1]!PropsSI("H","T",J9+273.15,"P",101325,"Water")</f>
        <v>230115.63167591105</v>
      </c>
      <c r="U9" cm="1">
        <f t="array" ref="U9">[1]!PropsSI("H","T",K9+273.15,"P",101325,"Water")</f>
        <v>192073.37803273075</v>
      </c>
      <c r="V9">
        <f t="shared" si="1"/>
        <v>560.00087000586882</v>
      </c>
    </row>
    <row r="10" spans="1:23" x14ac:dyDescent="0.2">
      <c r="A10">
        <v>44660.649854745498</v>
      </c>
      <c r="B10">
        <v>20.593404</v>
      </c>
      <c r="C10">
        <v>20.542697</v>
      </c>
      <c r="D10">
        <v>20.189406999999999</v>
      </c>
      <c r="E10">
        <v>20.285592000000001</v>
      </c>
      <c r="F10">
        <v>28.174008000000001</v>
      </c>
      <c r="G10">
        <v>25.194085999999999</v>
      </c>
      <c r="H10">
        <v>24.317668999999999</v>
      </c>
      <c r="I10">
        <v>21.805456</v>
      </c>
      <c r="J10">
        <v>54.940221999999999</v>
      </c>
      <c r="K10">
        <v>45.842680999999999</v>
      </c>
      <c r="L10">
        <v>128.738304</v>
      </c>
      <c r="M10">
        <v>-622.51183600000002</v>
      </c>
      <c r="N10">
        <v>0.89726899999999998</v>
      </c>
      <c r="O10">
        <v>3.383858</v>
      </c>
      <c r="P10">
        <f t="shared" ref="P10:P53" si="2" xml:space="preserve"> N10*0.001/60</f>
        <v>1.4954483333333334E-5</v>
      </c>
      <c r="Q10" cm="1">
        <f t="array" ref="Q10">[1]!PropsSI("D","T",J10+273.15,"P",101325,"Water")</f>
        <v>985.72201982020999</v>
      </c>
      <c r="R10" cm="1">
        <f t="array" ref="R10">[1]!PropsSI("D","T",K10+273.15,"P",101325,"Water")</f>
        <v>989.85776887100621</v>
      </c>
      <c r="S10">
        <f t="shared" ref="S10:S53" si="3">(Q10+R10)/2</f>
        <v>987.7898943456081</v>
      </c>
      <c r="T10" cm="1">
        <f t="array" ref="T10">[1]!PropsSI("H","T",J10+273.15,"P",101325,"Water")</f>
        <v>230079.02679872446</v>
      </c>
      <c r="U10" cm="1">
        <f t="array" ref="U10">[1]!PropsSI("H","T",K10+273.15,"P",101325,"Water")</f>
        <v>192037.56110212053</v>
      </c>
      <c r="V10">
        <f t="shared" ref="V10:V53" si="4">S10*P10*(T10-U10)</f>
        <v>561.94425205523953</v>
      </c>
    </row>
    <row r="11" spans="1:23" x14ac:dyDescent="0.2">
      <c r="A11">
        <v>44660.649913194597</v>
      </c>
      <c r="B11">
        <v>20.624302</v>
      </c>
      <c r="C11">
        <v>20.762734999999999</v>
      </c>
      <c r="D11">
        <v>20.233511</v>
      </c>
      <c r="E11">
        <v>20.320969999999999</v>
      </c>
      <c r="F11">
        <v>28.190961999999999</v>
      </c>
      <c r="G11">
        <v>25.195001000000001</v>
      </c>
      <c r="H11">
        <v>24.505268999999998</v>
      </c>
      <c r="I11">
        <v>22.011946999999999</v>
      </c>
      <c r="J11">
        <v>54.943244999999997</v>
      </c>
      <c r="K11">
        <v>45.838873</v>
      </c>
      <c r="L11">
        <v>120.444841</v>
      </c>
      <c r="M11">
        <v>-622.49591899999996</v>
      </c>
      <c r="N11">
        <v>0.89737999999999996</v>
      </c>
      <c r="O11">
        <v>3.407635</v>
      </c>
      <c r="P11">
        <f t="shared" si="2"/>
        <v>1.4956333333333333E-5</v>
      </c>
      <c r="Q11" cm="1">
        <f t="array" ref="Q11">[1]!PropsSI("D","T",J11+273.15,"P",101325,"Water")</f>
        <v>985.72055719661046</v>
      </c>
      <c r="R11" cm="1">
        <f t="array" ref="R11">[1]!PropsSI("D","T",K11+273.15,"P",101325,"Water")</f>
        <v>989.85938472084069</v>
      </c>
      <c r="S11">
        <f t="shared" si="3"/>
        <v>987.78997095872558</v>
      </c>
      <c r="T11" cm="1">
        <f t="array" ref="T11">[1]!PropsSI("H","T",J11+273.15,"P",101325,"Water")</f>
        <v>230091.67181261096</v>
      </c>
      <c r="U11" cm="1">
        <f t="array" ref="U11">[1]!PropsSI("H","T",K11+273.15,"P",101325,"Water")</f>
        <v>192021.64247124412</v>
      </c>
      <c r="V11">
        <f t="shared" si="4"/>
        <v>562.43580422718094</v>
      </c>
    </row>
    <row r="12" spans="1:23" x14ac:dyDescent="0.2">
      <c r="A12">
        <v>44660.649971065002</v>
      </c>
      <c r="B12">
        <v>20.501532999999998</v>
      </c>
      <c r="C12">
        <v>20.412126000000001</v>
      </c>
      <c r="D12">
        <v>20.147285</v>
      </c>
      <c r="E12">
        <v>20.216107000000001</v>
      </c>
      <c r="F12">
        <v>28.083174</v>
      </c>
      <c r="G12">
        <v>25.027006</v>
      </c>
      <c r="H12">
        <v>24.175803999999999</v>
      </c>
      <c r="I12">
        <v>21.855067999999999</v>
      </c>
      <c r="J12">
        <v>54.944836000000002</v>
      </c>
      <c r="K12">
        <v>45.840777000000003</v>
      </c>
      <c r="L12">
        <v>123.338982</v>
      </c>
      <c r="M12">
        <v>-622.48000100000002</v>
      </c>
      <c r="N12">
        <v>0.894675</v>
      </c>
      <c r="O12">
        <v>3.7873320000000001</v>
      </c>
      <c r="P12">
        <f t="shared" si="2"/>
        <v>1.4911250000000001E-5</v>
      </c>
      <c r="Q12" cm="1">
        <f t="array" ref="Q12">[1]!PropsSI("D","T",J12+273.15,"P",101325,"Water")</f>
        <v>985.71978739738324</v>
      </c>
      <c r="R12" cm="1">
        <f t="array" ref="R12">[1]!PropsSI("D","T",K12+273.15,"P",101325,"Water")</f>
        <v>989.85857680842207</v>
      </c>
      <c r="S12">
        <f t="shared" si="3"/>
        <v>987.78918210290271</v>
      </c>
      <c r="T12" cm="1">
        <f t="array" ref="T12">[1]!PropsSI("H","T",J12+273.15,"P",101325,"Water")</f>
        <v>230098.32686425431</v>
      </c>
      <c r="U12" cm="1">
        <f t="array" ref="U12">[1]!PropsSI("H","T",K12+273.15,"P",101325,"Water")</f>
        <v>192029.60178632787</v>
      </c>
      <c r="V12">
        <f t="shared" si="4"/>
        <v>560.72077823713062</v>
      </c>
    </row>
    <row r="13" spans="1:23" x14ac:dyDescent="0.2">
      <c r="A13">
        <v>44660.650028935401</v>
      </c>
      <c r="B13">
        <v>20.836832000000001</v>
      </c>
      <c r="C13">
        <v>20.710989000000001</v>
      </c>
      <c r="D13">
        <v>20.191738999999998</v>
      </c>
      <c r="E13">
        <v>20.301224000000001</v>
      </c>
      <c r="F13">
        <v>28.281462000000001</v>
      </c>
      <c r="G13">
        <v>25.134629</v>
      </c>
      <c r="H13">
        <v>24.351790999999999</v>
      </c>
      <c r="I13">
        <v>21.998874000000001</v>
      </c>
      <c r="J13">
        <v>54.944200000000002</v>
      </c>
      <c r="K13">
        <v>45.841411999999998</v>
      </c>
      <c r="L13">
        <v>113.59171499999999</v>
      </c>
      <c r="M13">
        <v>-622.47265400000003</v>
      </c>
      <c r="N13">
        <v>0.89766299999999999</v>
      </c>
      <c r="O13">
        <v>3.2668059999999999</v>
      </c>
      <c r="P13">
        <f t="shared" si="2"/>
        <v>1.4961050000000001E-5</v>
      </c>
      <c r="Q13" cm="1">
        <f t="array" ref="Q13">[1]!PropsSI("D","T",J13+273.15,"P",101325,"Water")</f>
        <v>985.72009512541422</v>
      </c>
      <c r="R13" cm="1">
        <f t="array" ref="R13">[1]!PropsSI("D","T",K13+273.15,"P",101325,"Water")</f>
        <v>989.85830735728405</v>
      </c>
      <c r="S13">
        <f t="shared" si="3"/>
        <v>987.78920124134913</v>
      </c>
      <c r="T13" cm="1">
        <f t="array" ref="T13">[1]!PropsSI("H","T",J13+273.15,"P",101325,"Water")</f>
        <v>230095.66651663257</v>
      </c>
      <c r="U13" cm="1">
        <f t="array" ref="U13">[1]!PropsSI("H","T",K13+273.15,"P",101325,"Water")</f>
        <v>192032.2562849542</v>
      </c>
      <c r="V13">
        <f t="shared" si="4"/>
        <v>562.51491737236847</v>
      </c>
    </row>
    <row r="14" spans="1:23" x14ac:dyDescent="0.2">
      <c r="A14">
        <v>44660.650087384398</v>
      </c>
      <c r="B14">
        <v>21.127566000000002</v>
      </c>
      <c r="C14">
        <v>21.006976000000002</v>
      </c>
      <c r="D14">
        <v>20.269832000000001</v>
      </c>
      <c r="E14">
        <v>20.406994000000001</v>
      </c>
      <c r="F14">
        <v>28.443051000000001</v>
      </c>
      <c r="G14">
        <v>25.348568</v>
      </c>
      <c r="H14">
        <v>24.643409999999999</v>
      </c>
      <c r="I14">
        <v>22.070815</v>
      </c>
      <c r="J14">
        <v>54.942608999999997</v>
      </c>
      <c r="K14">
        <v>45.858705999999998</v>
      </c>
      <c r="L14">
        <v>117.110722</v>
      </c>
      <c r="M14">
        <v>-622.52856999999995</v>
      </c>
      <c r="N14">
        <v>0.89619199999999999</v>
      </c>
      <c r="O14">
        <v>3.5646399999999998</v>
      </c>
      <c r="P14">
        <f t="shared" si="2"/>
        <v>1.4936533333333333E-5</v>
      </c>
      <c r="Q14" cm="1">
        <f t="array" ref="Q14">[1]!PropsSI("D","T",J14+273.15,"P",101325,"Water")</f>
        <v>985.72086491838593</v>
      </c>
      <c r="R14" cm="1">
        <f t="array" ref="R14">[1]!PropsSI("D","T",K14+273.15,"P",101325,"Water")</f>
        <v>989.85096788197859</v>
      </c>
      <c r="S14">
        <f t="shared" si="3"/>
        <v>987.78591640018226</v>
      </c>
      <c r="T14" cm="1">
        <f t="array" ref="T14">[1]!PropsSI("H","T",J14+273.15,"P",101325,"Water")</f>
        <v>230089.01146537639</v>
      </c>
      <c r="U14" cm="1">
        <f t="array" ref="U14">[1]!PropsSI("H","T",K14+273.15,"P",101325,"Water")</f>
        <v>192104.55064701807</v>
      </c>
      <c r="V14">
        <f t="shared" si="4"/>
        <v>560.42642952994106</v>
      </c>
    </row>
    <row r="15" spans="1:23" x14ac:dyDescent="0.2">
      <c r="A15">
        <v>46122.650145254629</v>
      </c>
      <c r="B15">
        <v>20.610384</v>
      </c>
      <c r="C15">
        <v>20.531217000000002</v>
      </c>
      <c r="D15">
        <v>20.200443</v>
      </c>
      <c r="E15">
        <v>20.376455</v>
      </c>
      <c r="F15">
        <v>28.125561999999999</v>
      </c>
      <c r="G15">
        <v>25.119645999999999</v>
      </c>
      <c r="H15">
        <v>24.296589000000001</v>
      </c>
      <c r="I15">
        <v>22.261101</v>
      </c>
      <c r="J15">
        <v>54.942132000000001</v>
      </c>
      <c r="K15">
        <v>45.874412999999997</v>
      </c>
      <c r="L15">
        <v>118.640034</v>
      </c>
      <c r="M15">
        <v>-622.48244999999997</v>
      </c>
      <c r="N15">
        <v>0.898007</v>
      </c>
      <c r="O15">
        <v>3.7963800000000001</v>
      </c>
      <c r="P15">
        <f t="shared" si="2"/>
        <v>1.4966783333333334E-5</v>
      </c>
      <c r="Q15" cm="1">
        <f t="array" ref="Q15">[1]!PropsSI("D","T",J15+273.15,"P",101325,"Water")</f>
        <v>985.72109570803218</v>
      </c>
      <c r="R15" cm="1">
        <f t="array" ref="R15">[1]!PropsSI("D","T",K15+273.15,"P",101325,"Water")</f>
        <v>989.84430013353824</v>
      </c>
      <c r="S15">
        <f t="shared" si="3"/>
        <v>987.78269792078527</v>
      </c>
      <c r="T15" cm="1">
        <f t="array" ref="T15">[1]!PropsSI("H","T",J15+273.15,"P",101325,"Water")</f>
        <v>230087.01620506498</v>
      </c>
      <c r="U15" cm="1">
        <f t="array" ref="U15">[1]!PropsSI("H","T",K15+273.15,"P",101325,"Water")</f>
        <v>192170.21090445662</v>
      </c>
      <c r="V15">
        <f t="shared" si="4"/>
        <v>560.55938098686283</v>
      </c>
    </row>
    <row r="16" spans="1:23" x14ac:dyDescent="0.2">
      <c r="A16">
        <v>46122.650203703706</v>
      </c>
      <c r="B16">
        <v>20.434362</v>
      </c>
      <c r="C16">
        <v>20.38382</v>
      </c>
      <c r="D16">
        <v>20.088107000000001</v>
      </c>
      <c r="E16">
        <v>20.342703</v>
      </c>
      <c r="F16">
        <v>28.054321000000002</v>
      </c>
      <c r="G16">
        <v>25.105709000000001</v>
      </c>
      <c r="H16">
        <v>24.626387000000001</v>
      </c>
      <c r="I16">
        <v>22.05348</v>
      </c>
      <c r="J16">
        <v>54.942290999999997</v>
      </c>
      <c r="K16">
        <v>45.878697000000003</v>
      </c>
      <c r="L16">
        <v>116.906243</v>
      </c>
      <c r="M16">
        <v>-622.468165</v>
      </c>
      <c r="N16">
        <v>0.89497499999999997</v>
      </c>
      <c r="O16">
        <v>3.3771230000000001</v>
      </c>
      <c r="P16">
        <f t="shared" si="2"/>
        <v>1.491625E-5</v>
      </c>
      <c r="Q16" cm="1">
        <f t="array" ref="Q16">[1]!PropsSI("D","T",J16+273.15,"P",101325,"Water")</f>
        <v>985.72101877830096</v>
      </c>
      <c r="R16" cm="1">
        <f t="array" ref="R16">[1]!PropsSI("D","T",K16+273.15,"P",101325,"Water")</f>
        <v>989.84248124573594</v>
      </c>
      <c r="S16">
        <f t="shared" si="3"/>
        <v>987.78175001201839</v>
      </c>
      <c r="T16" cm="1">
        <f t="array" ref="T16">[1]!PropsSI("H","T",J16+273.15,"P",101325,"Water")</f>
        <v>230087.68129182112</v>
      </c>
      <c r="U16" cm="1">
        <f t="array" ref="U16">[1]!PropsSI("H","T",K16+273.15,"P",101325,"Water")</f>
        <v>192188.11939646566</v>
      </c>
      <c r="V16">
        <f t="shared" si="4"/>
        <v>558.41212710094953</v>
      </c>
    </row>
    <row r="17" spans="1:22" x14ac:dyDescent="0.2">
      <c r="A17">
        <v>46122.650262152776</v>
      </c>
      <c r="B17">
        <v>20.505721000000001</v>
      </c>
      <c r="C17">
        <v>20.439727000000001</v>
      </c>
      <c r="D17">
        <v>20.018653</v>
      </c>
      <c r="E17">
        <v>20.129467000000002</v>
      </c>
      <c r="F17">
        <v>28.100332999999999</v>
      </c>
      <c r="G17">
        <v>25.155301999999999</v>
      </c>
      <c r="H17">
        <v>24.015097999999998</v>
      </c>
      <c r="I17">
        <v>21.777007999999999</v>
      </c>
      <c r="J17">
        <v>54.936881</v>
      </c>
      <c r="K17">
        <v>45.874412999999997</v>
      </c>
      <c r="L17">
        <v>120.25138200000001</v>
      </c>
      <c r="M17">
        <v>-622.48897999999997</v>
      </c>
      <c r="N17">
        <v>0.89427400000000001</v>
      </c>
      <c r="O17">
        <v>3.2017169999999999</v>
      </c>
      <c r="P17">
        <f t="shared" si="2"/>
        <v>1.4904566666666668E-5</v>
      </c>
      <c r="Q17" cm="1">
        <f t="array" ref="Q17">[1]!PropsSI("D","T",J17+273.15,"P",101325,"Water")</f>
        <v>985.72363623629349</v>
      </c>
      <c r="R17" cm="1">
        <f t="array" ref="R17">[1]!PropsSI("D","T",K17+273.15,"P",101325,"Water")</f>
        <v>989.84430013353824</v>
      </c>
      <c r="S17">
        <f t="shared" si="3"/>
        <v>987.78396818491592</v>
      </c>
      <c r="T17" cm="1">
        <f t="array" ref="T17">[1]!PropsSI("H","T",J17+273.15,"P",101325,"Water")</f>
        <v>230065.05161522308</v>
      </c>
      <c r="U17" cm="1">
        <f t="array" ref="U17">[1]!PropsSI("H","T",K17+273.15,"P",101325,"Water")</f>
        <v>192170.21090445662</v>
      </c>
      <c r="V17">
        <f t="shared" si="4"/>
        <v>557.90648943580641</v>
      </c>
    </row>
    <row r="18" spans="1:22" x14ac:dyDescent="0.2">
      <c r="A18">
        <v>46122.650320023145</v>
      </c>
      <c r="B18">
        <v>20.799223999999999</v>
      </c>
      <c r="C18">
        <v>20.818515000000001</v>
      </c>
      <c r="D18">
        <v>20.029313999999999</v>
      </c>
      <c r="E18">
        <v>20.153113999999999</v>
      </c>
      <c r="F18">
        <v>28.308562999999999</v>
      </c>
      <c r="G18">
        <v>25.219324</v>
      </c>
      <c r="H18">
        <v>23.850456000000001</v>
      </c>
      <c r="I18">
        <v>21.941856000000001</v>
      </c>
      <c r="J18">
        <v>54.930517000000002</v>
      </c>
      <c r="K18">
        <v>45.860134000000002</v>
      </c>
      <c r="L18">
        <v>110.259637</v>
      </c>
      <c r="M18">
        <v>-622.50081599999999</v>
      </c>
      <c r="N18">
        <v>0.89332699999999998</v>
      </c>
      <c r="O18">
        <v>3.8278699999999999</v>
      </c>
      <c r="P18">
        <f t="shared" si="2"/>
        <v>1.4888783333333332E-5</v>
      </c>
      <c r="Q18" cm="1">
        <f t="array" ref="Q18">[1]!PropsSI("D","T",J18+273.15,"P",101325,"Water")</f>
        <v>985.72671502438311</v>
      </c>
      <c r="R18" cm="1">
        <f t="array" ref="R18">[1]!PropsSI("D","T",K18+273.15,"P",101325,"Water")</f>
        <v>989.85036175475398</v>
      </c>
      <c r="S18">
        <f t="shared" si="3"/>
        <v>987.78853838956854</v>
      </c>
      <c r="T18" cm="1">
        <f t="array" ref="T18">[1]!PropsSI("H","T",J18+273.15,"P",101325,"Water")</f>
        <v>230038.43143248578</v>
      </c>
      <c r="U18" cm="1">
        <f t="array" ref="U18">[1]!PropsSI("H","T",K18+273.15,"P",101325,"Water")</f>
        <v>192110.52013915265</v>
      </c>
      <c r="V18">
        <f t="shared" si="4"/>
        <v>557.80463562262025</v>
      </c>
    </row>
    <row r="19" spans="1:22" x14ac:dyDescent="0.2">
      <c r="A19">
        <v>46122.650378472223</v>
      </c>
      <c r="B19">
        <v>20.730974</v>
      </c>
      <c r="C19">
        <v>20.567938999999999</v>
      </c>
      <c r="D19">
        <v>20.084655999999999</v>
      </c>
      <c r="E19">
        <v>20.258424999999999</v>
      </c>
      <c r="F19">
        <v>28.160889999999998</v>
      </c>
      <c r="G19">
        <v>25.057019</v>
      </c>
      <c r="H19">
        <v>24.200056</v>
      </c>
      <c r="I19">
        <v>21.970257</v>
      </c>
      <c r="J19">
        <v>54.934972000000002</v>
      </c>
      <c r="K19">
        <v>45.852041999999997</v>
      </c>
      <c r="L19">
        <v>120.30239899999999</v>
      </c>
      <c r="M19">
        <v>-622.506122</v>
      </c>
      <c r="N19">
        <v>0.891401</v>
      </c>
      <c r="O19">
        <v>4.0191610000000004</v>
      </c>
      <c r="P19">
        <f t="shared" si="2"/>
        <v>1.4856683333333333E-5</v>
      </c>
      <c r="Q19" cm="1">
        <f t="array" ref="Q19">[1]!PropsSI("D","T",J19+273.15,"P",101325,"Water")</f>
        <v>985.7245598023793</v>
      </c>
      <c r="R19" cm="1">
        <f t="array" ref="R19">[1]!PropsSI("D","T",K19+273.15,"P",101325,"Water")</f>
        <v>989.85379628994315</v>
      </c>
      <c r="S19">
        <f t="shared" si="3"/>
        <v>987.78917804616117</v>
      </c>
      <c r="T19" cm="1">
        <f t="array" ref="T19">[1]!PropsSI("H","T",J19+273.15,"P",101325,"Water")</f>
        <v>230057.06639546112</v>
      </c>
      <c r="U19" cm="1">
        <f t="array" ref="U19">[1]!PropsSI("H","T",K19+273.15,"P",101325,"Water")</f>
        <v>192076.69302247686</v>
      </c>
      <c r="V19">
        <f t="shared" si="4"/>
        <v>557.37227262573504</v>
      </c>
    </row>
    <row r="20" spans="1:22" x14ac:dyDescent="0.2">
      <c r="A20">
        <v>46122.6504369213</v>
      </c>
      <c r="B20">
        <v>20.491892</v>
      </c>
      <c r="C20">
        <v>20.498442000000001</v>
      </c>
      <c r="D20">
        <v>20.02026</v>
      </c>
      <c r="E20">
        <v>20.186427999999999</v>
      </c>
      <c r="F20">
        <v>27.975667999999999</v>
      </c>
      <c r="G20">
        <v>25.090326000000001</v>
      </c>
      <c r="H20">
        <v>24.142797999999999</v>
      </c>
      <c r="I20">
        <v>21.826238</v>
      </c>
      <c r="J20">
        <v>54.940221999999999</v>
      </c>
      <c r="K20">
        <v>45.854897999999999</v>
      </c>
      <c r="L20">
        <v>111.657118</v>
      </c>
      <c r="M20">
        <v>-622.53673300000003</v>
      </c>
      <c r="N20">
        <v>0.89482700000000004</v>
      </c>
      <c r="O20">
        <v>3.594071</v>
      </c>
      <c r="P20">
        <f t="shared" si="2"/>
        <v>1.4913783333333334E-5</v>
      </c>
      <c r="Q20" cm="1">
        <f t="array" ref="Q20">[1]!PropsSI("D","T",J20+273.15,"P",101325,"Water")</f>
        <v>985.72201982020999</v>
      </c>
      <c r="R20" cm="1">
        <f t="array" ref="R20">[1]!PropsSI("D","T",K20+273.15,"P",101325,"Water")</f>
        <v>989.85258415258988</v>
      </c>
      <c r="S20">
        <f t="shared" si="3"/>
        <v>987.78730198639994</v>
      </c>
      <c r="T20" cm="1">
        <f t="array" ref="T20">[1]!PropsSI("H","T",J20+273.15,"P",101325,"Water")</f>
        <v>230079.02679872446</v>
      </c>
      <c r="U20" cm="1">
        <f t="array" ref="U20">[1]!PropsSI("H","T",K20+273.15,"P",101325,"Water")</f>
        <v>192088.63200328831</v>
      </c>
      <c r="V20">
        <f t="shared" si="4"/>
        <v>559.66103997575362</v>
      </c>
    </row>
    <row r="21" spans="1:22" x14ac:dyDescent="0.2">
      <c r="A21">
        <v>46122.65049537037</v>
      </c>
      <c r="B21">
        <v>20.525486000000001</v>
      </c>
      <c r="C21">
        <v>20.650600000000001</v>
      </c>
      <c r="D21">
        <v>20.106736999999999</v>
      </c>
      <c r="E21">
        <v>20.203775</v>
      </c>
      <c r="F21">
        <v>28.116928999999999</v>
      </c>
      <c r="G21">
        <v>25.122464000000001</v>
      </c>
      <c r="H21">
        <v>24.350135000000002</v>
      </c>
      <c r="I21">
        <v>21.782820999999998</v>
      </c>
      <c r="J21">
        <v>54.941495000000003</v>
      </c>
      <c r="K21">
        <v>45.849662000000002</v>
      </c>
      <c r="L21">
        <v>111.408559</v>
      </c>
      <c r="M21">
        <v>-622.45714499999997</v>
      </c>
      <c r="N21">
        <v>0.89726499999999998</v>
      </c>
      <c r="O21">
        <v>3.3503349999999998</v>
      </c>
      <c r="P21">
        <f t="shared" si="2"/>
        <v>1.4954416666666665E-5</v>
      </c>
      <c r="Q21" cm="1">
        <f t="array" ref="Q21">[1]!PropsSI("D","T",J21+273.15,"P",101325,"Water")</f>
        <v>985.72140390919913</v>
      </c>
      <c r="R21" cm="1">
        <f t="array" ref="R21">[1]!PropsSI("D","T",K21+273.15,"P",101325,"Water")</f>
        <v>989.85480636140755</v>
      </c>
      <c r="S21">
        <f t="shared" si="3"/>
        <v>987.78810513530334</v>
      </c>
      <c r="T21" cm="1">
        <f t="array" ref="T21">[1]!PropsSI("H","T",J21+273.15,"P",101325,"Water")</f>
        <v>230084.35167517784</v>
      </c>
      <c r="U21" cm="1">
        <f t="array" ref="U21">[1]!PropsSI("H","T",K21+273.15,"P",101325,"Water")</f>
        <v>192066.74387316057</v>
      </c>
      <c r="V21">
        <f t="shared" si="4"/>
        <v>561.58830513776184</v>
      </c>
    </row>
    <row r="22" spans="1:22" x14ac:dyDescent="0.2">
      <c r="A22">
        <v>46122.650553819447</v>
      </c>
      <c r="B22">
        <v>20.648893000000001</v>
      </c>
      <c r="C22">
        <v>20.81427</v>
      </c>
      <c r="D22">
        <v>20.088908</v>
      </c>
      <c r="E22">
        <v>20.250226999999999</v>
      </c>
      <c r="F22">
        <v>28.285817000000002</v>
      </c>
      <c r="G22">
        <v>25.162765</v>
      </c>
      <c r="H22">
        <v>24.049364000000001</v>
      </c>
      <c r="I22">
        <v>21.753126999999999</v>
      </c>
      <c r="J22">
        <v>54.945155</v>
      </c>
      <c r="K22">
        <v>45.851565999999998</v>
      </c>
      <c r="L22">
        <v>105.61986899999999</v>
      </c>
      <c r="M22">
        <v>-622.50530600000002</v>
      </c>
      <c r="N22">
        <v>0.89780599999999999</v>
      </c>
      <c r="O22">
        <v>3.473271</v>
      </c>
      <c r="P22">
        <f t="shared" si="2"/>
        <v>1.4963433333333333E-5</v>
      </c>
      <c r="Q22" cm="1">
        <f t="array" ref="Q22">[1]!PropsSI("D","T",J22+273.15,"P",101325,"Water")</f>
        <v>985.71963304857593</v>
      </c>
      <c r="R22" cm="1">
        <f t="array" ref="R22">[1]!PropsSI("D","T",K22+273.15,"P",101325,"Water")</f>
        <v>989.85399830735912</v>
      </c>
      <c r="S22">
        <f t="shared" si="3"/>
        <v>987.78681567796752</v>
      </c>
      <c r="T22" cm="1">
        <f t="array" ref="T22">[1]!PropsSI("H","T",J22+273.15,"P",101325,"Water")</f>
        <v>230099.66122100072</v>
      </c>
      <c r="U22" cm="1">
        <f t="array" ref="U22">[1]!PropsSI("H","T",K22+273.15,"P",101325,"Water")</f>
        <v>192074.70319256617</v>
      </c>
      <c r="V22">
        <f t="shared" si="4"/>
        <v>562.03481891555941</v>
      </c>
    </row>
    <row r="23" spans="1:22" x14ac:dyDescent="0.2">
      <c r="A23">
        <v>46122.650611689816</v>
      </c>
      <c r="B23">
        <v>20.515014000000001</v>
      </c>
      <c r="C23">
        <v>20.697545999999999</v>
      </c>
      <c r="D23">
        <v>20.218916</v>
      </c>
      <c r="E23">
        <v>20.412423</v>
      </c>
      <c r="F23">
        <v>28.101638000000001</v>
      </c>
      <c r="G23">
        <v>25.27439</v>
      </c>
      <c r="H23">
        <v>24.533871999999999</v>
      </c>
      <c r="I23">
        <v>21.822376999999999</v>
      </c>
      <c r="J23">
        <v>54.940221999999999</v>
      </c>
      <c r="K23">
        <v>45.850931000000003</v>
      </c>
      <c r="L23">
        <v>118.778802</v>
      </c>
      <c r="M23">
        <v>-622.50326500000006</v>
      </c>
      <c r="N23">
        <v>0.89272899999999999</v>
      </c>
      <c r="O23">
        <v>3.7724129999999998</v>
      </c>
      <c r="P23">
        <f t="shared" si="2"/>
        <v>1.4878816666666666E-5</v>
      </c>
      <c r="Q23" cm="1">
        <f t="array" ref="Q23">[1]!PropsSI("D","T",J23+273.15,"P",101325,"Water")</f>
        <v>985.72201982020999</v>
      </c>
      <c r="R23" cm="1">
        <f t="array" ref="R23">[1]!PropsSI("D","T",K23+273.15,"P",101325,"Water")</f>
        <v>989.85426780295472</v>
      </c>
      <c r="S23">
        <f t="shared" si="3"/>
        <v>987.78814381158236</v>
      </c>
      <c r="T23" cm="1">
        <f t="array" ref="T23">[1]!PropsSI("H","T",J23+273.15,"P",101325,"Water")</f>
        <v>230079.02679872446</v>
      </c>
      <c r="U23" cm="1">
        <f t="array" ref="U23">[1]!PropsSI("H","T",K23+273.15,"P",101325,"Water")</f>
        <v>192072.04869257894</v>
      </c>
      <c r="V23">
        <f t="shared" si="4"/>
        <v>558.59306855092382</v>
      </c>
    </row>
    <row r="24" spans="1:22" x14ac:dyDescent="0.2">
      <c r="A24">
        <v>46122.650670138886</v>
      </c>
      <c r="B24">
        <v>20.414722999999999</v>
      </c>
      <c r="C24">
        <v>20.682366999999999</v>
      </c>
      <c r="D24">
        <v>20.239712999999998</v>
      </c>
      <c r="E24">
        <v>20.368458</v>
      </c>
      <c r="F24">
        <v>28.053429999999999</v>
      </c>
      <c r="G24">
        <v>25.142332</v>
      </c>
      <c r="H24">
        <v>24.379373999999999</v>
      </c>
      <c r="I24">
        <v>22.070872000000001</v>
      </c>
      <c r="J24">
        <v>54.929085000000001</v>
      </c>
      <c r="K24">
        <v>45.849662000000002</v>
      </c>
      <c r="L24">
        <v>104.807665</v>
      </c>
      <c r="M24">
        <v>-622.51469299999997</v>
      </c>
      <c r="N24">
        <v>0.89803200000000005</v>
      </c>
      <c r="O24">
        <v>3.9708709999999998</v>
      </c>
      <c r="P24">
        <f t="shared" si="2"/>
        <v>1.4967200000000001E-5</v>
      </c>
      <c r="Q24" cm="1">
        <f t="array" ref="Q24">[1]!PropsSI("D","T",J24+273.15,"P",101325,"Water")</f>
        <v>985.72740776540275</v>
      </c>
      <c r="R24" cm="1">
        <f t="array" ref="R24">[1]!PropsSI("D","T",K24+273.15,"P",101325,"Water")</f>
        <v>989.85480636140755</v>
      </c>
      <c r="S24">
        <f t="shared" si="3"/>
        <v>987.79110706340521</v>
      </c>
      <c r="T24" cm="1">
        <f t="array" ref="T24">[1]!PropsSI("H","T",J24+273.15,"P",101325,"Water")</f>
        <v>230032.44147501103</v>
      </c>
      <c r="U24" cm="1">
        <f t="array" ref="U24">[1]!PropsSI("H","T",K24+273.15,"P",101325,"Water")</f>
        <v>192066.74387316057</v>
      </c>
      <c r="V24">
        <f t="shared" si="4"/>
        <v>561.30260551485731</v>
      </c>
    </row>
    <row r="25" spans="1:22" x14ac:dyDescent="0.2">
      <c r="A25">
        <v>46122.650728009263</v>
      </c>
      <c r="B25">
        <v>20.367032999999999</v>
      </c>
      <c r="C25">
        <v>20.499293999999999</v>
      </c>
      <c r="D25">
        <v>20.187324</v>
      </c>
      <c r="E25">
        <v>20.392185999999999</v>
      </c>
      <c r="F25">
        <v>27.985446</v>
      </c>
      <c r="G25">
        <v>25.112895000000002</v>
      </c>
      <c r="H25">
        <v>24.396958999999999</v>
      </c>
      <c r="I25">
        <v>22.198667</v>
      </c>
      <c r="J25">
        <v>54.933698999999997</v>
      </c>
      <c r="K25">
        <v>45.845854000000003</v>
      </c>
      <c r="L25">
        <v>105.853735</v>
      </c>
      <c r="M25">
        <v>-622.50326500000006</v>
      </c>
      <c r="N25">
        <v>0.89309799999999995</v>
      </c>
      <c r="O25">
        <v>3.8316059999999998</v>
      </c>
      <c r="P25">
        <f t="shared" si="2"/>
        <v>1.4884966666666666E-5</v>
      </c>
      <c r="Q25" cm="1">
        <f t="array" ref="Q25">[1]!PropsSI("D","T",J25+273.15,"P",101325,"Water")</f>
        <v>985.72517566176612</v>
      </c>
      <c r="R25" cm="1">
        <f t="array" ref="R25">[1]!PropsSI("D","T",K25+273.15,"P",101325,"Water")</f>
        <v>989.85642239456945</v>
      </c>
      <c r="S25">
        <f t="shared" si="3"/>
        <v>987.79079902816784</v>
      </c>
      <c r="T25" cm="1">
        <f t="array" ref="T25">[1]!PropsSI("H","T",J25+273.15,"P",101325,"Water")</f>
        <v>230051.7415220218</v>
      </c>
      <c r="U25" cm="1">
        <f t="array" ref="U25">[1]!PropsSI("H","T",K25+273.15,"P",101325,"Water")</f>
        <v>192050.82523673051</v>
      </c>
      <c r="V25">
        <f t="shared" si="4"/>
        <v>558.73633080886339</v>
      </c>
    </row>
    <row r="26" spans="1:22" x14ac:dyDescent="0.2">
      <c r="A26">
        <v>46122.650786458333</v>
      </c>
      <c r="B26">
        <v>20.312367999999999</v>
      </c>
      <c r="C26">
        <v>20.496165000000001</v>
      </c>
      <c r="D26">
        <v>20.245010000000001</v>
      </c>
      <c r="E26">
        <v>20.393453999999998</v>
      </c>
      <c r="F26">
        <v>27.966546000000001</v>
      </c>
      <c r="G26">
        <v>25.171567</v>
      </c>
      <c r="H26">
        <v>24.577521000000001</v>
      </c>
      <c r="I26">
        <v>22.175483</v>
      </c>
      <c r="J26">
        <v>54.931789999999999</v>
      </c>
      <c r="K26">
        <v>45.846330000000002</v>
      </c>
      <c r="L26">
        <v>120.547693</v>
      </c>
      <c r="M26">
        <v>-622.46979699999997</v>
      </c>
      <c r="N26">
        <v>0.89378999999999997</v>
      </c>
      <c r="O26">
        <v>3.534789</v>
      </c>
      <c r="P26">
        <f t="shared" si="2"/>
        <v>1.48965E-5</v>
      </c>
      <c r="Q26" cm="1">
        <f t="array" ref="Q26">[1]!PropsSI("D","T",J26+273.15,"P",101325,"Water")</f>
        <v>985.72609919013212</v>
      </c>
      <c r="R26" cm="1">
        <f t="array" ref="R26">[1]!PropsSI("D","T",K26+273.15,"P",101325,"Water")</f>
        <v>989.85622039588065</v>
      </c>
      <c r="S26">
        <f t="shared" si="3"/>
        <v>987.79115979300639</v>
      </c>
      <c r="T26" cm="1">
        <f t="array" ref="T26">[1]!PropsSI("H","T",J26+273.15,"P",101325,"Water")</f>
        <v>230043.75630442792</v>
      </c>
      <c r="U26" cm="1">
        <f t="array" ref="U26">[1]!PropsSI("H","T",K26+273.15,"P",101325,"Water")</f>
        <v>192052.81506615228</v>
      </c>
      <c r="V26">
        <f t="shared" si="4"/>
        <v>559.02268211434955</v>
      </c>
    </row>
    <row r="27" spans="1:22" x14ac:dyDescent="0.2">
      <c r="A27">
        <v>46122.65084490741</v>
      </c>
      <c r="B27">
        <v>20.391411999999999</v>
      </c>
      <c r="C27">
        <v>20.933340999999999</v>
      </c>
      <c r="D27">
        <v>20.302018</v>
      </c>
      <c r="E27">
        <v>20.38946</v>
      </c>
      <c r="F27">
        <v>27.905961000000001</v>
      </c>
      <c r="G27">
        <v>25.306642</v>
      </c>
      <c r="H27">
        <v>24.486637999999999</v>
      </c>
      <c r="I27">
        <v>22.048376999999999</v>
      </c>
      <c r="J27">
        <v>54.935290000000002</v>
      </c>
      <c r="K27">
        <v>45.847124000000001</v>
      </c>
      <c r="L27">
        <v>108.215658</v>
      </c>
      <c r="M27">
        <v>-622.50040799999999</v>
      </c>
      <c r="N27">
        <v>0.89565099999999997</v>
      </c>
      <c r="O27">
        <v>3.6174919999999999</v>
      </c>
      <c r="P27">
        <f t="shared" si="2"/>
        <v>1.4927516666666667E-5</v>
      </c>
      <c r="Q27" cm="1">
        <f t="array" ref="Q27">[1]!PropsSI("D","T",J27+273.15,"P",101325,"Water")</f>
        <v>985.724405956895</v>
      </c>
      <c r="R27" cm="1">
        <f t="array" ref="R27">[1]!PropsSI("D","T",K27+273.15,"P",101325,"Water")</f>
        <v>989.85588344503822</v>
      </c>
      <c r="S27">
        <f t="shared" si="3"/>
        <v>987.79014470096661</v>
      </c>
      <c r="T27" cm="1">
        <f t="array" ref="T27">[1]!PropsSI("H","T",J27+273.15,"P",101325,"Water")</f>
        <v>230058.39656815497</v>
      </c>
      <c r="U27" cm="1">
        <f t="array" ref="U27">[1]!PropsSI("H","T",K27+273.15,"P",101325,"Water")</f>
        <v>192056.13423541957</v>
      </c>
      <c r="V27">
        <f t="shared" si="4"/>
        <v>560.35300490179748</v>
      </c>
    </row>
    <row r="28" spans="1:22" x14ac:dyDescent="0.2">
      <c r="A28">
        <v>46122.650902777779</v>
      </c>
      <c r="B28">
        <v>20.279404</v>
      </c>
      <c r="C28">
        <v>20.695371000000002</v>
      </c>
      <c r="D28">
        <v>20.274304999999998</v>
      </c>
      <c r="E28">
        <v>20.665672000000001</v>
      </c>
      <c r="F28">
        <v>27.920535000000001</v>
      </c>
      <c r="G28">
        <v>25.147141999999999</v>
      </c>
      <c r="H28">
        <v>24.557521999999999</v>
      </c>
      <c r="I28">
        <v>22.073733000000001</v>
      </c>
      <c r="J28">
        <v>54.932904000000001</v>
      </c>
      <c r="K28">
        <v>45.862513999999997</v>
      </c>
      <c r="L28">
        <v>105.27009099999999</v>
      </c>
      <c r="M28">
        <v>-622.49959200000001</v>
      </c>
      <c r="N28">
        <v>0.89738399999999996</v>
      </c>
      <c r="O28">
        <v>3.2333470000000002</v>
      </c>
      <c r="P28">
        <f t="shared" si="2"/>
        <v>1.49564E-5</v>
      </c>
      <c r="Q28" cm="1">
        <f t="array" ref="Q28">[1]!PropsSI("D","T",J28+273.15,"P",101325,"Water")</f>
        <v>985.72556026645361</v>
      </c>
      <c r="R28" cm="1">
        <f t="array" ref="R28">[1]!PropsSI("D","T",K28+273.15,"P",101325,"Water")</f>
        <v>989.84935151141133</v>
      </c>
      <c r="S28">
        <f t="shared" si="3"/>
        <v>987.78745588893253</v>
      </c>
      <c r="T28" cm="1">
        <f t="array" ref="T28">[1]!PropsSI("H","T",J28+273.15,"P",101325,"Water")</f>
        <v>230048.41609074152</v>
      </c>
      <c r="U28" cm="1">
        <f t="array" ref="U28">[1]!PropsSI("H","T",K28+273.15,"P",101325,"Water")</f>
        <v>192120.46929377178</v>
      </c>
      <c r="V28">
        <f t="shared" si="4"/>
        <v>560.33778800183097</v>
      </c>
    </row>
    <row r="29" spans="1:22" x14ac:dyDescent="0.2">
      <c r="A29">
        <v>46122.650961226849</v>
      </c>
      <c r="B29">
        <v>20.303578999999999</v>
      </c>
      <c r="C29">
        <v>20.723047999999999</v>
      </c>
      <c r="D29">
        <v>20.382054</v>
      </c>
      <c r="E29">
        <v>20.546533</v>
      </c>
      <c r="F29">
        <v>27.834425</v>
      </c>
      <c r="G29">
        <v>25.259495999999999</v>
      </c>
      <c r="H29">
        <v>24.471623999999998</v>
      </c>
      <c r="I29">
        <v>21.798794999999998</v>
      </c>
      <c r="J29">
        <v>54.932267000000003</v>
      </c>
      <c r="K29">
        <v>45.862831</v>
      </c>
      <c r="L29">
        <v>123.054098</v>
      </c>
      <c r="M29">
        <v>-622.46530800000005</v>
      </c>
      <c r="N29">
        <v>0.89430299999999996</v>
      </c>
      <c r="O29">
        <v>3.46454</v>
      </c>
      <c r="P29">
        <f t="shared" si="2"/>
        <v>1.4905049999999999E-5</v>
      </c>
      <c r="Q29" cm="1">
        <f t="array" ref="Q29">[1]!PropsSI("D","T",J29+273.15,"P",101325,"Water")</f>
        <v>985.72586843110378</v>
      </c>
      <c r="R29" cm="1">
        <f t="array" ref="R29">[1]!PropsSI("D","T",K29+273.15,"P",101325,"Water")</f>
        <v>989.84921695082505</v>
      </c>
      <c r="S29">
        <f t="shared" si="3"/>
        <v>987.78754269096441</v>
      </c>
      <c r="T29" cm="1">
        <f t="array" ref="T29">[1]!PropsSI("H","T",J29+273.15,"P",101325,"Water")</f>
        <v>230045.75156296676</v>
      </c>
      <c r="U29" cm="1">
        <f t="array" ref="U29">[1]!PropsSI("H","T",K29+273.15,"P",101325,"Water")</f>
        <v>192121.79445439045</v>
      </c>
      <c r="V29">
        <f t="shared" si="4"/>
        <v>558.35528188345916</v>
      </c>
    </row>
    <row r="30" spans="1:22" x14ac:dyDescent="0.2">
      <c r="A30">
        <v>46122.651019675926</v>
      </c>
      <c r="B30">
        <v>20.35295</v>
      </c>
      <c r="C30">
        <v>20.745531</v>
      </c>
      <c r="D30">
        <v>20.336071</v>
      </c>
      <c r="E30">
        <v>20.606677000000001</v>
      </c>
      <c r="F30">
        <v>27.918728999999999</v>
      </c>
      <c r="G30">
        <v>25.356431000000001</v>
      </c>
      <c r="H30">
        <v>24.646725</v>
      </c>
      <c r="I30">
        <v>22.128468000000002</v>
      </c>
      <c r="J30">
        <v>54.932267000000003</v>
      </c>
      <c r="K30">
        <v>45.872667999999997</v>
      </c>
      <c r="L30">
        <v>114.026387</v>
      </c>
      <c r="M30">
        <v>-622.544488</v>
      </c>
      <c r="N30">
        <v>0.89641300000000002</v>
      </c>
      <c r="O30">
        <v>3.5076960000000001</v>
      </c>
      <c r="P30">
        <f t="shared" si="2"/>
        <v>1.4940216666666666E-5</v>
      </c>
      <c r="Q30" cm="1">
        <f t="array" ref="Q30">[1]!PropsSI("D","T",J30+273.15,"P",101325,"Water")</f>
        <v>985.72586843110378</v>
      </c>
      <c r="R30" cm="1">
        <f t="array" ref="R30">[1]!PropsSI("D","T",K30+273.15,"P",101325,"Water")</f>
        <v>989.84504098414561</v>
      </c>
      <c r="S30">
        <f t="shared" si="3"/>
        <v>987.78545470762469</v>
      </c>
      <c r="T30" cm="1">
        <f t="array" ref="T30">[1]!PropsSI("H","T",J30+273.15,"P",101325,"Water")</f>
        <v>230045.75156296676</v>
      </c>
      <c r="U30" cm="1">
        <f t="array" ref="U30">[1]!PropsSI("H","T",K30+273.15,"P",101325,"Water")</f>
        <v>192162.91624659035</v>
      </c>
      <c r="V30">
        <f t="shared" si="4"/>
        <v>559.06460649780149</v>
      </c>
    </row>
    <row r="31" spans="1:22" x14ac:dyDescent="0.2">
      <c r="A31">
        <v>46122.651077546296</v>
      </c>
      <c r="B31">
        <v>20.483682999999999</v>
      </c>
      <c r="C31">
        <v>21.031061999999999</v>
      </c>
      <c r="D31">
        <v>20.399760000000001</v>
      </c>
      <c r="E31">
        <v>20.562906000000002</v>
      </c>
      <c r="F31">
        <v>28.071432000000001</v>
      </c>
      <c r="G31">
        <v>25.349208999999998</v>
      </c>
      <c r="H31">
        <v>24.480447000000002</v>
      </c>
      <c r="I31">
        <v>21.992985999999998</v>
      </c>
      <c r="J31">
        <v>54.931471999999999</v>
      </c>
      <c r="K31">
        <v>45.872033000000002</v>
      </c>
      <c r="L31">
        <v>113.60844899999999</v>
      </c>
      <c r="M31">
        <v>-622.47306300000002</v>
      </c>
      <c r="N31">
        <v>0.89483100000000004</v>
      </c>
      <c r="O31">
        <v>3.4178769999999998</v>
      </c>
      <c r="P31">
        <f t="shared" si="2"/>
        <v>1.491385E-5</v>
      </c>
      <c r="Q31" cm="1">
        <f t="array" ref="Q31">[1]!PropsSI("D","T",J31+273.15,"P",101325,"Water")</f>
        <v>985.72625302868721</v>
      </c>
      <c r="R31" cm="1">
        <f t="array" ref="R31">[1]!PropsSI("D","T",K31+273.15,"P",101325,"Water")</f>
        <v>989.84531057211416</v>
      </c>
      <c r="S31">
        <f t="shared" si="3"/>
        <v>987.78578180040063</v>
      </c>
      <c r="T31" cm="1">
        <f t="array" ref="T31">[1]!PropsSI("H","T",J31+273.15,"P",101325,"Water")</f>
        <v>230042.42613209353</v>
      </c>
      <c r="U31" cm="1">
        <f t="array" ref="U31">[1]!PropsSI("H","T",K31+273.15,"P",101325,"Water")</f>
        <v>192160.26174381975</v>
      </c>
      <c r="V31">
        <f t="shared" si="4"/>
        <v>558.06826372940543</v>
      </c>
    </row>
    <row r="32" spans="1:22" x14ac:dyDescent="0.2">
      <c r="A32">
        <v>46122.651135416665</v>
      </c>
      <c r="B32">
        <v>20.718803999999999</v>
      </c>
      <c r="C32">
        <v>21.112376000000001</v>
      </c>
      <c r="D32">
        <v>20.490838</v>
      </c>
      <c r="E32">
        <v>20.839963000000001</v>
      </c>
      <c r="F32">
        <v>28.218166</v>
      </c>
      <c r="G32">
        <v>25.512121</v>
      </c>
      <c r="H32">
        <v>24.894311999999999</v>
      </c>
      <c r="I32">
        <v>22.056367000000002</v>
      </c>
      <c r="J32">
        <v>54.939109000000002</v>
      </c>
      <c r="K32">
        <v>45.894562999999998</v>
      </c>
      <c r="L32">
        <v>110.545745</v>
      </c>
      <c r="M32">
        <v>-622.48244999999997</v>
      </c>
      <c r="N32">
        <v>0.89558499999999996</v>
      </c>
      <c r="O32">
        <v>3.410685</v>
      </c>
      <c r="P32">
        <f t="shared" si="2"/>
        <v>1.4926416666666667E-5</v>
      </c>
      <c r="Q32" cm="1">
        <f t="array" ref="Q32">[1]!PropsSI("D","T",J32+273.15,"P",101325,"Water")</f>
        <v>985.72255831073971</v>
      </c>
      <c r="R32" cm="1">
        <f t="array" ref="R32">[1]!PropsSI("D","T",K32+273.15,"P",101325,"Water")</f>
        <v>989.83574380546338</v>
      </c>
      <c r="S32">
        <f t="shared" si="3"/>
        <v>987.77915105810155</v>
      </c>
      <c r="T32" cm="1">
        <f t="array" ref="T32">[1]!PropsSI("H","T",J32+273.15,"P",101325,"Water")</f>
        <v>230074.37119237235</v>
      </c>
      <c r="U32" cm="1">
        <f t="array" ref="U32">[1]!PropsSI("H","T",K32+273.15,"P",101325,"Water")</f>
        <v>192254.44439184217</v>
      </c>
      <c r="V32">
        <f t="shared" si="4"/>
        <v>557.61712114068371</v>
      </c>
    </row>
    <row r="33" spans="1:22" x14ac:dyDescent="0.2">
      <c r="A33">
        <v>46122.651193865742</v>
      </c>
      <c r="B33">
        <v>20.688478</v>
      </c>
      <c r="C33">
        <v>20.902483</v>
      </c>
      <c r="D33">
        <v>20.658476</v>
      </c>
      <c r="E33">
        <v>20.952569</v>
      </c>
      <c r="F33">
        <v>28.221700999999999</v>
      </c>
      <c r="G33">
        <v>25.328600999999999</v>
      </c>
      <c r="H33">
        <v>24.882031999999999</v>
      </c>
      <c r="I33">
        <v>22.277424</v>
      </c>
      <c r="J33">
        <v>54.941177000000003</v>
      </c>
      <c r="K33">
        <v>45.907573999999997</v>
      </c>
      <c r="L33">
        <v>101.876791</v>
      </c>
      <c r="M33">
        <v>-622.50040799999999</v>
      </c>
      <c r="N33">
        <v>0.89795000000000003</v>
      </c>
      <c r="O33">
        <v>3.1464509999999999</v>
      </c>
      <c r="P33">
        <f t="shared" si="2"/>
        <v>1.4965833333333333E-5</v>
      </c>
      <c r="Q33" cm="1">
        <f t="array" ref="Q33">[1]!PropsSI("D","T",J33+273.15,"P",101325,"Water")</f>
        <v>985.72155776694785</v>
      </c>
      <c r="R33" cm="1">
        <f t="array" ref="R33">[1]!PropsSI("D","T",K33+273.15,"P",101325,"Water")</f>
        <v>989.83021743607469</v>
      </c>
      <c r="S33">
        <f t="shared" si="3"/>
        <v>987.77588760151127</v>
      </c>
      <c r="T33" cm="1">
        <f t="array" ref="T33">[1]!PropsSI("H","T",J33+273.15,"P",101325,"Water")</f>
        <v>230083.0215017501</v>
      </c>
      <c r="U33" cm="1">
        <f t="array" ref="U33">[1]!PropsSI("H","T",K33+273.15,"P",101325,"Water")</f>
        <v>192308.83460654301</v>
      </c>
      <c r="V33">
        <f t="shared" si="4"/>
        <v>558.41162344045983</v>
      </c>
    </row>
    <row r="34" spans="1:22" x14ac:dyDescent="0.2">
      <c r="A34">
        <v>46122.651251736112</v>
      </c>
      <c r="B34">
        <v>20.461372000000001</v>
      </c>
      <c r="C34">
        <v>20.877376000000002</v>
      </c>
      <c r="D34">
        <v>20.558886000000001</v>
      </c>
      <c r="E34">
        <v>20.673991999999998</v>
      </c>
      <c r="F34">
        <v>28.042491999999999</v>
      </c>
      <c r="G34">
        <v>25.325355999999999</v>
      </c>
      <c r="H34">
        <v>24.663800999999999</v>
      </c>
      <c r="I34">
        <v>22.184387000000001</v>
      </c>
      <c r="J34">
        <v>54.938631000000001</v>
      </c>
      <c r="K34">
        <v>45.918838999999998</v>
      </c>
      <c r="L34">
        <v>101.540482</v>
      </c>
      <c r="M34">
        <v>-622.50122399999998</v>
      </c>
      <c r="N34">
        <v>0.89758099999999996</v>
      </c>
      <c r="O34">
        <v>3.8650530000000001</v>
      </c>
      <c r="P34">
        <f t="shared" si="2"/>
        <v>1.4959683333333332E-5</v>
      </c>
      <c r="Q34" cm="1">
        <f t="array" ref="Q34">[1]!PropsSI("D","T",J34+273.15,"P",101325,"Water")</f>
        <v>985.72278957384185</v>
      </c>
      <c r="R34" cm="1">
        <f t="array" ref="R34">[1]!PropsSI("D","T",K34+273.15,"P",101325,"Water")</f>
        <v>989.82543173098043</v>
      </c>
      <c r="S34">
        <f t="shared" si="3"/>
        <v>987.77411065241108</v>
      </c>
      <c r="T34" cm="1">
        <f t="array" ref="T34">[1]!PropsSI("H","T",J34+273.15,"P",101325,"Water")</f>
        <v>230072.37174973849</v>
      </c>
      <c r="U34" cm="1">
        <f t="array" ref="U34">[1]!PropsSI("H","T",K34+273.15,"P",101325,"Water")</f>
        <v>192355.92600191725</v>
      </c>
      <c r="V34">
        <f t="shared" si="4"/>
        <v>557.32791916589861</v>
      </c>
    </row>
    <row r="35" spans="1:22" x14ac:dyDescent="0.2">
      <c r="A35">
        <v>46122.651310185189</v>
      </c>
      <c r="B35">
        <v>20.487361</v>
      </c>
      <c r="C35">
        <v>20.862991000000001</v>
      </c>
      <c r="D35">
        <v>20.513175</v>
      </c>
      <c r="E35">
        <v>20.727274000000001</v>
      </c>
      <c r="F35">
        <v>28.068845</v>
      </c>
      <c r="G35">
        <v>25.288997999999999</v>
      </c>
      <c r="H35">
        <v>24.349015000000001</v>
      </c>
      <c r="I35">
        <v>21.970081</v>
      </c>
      <c r="J35">
        <v>54.939903999999999</v>
      </c>
      <c r="K35">
        <v>45.920107999999999</v>
      </c>
      <c r="L35">
        <v>115.63773500000001</v>
      </c>
      <c r="M35">
        <v>-622.47877700000004</v>
      </c>
      <c r="N35">
        <v>0.89644599999999997</v>
      </c>
      <c r="O35">
        <v>3.6838769999999998</v>
      </c>
      <c r="P35">
        <f t="shared" si="2"/>
        <v>1.4940766666666666E-5</v>
      </c>
      <c r="Q35" cm="1">
        <f t="array" ref="Q35">[1]!PropsSI("D","T",J35+273.15,"P",101325,"Water")</f>
        <v>985.72217367543237</v>
      </c>
      <c r="R35" cm="1">
        <f t="array" ref="R35">[1]!PropsSI("D","T",K35+273.15,"P",101325,"Water")</f>
        <v>989.82489256745055</v>
      </c>
      <c r="S35">
        <f t="shared" si="3"/>
        <v>987.77353312144146</v>
      </c>
      <c r="T35" cm="1">
        <f t="array" ref="T35">[1]!PropsSI("H","T",J35+273.15,"P",101325,"Water")</f>
        <v>230077.69662543116</v>
      </c>
      <c r="U35" cm="1">
        <f t="array" ref="U35">[1]!PropsSI("H","T",K35+273.15,"P",101325,"Water")</f>
        <v>192361.23083987529</v>
      </c>
      <c r="V35">
        <f t="shared" si="4"/>
        <v>556.6231428049465</v>
      </c>
    </row>
    <row r="36" spans="1:22" x14ac:dyDescent="0.2">
      <c r="A36">
        <v>46122.651368055558</v>
      </c>
      <c r="B36">
        <v>20.475411000000001</v>
      </c>
      <c r="C36">
        <v>20.882241</v>
      </c>
      <c r="D36">
        <v>20.398056</v>
      </c>
      <c r="E36">
        <v>20.543994999999999</v>
      </c>
      <c r="F36">
        <v>28.004905999999998</v>
      </c>
      <c r="G36">
        <v>25.270690999999999</v>
      </c>
      <c r="H36">
        <v>24.688217000000002</v>
      </c>
      <c r="I36">
        <v>22.272614000000001</v>
      </c>
      <c r="J36">
        <v>54.938471999999997</v>
      </c>
      <c r="K36">
        <v>45.924075000000002</v>
      </c>
      <c r="L36">
        <v>104.17790100000001</v>
      </c>
      <c r="M36">
        <v>-622.48693900000001</v>
      </c>
      <c r="N36">
        <v>0.90113799999999999</v>
      </c>
      <c r="O36">
        <v>3.7046549999999998</v>
      </c>
      <c r="P36">
        <f t="shared" si="2"/>
        <v>1.5018966666666666E-5</v>
      </c>
      <c r="Q36" cm="1">
        <f t="array" ref="Q36">[1]!PropsSI("D","T",J36+273.15,"P",101325,"Water")</f>
        <v>985.72286649993976</v>
      </c>
      <c r="R36" cm="1">
        <f t="array" ref="R36">[1]!PropsSI("D","T",K36+273.15,"P",101325,"Water")</f>
        <v>989.82320702569928</v>
      </c>
      <c r="S36">
        <f t="shared" si="3"/>
        <v>987.77303676281952</v>
      </c>
      <c r="T36" cm="1">
        <f t="array" ref="T36">[1]!PropsSI("H","T",J36+273.15,"P",101325,"Water")</f>
        <v>230071.70666321213</v>
      </c>
      <c r="U36" cm="1">
        <f t="array" ref="U36">[1]!PropsSI("H","T",K36+273.15,"P",101325,"Water")</f>
        <v>192377.81420873973</v>
      </c>
      <c r="V36">
        <f t="shared" si="4"/>
        <v>559.20134535885222</v>
      </c>
    </row>
    <row r="37" spans="1:22" x14ac:dyDescent="0.2">
      <c r="A37">
        <v>46122.651426504628</v>
      </c>
      <c r="B37">
        <v>20.366430000000001</v>
      </c>
      <c r="C37">
        <v>20.753786999999999</v>
      </c>
      <c r="D37">
        <v>20.371714000000001</v>
      </c>
      <c r="E37">
        <v>20.647228999999999</v>
      </c>
      <c r="F37">
        <v>27.983252</v>
      </c>
      <c r="G37">
        <v>25.260513</v>
      </c>
      <c r="H37">
        <v>24.376774999999999</v>
      </c>
      <c r="I37">
        <v>21.810320999999998</v>
      </c>
      <c r="J37">
        <v>54.932744999999997</v>
      </c>
      <c r="K37">
        <v>45.923439999999999</v>
      </c>
      <c r="L37">
        <v>117.68457100000001</v>
      </c>
      <c r="M37">
        <v>-622.47836800000005</v>
      </c>
      <c r="N37">
        <v>0.89474900000000002</v>
      </c>
      <c r="O37">
        <v>3.951492</v>
      </c>
      <c r="P37">
        <f t="shared" si="2"/>
        <v>1.4912483333333333E-5</v>
      </c>
      <c r="Q37" cm="1">
        <f t="array" ref="Q37">[1]!PropsSI("D","T",J37+273.15,"P",101325,"Water")</f>
        <v>985.72563718689128</v>
      </c>
      <c r="R37" cm="1">
        <f t="array" ref="R37">[1]!PropsSI("D","T",K37+273.15,"P",101325,"Water")</f>
        <v>989.82347683863713</v>
      </c>
      <c r="S37">
        <f t="shared" si="3"/>
        <v>987.77455701276426</v>
      </c>
      <c r="T37" cm="1">
        <f t="array" ref="T37">[1]!PropsSI("H","T",J37+273.15,"P",101325,"Water")</f>
        <v>230047.75100450427</v>
      </c>
      <c r="U37" cm="1">
        <f t="array" ref="U37">[1]!PropsSI("H","T",K37+273.15,"P",101325,"Water")</f>
        <v>192375.1596990164</v>
      </c>
      <c r="V37">
        <f t="shared" si="4"/>
        <v>554.92373524508855</v>
      </c>
    </row>
    <row r="38" spans="1:22" x14ac:dyDescent="0.2">
      <c r="A38">
        <v>44660.651484375201</v>
      </c>
      <c r="B38">
        <v>20.432120000000001</v>
      </c>
      <c r="C38">
        <v>20.790361000000001</v>
      </c>
      <c r="D38">
        <v>20.314988</v>
      </c>
      <c r="E38">
        <v>20.530692999999999</v>
      </c>
      <c r="F38">
        <v>28.023485999999998</v>
      </c>
      <c r="G38">
        <v>25.259733000000001</v>
      </c>
      <c r="H38">
        <v>24.498594000000001</v>
      </c>
      <c r="I38">
        <v>21.966045000000001</v>
      </c>
      <c r="J38">
        <v>54.935130999999998</v>
      </c>
      <c r="K38">
        <v>45.915666000000002</v>
      </c>
      <c r="L38">
        <v>111.196325</v>
      </c>
      <c r="M38">
        <v>-622.51510099999996</v>
      </c>
      <c r="N38">
        <v>0.89469200000000004</v>
      </c>
      <c r="O38">
        <v>3.4730289999999999</v>
      </c>
      <c r="P38">
        <f t="shared" si="2"/>
        <v>1.4911533333333335E-5</v>
      </c>
      <c r="Q38" cm="1">
        <f t="array" ref="Q38">[1]!PropsSI("D","T",J38+273.15,"P",101325,"Water")</f>
        <v>985.72448287971611</v>
      </c>
      <c r="R38" cm="1">
        <f t="array" ref="R38">[1]!PropsSI("D","T",K38+273.15,"P",101325,"Water")</f>
        <v>989.8267798036577</v>
      </c>
      <c r="S38">
        <f t="shared" si="3"/>
        <v>987.7756313416869</v>
      </c>
      <c r="T38" cm="1">
        <f t="array" ref="T38">[1]!PropsSI("H","T",J38+273.15,"P",101325,"Water")</f>
        <v>230057.73148181563</v>
      </c>
      <c r="U38" cm="1">
        <f t="array" ref="U38">[1]!PropsSI("H","T",K38+273.15,"P",101325,"Water")</f>
        <v>192342.66181831862</v>
      </c>
      <c r="V38">
        <f t="shared" si="4"/>
        <v>555.51466165304441</v>
      </c>
    </row>
    <row r="39" spans="1:22" x14ac:dyDescent="0.2">
      <c r="A39">
        <v>44660.651542824198</v>
      </c>
      <c r="B39">
        <v>20.403389000000001</v>
      </c>
      <c r="C39">
        <v>20.833359000000002</v>
      </c>
      <c r="D39">
        <v>20.243563000000002</v>
      </c>
      <c r="E39">
        <v>20.477011000000001</v>
      </c>
      <c r="F39">
        <v>27.960076999999998</v>
      </c>
      <c r="G39">
        <v>25.317198000000001</v>
      </c>
      <c r="H39">
        <v>24.413848999999999</v>
      </c>
      <c r="I39">
        <v>22.036045000000001</v>
      </c>
      <c r="J39">
        <v>54.930357999999998</v>
      </c>
      <c r="K39">
        <v>45.907890999999999</v>
      </c>
      <c r="L39">
        <v>114.398205</v>
      </c>
      <c r="M39">
        <v>-622.48693900000001</v>
      </c>
      <c r="N39">
        <v>0.89717499999999994</v>
      </c>
      <c r="O39">
        <v>3.2728169999999999</v>
      </c>
      <c r="P39">
        <f t="shared" si="2"/>
        <v>1.4952916666666665E-5</v>
      </c>
      <c r="Q39" cm="1">
        <f t="array" ref="Q39">[1]!PropsSI("D","T",J39+273.15,"P",101325,"Water")</f>
        <v>985.72679194249156</v>
      </c>
      <c r="R39" cm="1">
        <f t="array" ref="R39">[1]!PropsSI("D","T",K39+273.15,"P",101325,"Water")</f>
        <v>989.83008277707791</v>
      </c>
      <c r="S39">
        <f t="shared" si="3"/>
        <v>987.77843735978468</v>
      </c>
      <c r="T39" cm="1">
        <f t="array" ref="T39">[1]!PropsSI("H","T",J39+273.15,"P",101325,"Water")</f>
        <v>230037.76634635314</v>
      </c>
      <c r="U39" cm="1">
        <f t="array" ref="U39">[1]!PropsSI("H","T",K39+273.15,"P",101325,"Water")</f>
        <v>192310.15977014156</v>
      </c>
      <c r="V39">
        <f t="shared" si="4"/>
        <v>557.24311222995141</v>
      </c>
    </row>
    <row r="40" spans="1:22" x14ac:dyDescent="0.2">
      <c r="A40">
        <v>44660.651601273297</v>
      </c>
      <c r="B40">
        <v>20.561882000000001</v>
      </c>
      <c r="C40">
        <v>20.938721000000001</v>
      </c>
      <c r="D40">
        <v>20.346623000000001</v>
      </c>
      <c r="E40">
        <v>20.522724</v>
      </c>
      <c r="F40">
        <v>28.149113</v>
      </c>
      <c r="G40">
        <v>25.358823999999998</v>
      </c>
      <c r="H40">
        <v>24.468475000000002</v>
      </c>
      <c r="I40">
        <v>21.977535</v>
      </c>
      <c r="J40">
        <v>54.935768000000003</v>
      </c>
      <c r="K40">
        <v>45.895198000000001</v>
      </c>
      <c r="L40">
        <v>114.53126</v>
      </c>
      <c r="M40">
        <v>-622.48571500000003</v>
      </c>
      <c r="N40">
        <v>0.89478999999999997</v>
      </c>
      <c r="O40">
        <v>3.401319</v>
      </c>
      <c r="P40">
        <f t="shared" si="2"/>
        <v>1.4913166666666666E-5</v>
      </c>
      <c r="Q40" cm="1">
        <f t="array" ref="Q40">[1]!PropsSI("D","T",J40+273.15,"P",101325,"Water")</f>
        <v>985.72417470373034</v>
      </c>
      <c r="R40" cm="1">
        <f t="array" ref="R40">[1]!PropsSI("D","T",K40+273.15,"P",101325,"Water")</f>
        <v>989.83547411886764</v>
      </c>
      <c r="S40">
        <f t="shared" si="3"/>
        <v>987.77982441129893</v>
      </c>
      <c r="T40" cm="1">
        <f t="array" ref="T40">[1]!PropsSI("H","T",J40+273.15,"P",101325,"Water")</f>
        <v>230060.39601020454</v>
      </c>
      <c r="U40" cm="1">
        <f t="array" ref="U40">[1]!PropsSI("H","T",K40+273.15,"P",101325,"Water")</f>
        <v>192257.0988976855</v>
      </c>
      <c r="V40">
        <f t="shared" si="4"/>
        <v>556.87754024127503</v>
      </c>
    </row>
    <row r="41" spans="1:22" x14ac:dyDescent="0.2">
      <c r="A41">
        <v>44660.651659722404</v>
      </c>
      <c r="B41">
        <v>20.322825999999999</v>
      </c>
      <c r="C41">
        <v>20.495159000000001</v>
      </c>
      <c r="D41">
        <v>20.16253</v>
      </c>
      <c r="E41">
        <v>20.354096999999999</v>
      </c>
      <c r="F41">
        <v>27.937367999999999</v>
      </c>
      <c r="G41">
        <v>25.269148999999999</v>
      </c>
      <c r="H41">
        <v>24.784607999999999</v>
      </c>
      <c r="I41">
        <v>22.293365000000001</v>
      </c>
      <c r="J41">
        <v>54.936722000000003</v>
      </c>
      <c r="K41">
        <v>45.891866</v>
      </c>
      <c r="L41">
        <v>123.925483</v>
      </c>
      <c r="M41">
        <v>-622.49591899999996</v>
      </c>
      <c r="N41">
        <v>0.89568400000000004</v>
      </c>
      <c r="O41">
        <v>3.7509749999999999</v>
      </c>
      <c r="P41">
        <f t="shared" si="2"/>
        <v>1.4928066666666669E-5</v>
      </c>
      <c r="Q41" cm="1">
        <f t="array" ref="Q41">[1]!PropsSI("D","T",J41+273.15,"P",101325,"Water")</f>
        <v>985.72371316069871</v>
      </c>
      <c r="R41" cm="1">
        <f t="array" ref="R41">[1]!PropsSI("D","T",K41+273.15,"P",101325,"Water")</f>
        <v>989.83688919928318</v>
      </c>
      <c r="S41">
        <f t="shared" si="3"/>
        <v>987.78030117999094</v>
      </c>
      <c r="T41" cm="1">
        <f t="array" ref="T41">[1]!PropsSI("H","T",J41+273.15,"P",101325,"Water")</f>
        <v>230064.38652874151</v>
      </c>
      <c r="U41" cm="1">
        <f t="array" ref="U41">[1]!PropsSI("H","T",K41+273.15,"P",101325,"Water")</f>
        <v>192243.17005857403</v>
      </c>
      <c r="V41">
        <f t="shared" si="4"/>
        <v>557.69842775503696</v>
      </c>
    </row>
    <row r="42" spans="1:22" x14ac:dyDescent="0.2">
      <c r="A42">
        <v>46122.651717592591</v>
      </c>
      <c r="B42">
        <v>20.514313999999999</v>
      </c>
      <c r="C42">
        <v>20.683389999999999</v>
      </c>
      <c r="D42">
        <v>20.295746000000001</v>
      </c>
      <c r="E42">
        <v>20.421384</v>
      </c>
      <c r="F42">
        <v>28.091788000000001</v>
      </c>
      <c r="G42">
        <v>25.233225999999998</v>
      </c>
      <c r="H42">
        <v>24.586644</v>
      </c>
      <c r="I42">
        <v>22.071207000000001</v>
      </c>
      <c r="J42">
        <v>54.940221999999999</v>
      </c>
      <c r="K42">
        <v>45.885361000000003</v>
      </c>
      <c r="L42">
        <v>119.69304200000001</v>
      </c>
      <c r="M42">
        <v>-622.51224400000001</v>
      </c>
      <c r="N42">
        <v>0.89932599999999996</v>
      </c>
      <c r="O42">
        <v>3.2391160000000001</v>
      </c>
      <c r="P42">
        <f t="shared" si="2"/>
        <v>1.4988766666666666E-5</v>
      </c>
      <c r="Q42" cm="1">
        <f t="array" ref="Q42">[1]!PropsSI("D","T",J42+273.15,"P",101325,"Water")</f>
        <v>985.72201982020999</v>
      </c>
      <c r="R42" cm="1">
        <f t="array" ref="R42">[1]!PropsSI("D","T",K42+273.15,"P",101325,"Water")</f>
        <v>989.839651613245</v>
      </c>
      <c r="S42">
        <f t="shared" si="3"/>
        <v>987.78083571672755</v>
      </c>
      <c r="T42" cm="1">
        <f t="array" ref="T42">[1]!PropsSI("H","T",J42+273.15,"P",101325,"Water")</f>
        <v>230079.02679872446</v>
      </c>
      <c r="U42" cm="1">
        <f t="array" ref="U42">[1]!PropsSI("H","T",K42+273.15,"P",101325,"Water")</f>
        <v>192215.97705858608</v>
      </c>
      <c r="V42">
        <f t="shared" si="4"/>
        <v>560.58579262358899</v>
      </c>
    </row>
    <row r="43" spans="1:22" x14ac:dyDescent="0.2">
      <c r="A43">
        <v>46122.651776041668</v>
      </c>
      <c r="B43">
        <v>20.656790000000001</v>
      </c>
      <c r="C43">
        <v>20.843914999999999</v>
      </c>
      <c r="D43">
        <v>20.290562000000001</v>
      </c>
      <c r="E43">
        <v>20.472299</v>
      </c>
      <c r="F43">
        <v>28.211534</v>
      </c>
      <c r="G43">
        <v>25.140519000000001</v>
      </c>
      <c r="H43">
        <v>24.587488</v>
      </c>
      <c r="I43">
        <v>21.871545999999999</v>
      </c>
      <c r="J43">
        <v>54.9407</v>
      </c>
      <c r="K43">
        <v>45.887424000000003</v>
      </c>
      <c r="L43">
        <v>114.540239</v>
      </c>
      <c r="M43">
        <v>-622.48326599999996</v>
      </c>
      <c r="N43">
        <v>0.89423699999999995</v>
      </c>
      <c r="O43">
        <v>3.8933279999999999</v>
      </c>
      <c r="P43">
        <f t="shared" si="2"/>
        <v>1.490395E-5</v>
      </c>
      <c r="Q43" cm="1">
        <f t="array" ref="Q43">[1]!PropsSI("D","T",J43+273.15,"P",101325,"Water")</f>
        <v>985.72178855237314</v>
      </c>
      <c r="R43" cm="1">
        <f t="array" ref="R43">[1]!PropsSI("D","T",K43+273.15,"P",101325,"Water")</f>
        <v>989.83877557103631</v>
      </c>
      <c r="S43">
        <f t="shared" si="3"/>
        <v>987.78028206170472</v>
      </c>
      <c r="T43" cm="1">
        <f t="array" ref="T43">[1]!PropsSI("H","T",J43+273.15,"P",101325,"Water")</f>
        <v>230081.02624163646</v>
      </c>
      <c r="U43" cm="1">
        <f t="array" ref="U43">[1]!PropsSI("H","T",K43+273.15,"P",101325,"Water")</f>
        <v>192224.60106357138</v>
      </c>
      <c r="V43">
        <f t="shared" si="4"/>
        <v>557.31577769937439</v>
      </c>
    </row>
    <row r="44" spans="1:22" x14ac:dyDescent="0.2">
      <c r="A44">
        <v>46122.651833912038</v>
      </c>
      <c r="B44">
        <v>20.773812</v>
      </c>
      <c r="C44">
        <v>21.128855999999999</v>
      </c>
      <c r="D44">
        <v>20.380841</v>
      </c>
      <c r="E44">
        <v>20.582768999999999</v>
      </c>
      <c r="F44">
        <v>28.326756</v>
      </c>
      <c r="G44">
        <v>25.370358</v>
      </c>
      <c r="H44">
        <v>24.361177999999999</v>
      </c>
      <c r="I44">
        <v>22.219298999999999</v>
      </c>
      <c r="J44">
        <v>54.942768000000001</v>
      </c>
      <c r="K44">
        <v>45.899641000000003</v>
      </c>
      <c r="L44">
        <v>111.806498</v>
      </c>
      <c r="M44">
        <v>-622.50081599999999</v>
      </c>
      <c r="N44">
        <v>0.89497499999999997</v>
      </c>
      <c r="O44">
        <v>3.9571589999999999</v>
      </c>
      <c r="P44">
        <f t="shared" si="2"/>
        <v>1.491625E-5</v>
      </c>
      <c r="Q44" cm="1">
        <f t="array" ref="Q44">[1]!PropsSI("D","T",J44+273.15,"P",101325,"Water")</f>
        <v>985.72078798815664</v>
      </c>
      <c r="R44" cm="1">
        <f t="array" ref="R44">[1]!PropsSI("D","T",K44+273.15,"P",101325,"Water")</f>
        <v>989.8335870844063</v>
      </c>
      <c r="S44">
        <f t="shared" si="3"/>
        <v>987.77718753628142</v>
      </c>
      <c r="T44" cm="1">
        <f t="array" ref="T44">[1]!PropsSI("H","T",J44+273.15,"P",101325,"Water")</f>
        <v>230089.67655217092</v>
      </c>
      <c r="U44" cm="1">
        <f t="array" ref="U44">[1]!PropsSI("H","T",K44+273.15,"P",101325,"Water")</f>
        <v>192275.67208033949</v>
      </c>
      <c r="V44">
        <f t="shared" si="4"/>
        <v>557.14895062991673</v>
      </c>
    </row>
    <row r="45" spans="1:22" x14ac:dyDescent="0.2">
      <c r="A45">
        <v>46122.651892361115</v>
      </c>
      <c r="B45">
        <v>20.756187000000001</v>
      </c>
      <c r="C45">
        <v>20.992816999999999</v>
      </c>
      <c r="D45">
        <v>20.502144000000001</v>
      </c>
      <c r="E45">
        <v>20.645626</v>
      </c>
      <c r="F45">
        <v>28.264147999999999</v>
      </c>
      <c r="G45">
        <v>25.413049000000001</v>
      </c>
      <c r="H45">
        <v>25.112919000000002</v>
      </c>
      <c r="I45">
        <v>22.423978999999999</v>
      </c>
      <c r="J45">
        <v>54.945632000000003</v>
      </c>
      <c r="K45">
        <v>45.909002000000001</v>
      </c>
      <c r="L45">
        <v>114.168421</v>
      </c>
      <c r="M45">
        <v>-622.47551099999998</v>
      </c>
      <c r="N45">
        <v>0.89515900000000004</v>
      </c>
      <c r="O45">
        <v>3.6876009999999999</v>
      </c>
      <c r="P45">
        <f t="shared" si="2"/>
        <v>1.4919316666666668E-5</v>
      </c>
      <c r="Q45" cm="1">
        <f t="array" ref="Q45">[1]!PropsSI("D","T",J45+273.15,"P",101325,"Water")</f>
        <v>985.71940224993455</v>
      </c>
      <c r="R45" cm="1">
        <f t="array" ref="R45">[1]!PropsSI("D","T",K45+273.15,"P",101325,"Water")</f>
        <v>989.82961082787278</v>
      </c>
      <c r="S45">
        <f t="shared" si="3"/>
        <v>987.77450653890367</v>
      </c>
      <c r="T45" cm="1">
        <f t="array" ref="T45">[1]!PropsSI("H","T",J45+273.15,"P",101325,"Water")</f>
        <v>230101.6564818593</v>
      </c>
      <c r="U45" cm="1">
        <f t="array" ref="U45">[1]!PropsSI("H","T",K45+273.15,"P",101325,"Water")</f>
        <v>192314.80411344746</v>
      </c>
      <c r="V45">
        <f t="shared" si="4"/>
        <v>556.86184528072147</v>
      </c>
    </row>
    <row r="46" spans="1:22" x14ac:dyDescent="0.2">
      <c r="A46">
        <v>46122.651950810185</v>
      </c>
      <c r="B46">
        <v>20.593765999999999</v>
      </c>
      <c r="C46">
        <v>21.064301</v>
      </c>
      <c r="D46">
        <v>20.460391000000001</v>
      </c>
      <c r="E46">
        <v>20.561817000000001</v>
      </c>
      <c r="F46">
        <v>28.181235000000001</v>
      </c>
      <c r="G46">
        <v>25.370305999999999</v>
      </c>
      <c r="H46">
        <v>24.715675000000001</v>
      </c>
      <c r="I46">
        <v>22.128865999999999</v>
      </c>
      <c r="J46">
        <v>54.934336000000002</v>
      </c>
      <c r="K46">
        <v>45.917569999999998</v>
      </c>
      <c r="L46">
        <v>117.14908800000001</v>
      </c>
      <c r="M46">
        <v>-622.50775499999997</v>
      </c>
      <c r="N46">
        <v>0.89135600000000004</v>
      </c>
      <c r="O46">
        <v>4.1005669999999999</v>
      </c>
      <c r="P46">
        <f t="shared" si="2"/>
        <v>1.4855933333333335E-5</v>
      </c>
      <c r="Q46" cm="1">
        <f t="array" ref="Q46">[1]!PropsSI("D","T",J46+273.15,"P",101325,"Water")</f>
        <v>985.72486749144457</v>
      </c>
      <c r="R46" cm="1">
        <f t="array" ref="R46">[1]!PropsSI("D","T",K46+273.15,"P",101325,"Water")</f>
        <v>989.82597088339912</v>
      </c>
      <c r="S46">
        <f t="shared" si="3"/>
        <v>987.7754191874219</v>
      </c>
      <c r="T46" cm="1">
        <f t="array" ref="T46">[1]!PropsSI("H","T",J46+273.15,"P",101325,"Water")</f>
        <v>230054.40605009437</v>
      </c>
      <c r="U46" cm="1">
        <f t="array" ref="U46">[1]!PropsSI("H","T",K46+273.15,"P",101325,"Water")</f>
        <v>192350.62116427382</v>
      </c>
      <c r="V46">
        <f t="shared" si="4"/>
        <v>553.27762239347044</v>
      </c>
    </row>
    <row r="47" spans="1:22" x14ac:dyDescent="0.2">
      <c r="A47">
        <v>46122.652009259262</v>
      </c>
      <c r="B47">
        <v>20.447139</v>
      </c>
      <c r="C47">
        <v>20.840060000000001</v>
      </c>
      <c r="D47">
        <v>20.31363</v>
      </c>
      <c r="E47">
        <v>20.424382000000001</v>
      </c>
      <c r="F47">
        <v>28.046662999999999</v>
      </c>
      <c r="G47">
        <v>25.150442999999999</v>
      </c>
      <c r="H47">
        <v>24.488719</v>
      </c>
      <c r="I47">
        <v>22.086442000000002</v>
      </c>
      <c r="J47">
        <v>54.938313000000001</v>
      </c>
      <c r="K47">
        <v>45.900593000000001</v>
      </c>
      <c r="L47">
        <v>113.562737</v>
      </c>
      <c r="M47">
        <v>-622.50244899999996</v>
      </c>
      <c r="N47">
        <v>0.890795</v>
      </c>
      <c r="O47">
        <v>3.876477</v>
      </c>
      <c r="P47">
        <f t="shared" si="2"/>
        <v>1.4846583333333333E-5</v>
      </c>
      <c r="Q47" cm="1">
        <f t="array" ref="Q47">[1]!PropsSI("D","T",J47+273.15,"P",101325,"Water")</f>
        <v>985.72294342592704</v>
      </c>
      <c r="R47" cm="1">
        <f t="array" ref="R47">[1]!PropsSI("D","T",K47+273.15,"P",101325,"Water")</f>
        <v>989.83318273250325</v>
      </c>
      <c r="S47">
        <f t="shared" si="3"/>
        <v>987.77806307921514</v>
      </c>
      <c r="T47" cm="1">
        <f t="array" ref="T47">[1]!PropsSI("H","T",J47+273.15,"P",101325,"Water")</f>
        <v>230071.04157665747</v>
      </c>
      <c r="U47" cm="1">
        <f t="array" ref="U47">[1]!PropsSI("H","T",K47+273.15,"P",101325,"Water")</f>
        <v>192279.65174991731</v>
      </c>
      <c r="V47">
        <f t="shared" si="4"/>
        <v>554.21561930701421</v>
      </c>
    </row>
    <row r="48" spans="1:22" x14ac:dyDescent="0.2">
      <c r="A48">
        <v>46122.652067129631</v>
      </c>
      <c r="B48">
        <v>20.751087999999999</v>
      </c>
      <c r="C48">
        <v>20.878001999999999</v>
      </c>
      <c r="D48">
        <v>20.365501999999999</v>
      </c>
      <c r="E48">
        <v>20.567131</v>
      </c>
      <c r="F48">
        <v>28.237853000000001</v>
      </c>
      <c r="G48">
        <v>25.296700999999999</v>
      </c>
      <c r="H48">
        <v>24.699885999999999</v>
      </c>
      <c r="I48">
        <v>22.082516999999999</v>
      </c>
      <c r="J48">
        <v>54.935290000000002</v>
      </c>
      <c r="K48">
        <v>45.891866</v>
      </c>
      <c r="L48">
        <v>111.25101600000001</v>
      </c>
      <c r="M48">
        <v>-622.49061300000005</v>
      </c>
      <c r="N48">
        <v>0.891459</v>
      </c>
      <c r="O48">
        <v>3.2978770000000002</v>
      </c>
      <c r="P48">
        <f t="shared" si="2"/>
        <v>1.485765E-5</v>
      </c>
      <c r="Q48" cm="1">
        <f t="array" ref="Q48">[1]!PropsSI("D","T",J48+273.15,"P",101325,"Water")</f>
        <v>985.724405956895</v>
      </c>
      <c r="R48" cm="1">
        <f t="array" ref="R48">[1]!PropsSI("D","T",K48+273.15,"P",101325,"Water")</f>
        <v>989.83688919928318</v>
      </c>
      <c r="S48">
        <f t="shared" si="3"/>
        <v>987.78064757808909</v>
      </c>
      <c r="T48" cm="1">
        <f t="array" ref="T48">[1]!PropsSI("H","T",J48+273.15,"P",101325,"Water")</f>
        <v>230058.39656815497</v>
      </c>
      <c r="U48" cm="1">
        <f t="array" ref="U48">[1]!PropsSI("H","T",K48+273.15,"P",101325,"Water")</f>
        <v>192243.17005857403</v>
      </c>
      <c r="V48">
        <f t="shared" si="4"/>
        <v>554.98001319901198</v>
      </c>
    </row>
    <row r="49" spans="1:22" x14ac:dyDescent="0.2">
      <c r="A49">
        <v>44660.652125578898</v>
      </c>
      <c r="B49">
        <v>20.749286999999999</v>
      </c>
      <c r="C49">
        <v>21.055354000000001</v>
      </c>
      <c r="D49">
        <v>20.361395000000002</v>
      </c>
      <c r="E49">
        <v>20.478314000000001</v>
      </c>
      <c r="F49">
        <v>28.352460000000001</v>
      </c>
      <c r="G49">
        <v>25.295627</v>
      </c>
      <c r="H49">
        <v>24.359843999999999</v>
      </c>
      <c r="I49">
        <v>22.127542999999999</v>
      </c>
      <c r="J49">
        <v>54.935130999999998</v>
      </c>
      <c r="K49">
        <v>45.893135000000001</v>
      </c>
      <c r="L49">
        <v>115.643449</v>
      </c>
      <c r="M49">
        <v>-622.49102100000005</v>
      </c>
      <c r="N49">
        <v>0.89434400000000003</v>
      </c>
      <c r="O49">
        <v>3.2117689999999999</v>
      </c>
      <c r="P49">
        <f t="shared" si="2"/>
        <v>1.4905733333333334E-5</v>
      </c>
      <c r="Q49" cm="1">
        <f t="array" ref="Q49">[1]!PropsSI("D","T",J49+273.15,"P",101325,"Water")</f>
        <v>985.72448287971611</v>
      </c>
      <c r="R49" cm="1">
        <f t="array" ref="R49">[1]!PropsSI("D","T",K49+273.15,"P",101325,"Water")</f>
        <v>989.83635027162597</v>
      </c>
      <c r="S49">
        <f t="shared" si="3"/>
        <v>987.7804165756711</v>
      </c>
      <c r="T49" cm="1">
        <f t="array" ref="T49">[1]!PropsSI("H","T",J49+273.15,"P",101325,"Water")</f>
        <v>230057.73148181563</v>
      </c>
      <c r="U49" cm="1">
        <f t="array" ref="U49">[1]!PropsSI("H","T",K49+273.15,"P",101325,"Water")</f>
        <v>192248.47488928994</v>
      </c>
      <c r="V49">
        <f t="shared" si="4"/>
        <v>556.68804828248756</v>
      </c>
    </row>
    <row r="50" spans="1:22" x14ac:dyDescent="0.2">
      <c r="A50" t="s">
        <v>23</v>
      </c>
      <c r="B50">
        <v>20.490956000000001</v>
      </c>
      <c r="C50">
        <v>20.749355999999999</v>
      </c>
      <c r="D50">
        <v>20.236146000000002</v>
      </c>
      <c r="E50">
        <v>20.491949999999999</v>
      </c>
      <c r="F50">
        <v>28.089317999999999</v>
      </c>
      <c r="G50">
        <v>25.28885</v>
      </c>
      <c r="H50">
        <v>24.801148000000001</v>
      </c>
      <c r="I50">
        <v>22.137620999999999</v>
      </c>
      <c r="J50">
        <v>54.931313000000003</v>
      </c>
      <c r="K50">
        <v>45.903131000000002</v>
      </c>
      <c r="L50">
        <v>117.14990400000001</v>
      </c>
      <c r="M50">
        <v>-622.474695</v>
      </c>
      <c r="N50">
        <v>0.89498299999999997</v>
      </c>
      <c r="O50">
        <v>3.115634</v>
      </c>
      <c r="P50">
        <f t="shared" si="2"/>
        <v>1.4916383333333333E-5</v>
      </c>
      <c r="Q50" cm="1">
        <f t="array" ref="Q50">[1]!PropsSI("D","T",J50+273.15,"P",101325,"Water")</f>
        <v>985.72632994775051</v>
      </c>
      <c r="R50" cm="1">
        <f t="array" ref="R50">[1]!PropsSI("D","T",K50+273.15,"P",101325,"Water")</f>
        <v>989.83210471345444</v>
      </c>
      <c r="S50">
        <f t="shared" si="3"/>
        <v>987.77921733060248</v>
      </c>
      <c r="T50" cm="1">
        <f t="array" ref="T50">[1]!PropsSI("H","T",J50+273.15,"P",101325,"Water")</f>
        <v>230041.76104595413</v>
      </c>
      <c r="U50" cm="1">
        <f t="array" ref="U50">[1]!PropsSI("H","T",K50+273.15,"P",101325,"Water")</f>
        <v>192290.26141641458</v>
      </c>
      <c r="V50">
        <f t="shared" si="4"/>
        <v>556.23412358550513</v>
      </c>
    </row>
    <row r="51" spans="1:22" x14ac:dyDescent="0.2">
      <c r="A51">
        <v>46122.652241319447</v>
      </c>
      <c r="B51">
        <v>20.504057</v>
      </c>
      <c r="C51">
        <v>20.826630000000002</v>
      </c>
      <c r="D51">
        <v>20.359848</v>
      </c>
      <c r="E51">
        <v>20.533284999999999</v>
      </c>
      <c r="F51">
        <v>28.113368000000001</v>
      </c>
      <c r="G51">
        <v>25.318572</v>
      </c>
      <c r="H51">
        <v>24.441275999999998</v>
      </c>
      <c r="I51">
        <v>22.318360999999999</v>
      </c>
      <c r="J51">
        <v>54.934972000000002</v>
      </c>
      <c r="K51">
        <v>45.902338</v>
      </c>
      <c r="L51">
        <v>107.035309</v>
      </c>
      <c r="M51">
        <v>-622.52163199999995</v>
      </c>
      <c r="N51">
        <v>0.89457299999999995</v>
      </c>
      <c r="O51">
        <v>3.456356</v>
      </c>
      <c r="P51">
        <f t="shared" si="2"/>
        <v>1.4909549999999999E-5</v>
      </c>
      <c r="Q51" cm="1">
        <f t="array" ref="Q51">[1]!PropsSI("D","T",J51+273.15,"P",101325,"Water")</f>
        <v>985.7245598023793</v>
      </c>
      <c r="R51" cm="1">
        <f t="array" ref="R51">[1]!PropsSI("D","T",K51+273.15,"P",101325,"Water")</f>
        <v>989.83244154606564</v>
      </c>
      <c r="S51">
        <f t="shared" si="3"/>
        <v>987.77850067422241</v>
      </c>
      <c r="T51" cm="1">
        <f t="array" ref="T51">[1]!PropsSI("H","T",J51+273.15,"P",101325,"Water")</f>
        <v>230057.06639546112</v>
      </c>
      <c r="U51" cm="1">
        <f t="array" ref="U51">[1]!PropsSI("H","T",K51+273.15,"P",101325,"Water")</f>
        <v>192286.94641807169</v>
      </c>
      <c r="V51">
        <f t="shared" si="4"/>
        <v>556.25313226931212</v>
      </c>
    </row>
    <row r="52" spans="1:22" x14ac:dyDescent="0.2">
      <c r="A52">
        <v>46122.652299768517</v>
      </c>
      <c r="B52">
        <v>20.465001999999998</v>
      </c>
      <c r="C52">
        <v>20.878420999999999</v>
      </c>
      <c r="D52">
        <v>20.29815</v>
      </c>
      <c r="E52">
        <v>20.522069999999999</v>
      </c>
      <c r="F52">
        <v>28.085684000000001</v>
      </c>
      <c r="G52">
        <v>25.250917999999999</v>
      </c>
      <c r="H52">
        <v>24.746843999999999</v>
      </c>
      <c r="I52">
        <v>22.121003999999999</v>
      </c>
      <c r="J52">
        <v>54.936086000000003</v>
      </c>
      <c r="K52">
        <v>45.899641000000003</v>
      </c>
      <c r="L52">
        <v>111.54732799999999</v>
      </c>
      <c r="M52">
        <v>-622.49959200000001</v>
      </c>
      <c r="N52">
        <v>0.89817899999999995</v>
      </c>
      <c r="O52">
        <v>3.8938999999999999</v>
      </c>
      <c r="P52">
        <f t="shared" si="2"/>
        <v>1.4969649999999998E-5</v>
      </c>
      <c r="Q52" cm="1">
        <f t="array" ref="Q52">[1]!PropsSI("D","T",J52+273.15,"P",101325,"Water")</f>
        <v>985.72402085666567</v>
      </c>
      <c r="R52" cm="1">
        <f t="array" ref="R52">[1]!PropsSI("D","T",K52+273.15,"P",101325,"Water")</f>
        <v>989.8335870844063</v>
      </c>
      <c r="S52">
        <f t="shared" si="3"/>
        <v>987.77880397053605</v>
      </c>
      <c r="T52" cm="1">
        <f t="array" ref="T52">[1]!PropsSI("H","T",J52+273.15,"P",101325,"Water")</f>
        <v>230061.72618301213</v>
      </c>
      <c r="U52" cm="1">
        <f t="array" ref="U52">[1]!PropsSI("H","T",K52+273.15,"P",101325,"Water")</f>
        <v>192275.67208033949</v>
      </c>
      <c r="V52">
        <f t="shared" si="4"/>
        <v>558.73115853254512</v>
      </c>
    </row>
    <row r="53" spans="1:22" x14ac:dyDescent="0.2">
      <c r="A53">
        <v>46122.652357638886</v>
      </c>
      <c r="B53">
        <v>20.443753999999998</v>
      </c>
      <c r="C53">
        <v>20.743175999999998</v>
      </c>
      <c r="D53">
        <v>20.319558000000001</v>
      </c>
      <c r="E53">
        <v>20.449773</v>
      </c>
      <c r="F53">
        <v>28.076802000000001</v>
      </c>
      <c r="G53">
        <v>25.180299999999999</v>
      </c>
      <c r="H53">
        <v>24.504975000000002</v>
      </c>
      <c r="I53">
        <v>22.278506</v>
      </c>
      <c r="J53">
        <v>54.941972999999997</v>
      </c>
      <c r="K53">
        <v>45.901226999999999</v>
      </c>
      <c r="L53">
        <v>116.83114500000001</v>
      </c>
      <c r="M53">
        <v>-622.50816299999997</v>
      </c>
      <c r="N53">
        <v>0.89485599999999998</v>
      </c>
      <c r="O53">
        <v>3.8573010000000001</v>
      </c>
      <c r="P53">
        <f t="shared" si="2"/>
        <v>1.4914266666666665E-5</v>
      </c>
      <c r="Q53" cm="1">
        <f t="array" ref="Q53">[1]!PropsSI("D","T",J53+273.15,"P",101325,"Water")</f>
        <v>985.72117263761879</v>
      </c>
      <c r="R53" cm="1">
        <f t="array" ref="R53">[1]!PropsSI("D","T",K53+273.15,"P",101325,"Water")</f>
        <v>989.83291344429858</v>
      </c>
      <c r="S53">
        <f t="shared" si="3"/>
        <v>987.77704304095869</v>
      </c>
      <c r="T53" cm="1">
        <f t="array" ref="T53">[1]!PropsSI("H","T",J53+273.15,"P",101325,"Water")</f>
        <v>230086.35111829644</v>
      </c>
      <c r="U53" cm="1">
        <f t="array" ref="U53">[1]!PropsSI("H","T",K53+273.15,"P",101325,"Water")</f>
        <v>192282.30207624473</v>
      </c>
      <c r="V53">
        <f t="shared" si="4"/>
        <v>556.92812495225405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749C-E6F4-D34B-8F17-73209F85440C}">
  <dimension ref="A1:W52"/>
  <sheetViews>
    <sheetView topLeftCell="L1" workbookViewId="0">
      <selection activeCell="W2" sqref="W2"/>
    </sheetView>
  </sheetViews>
  <sheetFormatPr baseColWidth="10" defaultRowHeight="16" x14ac:dyDescent="0.2"/>
  <cols>
    <col min="1" max="1" width="16.832031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</cols>
  <sheetData>
    <row r="1" spans="1:23" x14ac:dyDescent="0.2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</row>
    <row r="2" spans="1:23" x14ac:dyDescent="0.2">
      <c r="A2">
        <v>44660.653333333503</v>
      </c>
      <c r="B2">
        <v>20.752431999999999</v>
      </c>
      <c r="C2">
        <v>20.888615999999999</v>
      </c>
      <c r="D2">
        <v>20.117545</v>
      </c>
      <c r="E2">
        <v>20.331862999999998</v>
      </c>
      <c r="F2">
        <v>27.560621000000001</v>
      </c>
      <c r="G2">
        <v>24.837330000000001</v>
      </c>
      <c r="H2">
        <v>24.250923</v>
      </c>
      <c r="I2">
        <v>22.052959999999999</v>
      </c>
      <c r="J2">
        <v>54.943882000000002</v>
      </c>
      <c r="K2">
        <v>45.554884999999999</v>
      </c>
      <c r="L2">
        <v>144.81831500000001</v>
      </c>
      <c r="M2">
        <v>-622.49918400000001</v>
      </c>
      <c r="N2">
        <v>0.89913399999999999</v>
      </c>
      <c r="O2">
        <v>4.0206099999999996</v>
      </c>
      <c r="P2">
        <f xml:space="preserve"> N2*0.001/60</f>
        <v>1.4985566666666666E-5</v>
      </c>
      <c r="Q2" cm="1">
        <f t="array" ref="Q2">[1]!PropsSI("D","T",J2+273.15,"P",101325,"Water")</f>
        <v>985.72024898850691</v>
      </c>
      <c r="R2" cm="1">
        <f t="array" ref="R2">[1]!PropsSI("D","T",K2+273.15,"P",101325,"Water")</f>
        <v>989.97960728331827</v>
      </c>
      <c r="S2">
        <f t="shared" ref="S2:S15" si="0">(Q2+R2)/2</f>
        <v>987.84992813591259</v>
      </c>
      <c r="T2" cm="1">
        <f t="array" ref="T2">[1]!PropsSI("H","T",J2+273.15,"P",101325,"Water")</f>
        <v>230094.33634291403</v>
      </c>
      <c r="U2" cm="1">
        <f t="array" ref="U2">[1]!PropsSI("H","T",K2+273.15,"P",101325,"Water")</f>
        <v>190834.49236888438</v>
      </c>
      <c r="V2">
        <f t="shared" ref="V2:V15" si="1">S2*P2*(T2-U2)</f>
        <v>581.18274515415339</v>
      </c>
      <c r="W2" s="2">
        <f>AVERAGE(V2:V52)</f>
        <v>578.78207851989066</v>
      </c>
    </row>
    <row r="3" spans="1:23" x14ac:dyDescent="0.2">
      <c r="A3">
        <v>44660.653391203901</v>
      </c>
      <c r="B3">
        <v>20.474627000000002</v>
      </c>
      <c r="C3">
        <v>20.602029000000002</v>
      </c>
      <c r="D3">
        <v>20.102267000000001</v>
      </c>
      <c r="E3">
        <v>20.377618999999999</v>
      </c>
      <c r="F3">
        <v>27.441913</v>
      </c>
      <c r="G3">
        <v>24.731438000000001</v>
      </c>
      <c r="H3">
        <v>23.886945999999998</v>
      </c>
      <c r="I3">
        <v>21.738744000000001</v>
      </c>
      <c r="J3">
        <v>54.938471999999997</v>
      </c>
      <c r="K3">
        <v>45.550283999999998</v>
      </c>
      <c r="L3">
        <v>142.49802299999999</v>
      </c>
      <c r="M3">
        <v>-622.46489999999994</v>
      </c>
      <c r="N3">
        <v>0.89236800000000005</v>
      </c>
      <c r="O3">
        <v>3.7001559999999998</v>
      </c>
      <c r="P3">
        <f xml:space="preserve"> N3*0.001/60</f>
        <v>1.4872800000000001E-5</v>
      </c>
      <c r="Q3" cm="1">
        <f t="array" ref="Q3">[1]!PropsSI("D","T",J3+273.15,"P",101325,"Water")</f>
        <v>985.72286649993976</v>
      </c>
      <c r="R3" cm="1">
        <f t="array" ref="R3">[1]!PropsSI("D","T",K3+273.15,"P",101325,"Water")</f>
        <v>989.98155046631382</v>
      </c>
      <c r="S3">
        <f t="shared" si="0"/>
        <v>987.85220848312679</v>
      </c>
      <c r="T3" cm="1">
        <f t="array" ref="T3">[1]!PropsSI("H","T",J3+273.15,"P",101325,"Water")</f>
        <v>230071.70666321213</v>
      </c>
      <c r="U3" cm="1">
        <f t="array" ref="U3">[1]!PropsSI("H","T",K3+273.15,"P",101325,"Water")</f>
        <v>190815.25902618736</v>
      </c>
      <c r="V3">
        <f t="shared" si="1"/>
        <v>576.76076631893761</v>
      </c>
      <c r="W3" s="2"/>
    </row>
    <row r="4" spans="1:23" x14ac:dyDescent="0.2">
      <c r="A4">
        <v>44660.653449074198</v>
      </c>
      <c r="B4">
        <v>20.665942000000001</v>
      </c>
      <c r="C4">
        <v>20.779653</v>
      </c>
      <c r="D4">
        <v>20.126940999999999</v>
      </c>
      <c r="E4">
        <v>20.402034</v>
      </c>
      <c r="F4">
        <v>27.575399999999998</v>
      </c>
      <c r="G4">
        <v>24.780697</v>
      </c>
      <c r="H4">
        <v>23.845507999999999</v>
      </c>
      <c r="I4">
        <v>21.741906</v>
      </c>
      <c r="J4">
        <v>54.938791000000002</v>
      </c>
      <c r="K4">
        <v>45.537115999999997</v>
      </c>
      <c r="L4">
        <v>140.867492</v>
      </c>
      <c r="M4">
        <v>-622.50040799999999</v>
      </c>
      <c r="N4">
        <v>0.89509300000000003</v>
      </c>
      <c r="O4">
        <v>4.1335819999999996</v>
      </c>
      <c r="P4">
        <f xml:space="preserve"> N4*0.001/60</f>
        <v>1.4918216666666667E-5</v>
      </c>
      <c r="Q4" cm="1">
        <f t="array" ref="Q4">[1]!PropsSI("D","T",J4+273.15,"P",101325,"Water")</f>
        <v>985.72271216375293</v>
      </c>
      <c r="R4" cm="1">
        <f t="array" ref="R4">[1]!PropsSI("D","T",K4+273.15,"P",101325,"Water")</f>
        <v>989.98711102005348</v>
      </c>
      <c r="S4">
        <f t="shared" si="0"/>
        <v>987.85491159190315</v>
      </c>
      <c r="T4" cm="1">
        <f t="array" ref="T4">[1]!PropsSI("H","T",J4+273.15,"P",101325,"Water")</f>
        <v>230073.04101926705</v>
      </c>
      <c r="U4" cm="1">
        <f t="array" ref="U4">[1]!PropsSI("H","T",K4+273.15,"P",101325,"Water")</f>
        <v>190760.2134825871</v>
      </c>
      <c r="V4">
        <f t="shared" si="1"/>
        <v>579.35446056904232</v>
      </c>
      <c r="W4" s="2"/>
    </row>
    <row r="5" spans="1:23" x14ac:dyDescent="0.2">
      <c r="A5">
        <v>44660.653507523297</v>
      </c>
      <c r="B5">
        <v>20.649759</v>
      </c>
      <c r="C5">
        <v>20.518498999999998</v>
      </c>
      <c r="D5">
        <v>20.146408000000001</v>
      </c>
      <c r="E5">
        <v>20.308050000000001</v>
      </c>
      <c r="F5">
        <v>27.559552</v>
      </c>
      <c r="G5">
        <v>24.705158000000001</v>
      </c>
      <c r="H5">
        <v>23.860925000000002</v>
      </c>
      <c r="I5">
        <v>21.667162000000001</v>
      </c>
      <c r="J5">
        <v>54.931313000000003</v>
      </c>
      <c r="K5">
        <v>45.532674</v>
      </c>
      <c r="L5">
        <v>136.07222200000001</v>
      </c>
      <c r="M5">
        <v>-622.47551099999998</v>
      </c>
      <c r="N5">
        <v>0.89138099999999998</v>
      </c>
      <c r="O5">
        <v>3.8928959999999999</v>
      </c>
      <c r="P5">
        <f xml:space="preserve"> N5*0.001/60</f>
        <v>1.485635E-5</v>
      </c>
      <c r="Q5" cm="1">
        <f t="array" ref="Q5">[1]!PropsSI("D","T",J5+273.15,"P",101325,"Water")</f>
        <v>985.72632994775051</v>
      </c>
      <c r="R5" cm="1">
        <f t="array" ref="R5">[1]!PropsSI("D","T",K5+273.15,"P",101325,"Water")</f>
        <v>989.98898650718002</v>
      </c>
      <c r="S5">
        <f t="shared" si="0"/>
        <v>987.85765822746521</v>
      </c>
      <c r="T5" cm="1">
        <f t="array" ref="T5">[1]!PropsSI("H","T",J5+273.15,"P",101325,"Water")</f>
        <v>230041.76104595413</v>
      </c>
      <c r="U5" cm="1">
        <f t="array" ref="U5">[1]!PropsSI("H","T",K5+273.15,"P",101325,"Water")</f>
        <v>190741.64481616855</v>
      </c>
      <c r="V5">
        <f t="shared" si="1"/>
        <v>576.76689923132062</v>
      </c>
      <c r="W5" s="2"/>
    </row>
    <row r="6" spans="1:23" x14ac:dyDescent="0.2">
      <c r="A6">
        <v>46122.653565972221</v>
      </c>
      <c r="B6">
        <v>20.583988000000002</v>
      </c>
      <c r="C6">
        <v>20.564696999999999</v>
      </c>
      <c r="D6">
        <v>20.169857</v>
      </c>
      <c r="E6">
        <v>20.372833</v>
      </c>
      <c r="F6">
        <v>27.347263000000002</v>
      </c>
      <c r="G6">
        <v>24.683126000000001</v>
      </c>
      <c r="H6">
        <v>24.057597999999999</v>
      </c>
      <c r="I6">
        <v>21.794695999999998</v>
      </c>
      <c r="J6">
        <v>54.937040000000003</v>
      </c>
      <c r="K6">
        <v>45.527439000000001</v>
      </c>
      <c r="L6">
        <v>158.187849</v>
      </c>
      <c r="M6">
        <v>-622.52163199999995</v>
      </c>
      <c r="N6">
        <v>0.89290099999999994</v>
      </c>
      <c r="O6">
        <v>3.5252080000000001</v>
      </c>
      <c r="P6">
        <f xml:space="preserve"> N6*0.001/60</f>
        <v>1.4881683333333333E-5</v>
      </c>
      <c r="Q6" cm="1">
        <f t="array" ref="Q6">[1]!PropsSI("D","T",J6+273.15,"P",101325,"Water")</f>
        <v>985.72355931175377</v>
      </c>
      <c r="R6" cm="1">
        <f t="array" ref="R6">[1]!PropsSI("D","T",K6+273.15,"P",101325,"Water")</f>
        <v>989.99119663687713</v>
      </c>
      <c r="S6">
        <f t="shared" si="0"/>
        <v>987.85737797431545</v>
      </c>
      <c r="T6" cm="1">
        <f t="array" ref="T6">[1]!PropsSI("H","T",J6+273.15,"P",101325,"Water")</f>
        <v>230065.7167016743</v>
      </c>
      <c r="U6" cm="1">
        <f t="array" ref="U6">[1]!PropsSI("H","T",K6+273.15,"P",101325,"Water")</f>
        <v>190719.76121750515</v>
      </c>
      <c r="V6">
        <f t="shared" si="1"/>
        <v>578.42413131096839</v>
      </c>
      <c r="W6" s="2"/>
    </row>
    <row r="7" spans="1:23" x14ac:dyDescent="0.2">
      <c r="A7">
        <v>46122.653623842591</v>
      </c>
      <c r="B7">
        <v>20.703294</v>
      </c>
      <c r="C7">
        <v>20.741958</v>
      </c>
      <c r="D7">
        <v>20.234781999999999</v>
      </c>
      <c r="E7">
        <v>20.366793000000001</v>
      </c>
      <c r="F7">
        <v>27.565448</v>
      </c>
      <c r="G7">
        <v>24.754518000000001</v>
      </c>
      <c r="H7">
        <v>23.878847</v>
      </c>
      <c r="I7">
        <v>21.930942999999999</v>
      </c>
      <c r="J7">
        <v>54.938631000000001</v>
      </c>
      <c r="K7">
        <v>45.527915</v>
      </c>
      <c r="L7">
        <v>136.453427</v>
      </c>
      <c r="M7">
        <v>-622.46285899999998</v>
      </c>
      <c r="N7">
        <v>0.89469600000000005</v>
      </c>
      <c r="O7">
        <v>4.3008550000000003</v>
      </c>
      <c r="P7">
        <f xml:space="preserve"> N7*0.001/60</f>
        <v>1.4911600000000001E-5</v>
      </c>
      <c r="Q7" cm="1">
        <f t="array" ref="Q7">[1]!PropsSI("D","T",J7+273.15,"P",101325,"Water")</f>
        <v>985.72278957384185</v>
      </c>
      <c r="R7" cm="1">
        <f t="array" ref="R7">[1]!PropsSI("D","T",K7+273.15,"P",101325,"Water")</f>
        <v>989.99099568547626</v>
      </c>
      <c r="S7">
        <f t="shared" si="0"/>
        <v>987.85689262965911</v>
      </c>
      <c r="T7" cm="1">
        <f t="array" ref="T7">[1]!PropsSI("H","T",J7+273.15,"P",101325,"Water")</f>
        <v>230072.37174973849</v>
      </c>
      <c r="U7" cm="1">
        <f t="array" ref="U7">[1]!PropsSI("H","T",K7+273.15,"P",101325,"Water")</f>
        <v>190721.75101536908</v>
      </c>
      <c r="V7">
        <f t="shared" si="1"/>
        <v>579.65537490365762</v>
      </c>
    </row>
    <row r="8" spans="1:23" x14ac:dyDescent="0.2">
      <c r="A8">
        <v>46122.653682291668</v>
      </c>
      <c r="B8">
        <v>20.499987000000001</v>
      </c>
      <c r="C8">
        <v>20.695644999999999</v>
      </c>
      <c r="D8">
        <v>20.339334000000001</v>
      </c>
      <c r="E8">
        <v>20.413758000000001</v>
      </c>
      <c r="F8">
        <v>27.450241999999999</v>
      </c>
      <c r="G8">
        <v>24.829211000000001</v>
      </c>
      <c r="H8">
        <v>23.934519999999999</v>
      </c>
      <c r="I8">
        <v>21.764281</v>
      </c>
      <c r="J8">
        <v>54.938313000000001</v>
      </c>
      <c r="K8">
        <v>45.537909999999997</v>
      </c>
      <c r="L8">
        <v>151.847351</v>
      </c>
      <c r="M8">
        <v>-622.52163199999995</v>
      </c>
      <c r="N8">
        <v>0.89775300000000002</v>
      </c>
      <c r="O8">
        <v>4.218013</v>
      </c>
      <c r="P8">
        <f xml:space="preserve"> N8*0.001/60</f>
        <v>1.4962550000000001E-5</v>
      </c>
      <c r="Q8" cm="1">
        <f t="array" ref="Q8">[1]!PropsSI("D","T",J8+273.15,"P",101325,"Water")</f>
        <v>985.72294342592704</v>
      </c>
      <c r="R8" cm="1">
        <f t="array" ref="R8">[1]!PropsSI("D","T",K8+273.15,"P",101325,"Water")</f>
        <v>989.98677576549244</v>
      </c>
      <c r="S8">
        <f t="shared" si="0"/>
        <v>987.85485959570974</v>
      </c>
      <c r="T8" cm="1">
        <f t="array" ref="T8">[1]!PropsSI("H","T",J8+273.15,"P",101325,"Water")</f>
        <v>230071.04157665747</v>
      </c>
      <c r="U8" cm="1">
        <f t="array" ref="U8">[1]!PropsSI("H","T",K8+273.15,"P",101325,"Water")</f>
        <v>190763.53260075967</v>
      </c>
      <c r="V8">
        <f t="shared" si="1"/>
        <v>580.99751864631082</v>
      </c>
    </row>
    <row r="9" spans="1:23" x14ac:dyDescent="0.2">
      <c r="A9">
        <v>46122.653740162037</v>
      </c>
      <c r="B9">
        <v>20.754473000000001</v>
      </c>
      <c r="C9">
        <v>20.674572000000001</v>
      </c>
      <c r="D9">
        <v>20.321279000000001</v>
      </c>
      <c r="E9">
        <v>20.424602</v>
      </c>
      <c r="F9">
        <v>27.588065</v>
      </c>
      <c r="G9">
        <v>24.853280999999999</v>
      </c>
      <c r="H9">
        <v>24.098258000000001</v>
      </c>
      <c r="I9">
        <v>22.061457000000001</v>
      </c>
      <c r="J9">
        <v>54.930993999999998</v>
      </c>
      <c r="K9">
        <v>45.537275000000001</v>
      </c>
      <c r="L9">
        <v>145.563175</v>
      </c>
      <c r="M9">
        <v>-622.49347</v>
      </c>
      <c r="N9">
        <v>0.896397</v>
      </c>
      <c r="O9">
        <v>3.6548780000000001</v>
      </c>
      <c r="P9">
        <f xml:space="preserve"> N9*0.001/60</f>
        <v>1.4939950000000001E-5</v>
      </c>
      <c r="Q9" cm="1">
        <f t="array" ref="Q9">[1]!PropsSI("D","T",J9+273.15,"P",101325,"Water")</f>
        <v>985.7264842691344</v>
      </c>
      <c r="R9" cm="1">
        <f t="array" ref="R9">[1]!PropsSI("D","T",K9+273.15,"P",101325,"Water")</f>
        <v>989.98704388504962</v>
      </c>
      <c r="S9">
        <f t="shared" si="0"/>
        <v>987.85676407709207</v>
      </c>
      <c r="T9" cm="1">
        <f t="array" ref="T9">[1]!PropsSI("H","T",J9+273.15,"P",101325,"Water")</f>
        <v>230040.42669074493</v>
      </c>
      <c r="U9" cm="1">
        <f t="array" ref="U9">[1]!PropsSI("H","T",K9+273.15,"P",101325,"Water")</f>
        <v>190760.87814225661</v>
      </c>
      <c r="V9">
        <f t="shared" si="1"/>
        <v>579.7084216609835</v>
      </c>
    </row>
    <row r="10" spans="1:23" x14ac:dyDescent="0.2">
      <c r="A10">
        <v>44660.653798032603</v>
      </c>
      <c r="B10">
        <v>20.783574000000002</v>
      </c>
      <c r="C10">
        <v>21.098393999999999</v>
      </c>
      <c r="D10">
        <v>20.359421999999999</v>
      </c>
      <c r="E10">
        <v>20.460283</v>
      </c>
      <c r="F10">
        <v>27.652555</v>
      </c>
      <c r="G10">
        <v>24.955164</v>
      </c>
      <c r="H10">
        <v>24.081968</v>
      </c>
      <c r="I10">
        <v>21.872423000000001</v>
      </c>
      <c r="J10">
        <v>54.929881000000002</v>
      </c>
      <c r="K10">
        <v>45.540289000000001</v>
      </c>
      <c r="L10">
        <v>153.92275699999999</v>
      </c>
      <c r="M10">
        <v>-622.49020499999995</v>
      </c>
      <c r="N10">
        <v>0.89440500000000001</v>
      </c>
      <c r="O10">
        <v>2.9612090000000002</v>
      </c>
      <c r="P10">
        <f t="shared" ref="P10:P15" si="2" xml:space="preserve"> N10*0.001/60</f>
        <v>1.4906750000000001E-5</v>
      </c>
      <c r="Q10" cm="1">
        <f t="array" ref="Q10">[1]!PropsSI("D","T",J10+273.15,"P",101325,"Water")</f>
        <v>985.72702269583692</v>
      </c>
      <c r="R10" cm="1">
        <f t="array" ref="R10">[1]!PropsSI("D","T",K10+273.15,"P",101325,"Water")</f>
        <v>989.98577124243639</v>
      </c>
      <c r="S10">
        <f t="shared" si="0"/>
        <v>987.85639696913665</v>
      </c>
      <c r="T10" cm="1">
        <f t="array" ref="T10">[1]!PropsSI("H","T",J10+273.15,"P",101325,"Water")</f>
        <v>230035.77108817257</v>
      </c>
      <c r="U10" cm="1">
        <f t="array" ref="U10">[1]!PropsSI("H","T",K10+273.15,"P",101325,"Water")</f>
        <v>190773.47741537</v>
      </c>
      <c r="V10">
        <f t="shared" si="1"/>
        <v>578.16587084770674</v>
      </c>
    </row>
    <row r="11" spans="1:23" x14ac:dyDescent="0.2">
      <c r="A11">
        <v>44660.653856481702</v>
      </c>
      <c r="B11">
        <v>20.572679000000001</v>
      </c>
      <c r="C11">
        <v>20.843605</v>
      </c>
      <c r="D11">
        <v>20.234314000000001</v>
      </c>
      <c r="E11">
        <v>20.387692999999999</v>
      </c>
      <c r="F11">
        <v>27.504695000000002</v>
      </c>
      <c r="G11">
        <v>24.913294</v>
      </c>
      <c r="H11">
        <v>24.190079000000001</v>
      </c>
      <c r="I11">
        <v>22.011105000000001</v>
      </c>
      <c r="J11">
        <v>54.924788999999997</v>
      </c>
      <c r="K11">
        <v>45.544255</v>
      </c>
      <c r="L11">
        <v>147.99570700000001</v>
      </c>
      <c r="M11">
        <v>-622.47265400000003</v>
      </c>
      <c r="N11">
        <v>0.89525699999999997</v>
      </c>
      <c r="O11">
        <v>4.0670440000000001</v>
      </c>
      <c r="P11">
        <f t="shared" si="2"/>
        <v>1.492095E-5</v>
      </c>
      <c r="Q11" cm="1">
        <f t="array" ref="Q11">[1]!PropsSI("D","T",J11+273.15,"P",101325,"Water")</f>
        <v>985.72948591202066</v>
      </c>
      <c r="R11" cm="1">
        <f t="array" ref="R11">[1]!PropsSI("D","T",K11+273.15,"P",101325,"Water")</f>
        <v>989.98409652800262</v>
      </c>
      <c r="S11">
        <f t="shared" si="0"/>
        <v>987.8567912200117</v>
      </c>
      <c r="T11" cm="1">
        <f t="array" ref="T11">[1]!PropsSI("H","T",J11+273.15,"P",101325,"Water")</f>
        <v>230014.47160727199</v>
      </c>
      <c r="U11" cm="1">
        <f t="array" ref="U11">[1]!PropsSI("H","T",K11+273.15,"P",101325,"Water")</f>
        <v>190790.05628915099</v>
      </c>
      <c r="V11">
        <f t="shared" si="1"/>
        <v>578.15853810011106</v>
      </c>
    </row>
    <row r="12" spans="1:23" x14ac:dyDescent="0.2">
      <c r="A12">
        <v>44660.653914930699</v>
      </c>
      <c r="B12">
        <v>20.473174</v>
      </c>
      <c r="C12">
        <v>20.725228999999999</v>
      </c>
      <c r="D12">
        <v>20.221533000000001</v>
      </c>
      <c r="E12">
        <v>20.333466000000001</v>
      </c>
      <c r="F12">
        <v>27.410456</v>
      </c>
      <c r="G12">
        <v>24.813759000000001</v>
      </c>
      <c r="H12">
        <v>24.002410999999999</v>
      </c>
      <c r="I12">
        <v>21.732271000000001</v>
      </c>
      <c r="J12">
        <v>54.930835000000002</v>
      </c>
      <c r="K12">
        <v>45.542668999999997</v>
      </c>
      <c r="L12">
        <v>145.572563</v>
      </c>
      <c r="M12">
        <v>-622.50449000000003</v>
      </c>
      <c r="N12">
        <v>0.89593299999999998</v>
      </c>
      <c r="O12">
        <v>4.0670310000000001</v>
      </c>
      <c r="P12">
        <f t="shared" si="2"/>
        <v>1.4932216666666667E-5</v>
      </c>
      <c r="Q12" cm="1">
        <f t="array" ref="Q12">[1]!PropsSI("D","T",J12+273.15,"P",101325,"Water")</f>
        <v>985.72656118769942</v>
      </c>
      <c r="R12" cm="1">
        <f t="array" ref="R12">[1]!PropsSI("D","T",K12+273.15,"P",101325,"Water")</f>
        <v>989.98476625793194</v>
      </c>
      <c r="S12">
        <f t="shared" si="0"/>
        <v>987.85566372281573</v>
      </c>
      <c r="T12" cm="1">
        <f t="array" ref="T12">[1]!PropsSI("H","T",J12+273.15,"P",101325,"Water")</f>
        <v>230039.76160465248</v>
      </c>
      <c r="U12" cm="1">
        <f t="array" ref="U12">[1]!PropsSI("H","T",K12+273.15,"P",101325,"Water")</f>
        <v>190783.42641136641</v>
      </c>
      <c r="V12">
        <f t="shared" si="1"/>
        <v>579.06528578257371</v>
      </c>
    </row>
    <row r="13" spans="1:23" x14ac:dyDescent="0.2">
      <c r="A13">
        <v>44660.653972801098</v>
      </c>
      <c r="B13">
        <v>20.713559</v>
      </c>
      <c r="C13">
        <v>20.959835999999999</v>
      </c>
      <c r="D13">
        <v>20.291615</v>
      </c>
      <c r="E13">
        <v>20.345167</v>
      </c>
      <c r="F13">
        <v>27.523464000000001</v>
      </c>
      <c r="G13">
        <v>24.915095000000001</v>
      </c>
      <c r="H13">
        <v>24.247675999999998</v>
      </c>
      <c r="I13">
        <v>21.877144999999999</v>
      </c>
      <c r="J13">
        <v>54.923994</v>
      </c>
      <c r="K13">
        <v>45.536323000000003</v>
      </c>
      <c r="L13">
        <v>152.45425900000001</v>
      </c>
      <c r="M13">
        <v>-622.51428499999997</v>
      </c>
      <c r="N13">
        <v>0.89528200000000002</v>
      </c>
      <c r="O13">
        <v>3.8241589999999999</v>
      </c>
      <c r="P13">
        <f t="shared" si="2"/>
        <v>1.4921366666666667E-5</v>
      </c>
      <c r="Q13" cm="1">
        <f t="array" ref="Q13">[1]!PropsSI("D","T",J13+273.15,"P",101325,"Water")</f>
        <v>985.72987047267566</v>
      </c>
      <c r="R13" cm="1">
        <f t="array" ref="R13">[1]!PropsSI("D","T",K13+273.15,"P",101325,"Water")</f>
        <v>989.98744584800977</v>
      </c>
      <c r="S13">
        <f t="shared" si="0"/>
        <v>987.85865816034266</v>
      </c>
      <c r="T13" cm="1">
        <f t="array" ref="T13">[1]!PropsSI("H","T",J13+273.15,"P",101325,"Water")</f>
        <v>230011.14617854031</v>
      </c>
      <c r="U13" cm="1">
        <f t="array" ref="U13">[1]!PropsSI("H","T",K13+273.15,"P",101325,"Water")</f>
        <v>190756.89854476394</v>
      </c>
      <c r="V13">
        <f t="shared" si="1"/>
        <v>578.61551016684689</v>
      </c>
    </row>
    <row r="14" spans="1:23" x14ac:dyDescent="0.2">
      <c r="A14">
        <v>44660.654031250197</v>
      </c>
      <c r="B14">
        <v>20.465845000000002</v>
      </c>
      <c r="C14">
        <v>20.675025000000002</v>
      </c>
      <c r="D14">
        <v>20.277864000000001</v>
      </c>
      <c r="E14">
        <v>20.361191000000002</v>
      </c>
      <c r="F14">
        <v>27.377371</v>
      </c>
      <c r="G14">
        <v>24.746879</v>
      </c>
      <c r="H14">
        <v>24.018709000000001</v>
      </c>
      <c r="I14">
        <v>21.971291999999998</v>
      </c>
      <c r="J14">
        <v>54.924470999999997</v>
      </c>
      <c r="K14">
        <v>45.536323000000003</v>
      </c>
      <c r="L14">
        <v>141.191149</v>
      </c>
      <c r="M14">
        <v>-622.5</v>
      </c>
      <c r="N14">
        <v>0.89328600000000002</v>
      </c>
      <c r="O14">
        <v>4.0619480000000001</v>
      </c>
      <c r="P14">
        <f t="shared" si="2"/>
        <v>1.4888100000000001E-5</v>
      </c>
      <c r="Q14" cm="1">
        <f t="array" ref="Q14">[1]!PropsSI("D","T",J14+273.15,"P",101325,"Water")</f>
        <v>985.72963973674212</v>
      </c>
      <c r="R14" cm="1">
        <f t="array" ref="R14">[1]!PropsSI("D","T",K14+273.15,"P",101325,"Water")</f>
        <v>989.98744584800977</v>
      </c>
      <c r="S14">
        <f t="shared" si="0"/>
        <v>987.85854279237594</v>
      </c>
      <c r="T14" cm="1">
        <f t="array" ref="T14">[1]!PropsSI("H","T",J14+273.15,"P",101325,"Water")</f>
        <v>230013.14143574523</v>
      </c>
      <c r="U14" cm="1">
        <f t="array" ref="U14">[1]!PropsSI("H","T",K14+273.15,"P",101325,"Water")</f>
        <v>190756.89854476394</v>
      </c>
      <c r="V14">
        <f t="shared" si="1"/>
        <v>577.35478455976261</v>
      </c>
    </row>
    <row r="15" spans="1:23" x14ac:dyDescent="0.2">
      <c r="A15">
        <v>46122.654089699077</v>
      </c>
      <c r="B15">
        <v>20.444113999999999</v>
      </c>
      <c r="C15">
        <v>20.649301000000001</v>
      </c>
      <c r="D15">
        <v>20.263282</v>
      </c>
      <c r="E15">
        <v>20.245909999999999</v>
      </c>
      <c r="F15">
        <v>27.349668000000001</v>
      </c>
      <c r="G15">
        <v>24.716715000000001</v>
      </c>
      <c r="H15">
        <v>23.867038000000001</v>
      </c>
      <c r="I15">
        <v>22.036985999999999</v>
      </c>
      <c r="J15">
        <v>54.920335000000001</v>
      </c>
      <c r="K15">
        <v>45.522996999999997</v>
      </c>
      <c r="L15">
        <v>136.570156</v>
      </c>
      <c r="M15">
        <v>-622.47755199999995</v>
      </c>
      <c r="N15">
        <v>0.89683100000000004</v>
      </c>
      <c r="O15">
        <v>3.4432930000000002</v>
      </c>
      <c r="P15">
        <f t="shared" si="2"/>
        <v>1.4947183333333335E-5</v>
      </c>
      <c r="Q15" cm="1">
        <f t="array" ref="Q15">[1]!PropsSI("D","T",J15+273.15,"P",101325,"Water")</f>
        <v>985.73164036846777</v>
      </c>
      <c r="R15" cm="1">
        <f t="array" ref="R15">[1]!PropsSI("D","T",K15+273.15,"P",101325,"Water")</f>
        <v>989.99307182641735</v>
      </c>
      <c r="S15">
        <f t="shared" si="0"/>
        <v>987.86235609744256</v>
      </c>
      <c r="T15" cm="1">
        <f t="array" ref="T15">[1]!PropsSI("H","T",J15+273.15,"P",101325,"Water")</f>
        <v>229995.84084355354</v>
      </c>
      <c r="U15" cm="1">
        <f t="array" ref="U15">[1]!PropsSI("H","T",K15+273.15,"P",101325,"Water")</f>
        <v>190701.19255997145</v>
      </c>
      <c r="V15">
        <f t="shared" si="1"/>
        <v>580.21533580735422</v>
      </c>
    </row>
    <row r="16" spans="1:23" x14ac:dyDescent="0.2">
      <c r="A16">
        <v>46122.654147569447</v>
      </c>
      <c r="B16">
        <v>20.495721</v>
      </c>
      <c r="C16">
        <v>20.497364000000001</v>
      </c>
      <c r="D16">
        <v>20.104381</v>
      </c>
      <c r="E16">
        <v>20.123328000000001</v>
      </c>
      <c r="F16">
        <v>27.343809</v>
      </c>
      <c r="G16">
        <v>24.750910000000001</v>
      </c>
      <c r="H16">
        <v>23.993722000000002</v>
      </c>
      <c r="I16">
        <v>21.945509999999999</v>
      </c>
      <c r="J16">
        <v>54.925744000000002</v>
      </c>
      <c r="K16">
        <v>45.509670999999997</v>
      </c>
      <c r="L16">
        <v>142.56536600000001</v>
      </c>
      <c r="M16">
        <v>-622.50408100000004</v>
      </c>
      <c r="N16">
        <v>0.89577799999999996</v>
      </c>
      <c r="O16">
        <v>3.1968749999999999</v>
      </c>
      <c r="P16">
        <f t="shared" ref="P16:P52" si="3" xml:space="preserve"> N16*0.001/60</f>
        <v>1.4929633333333332E-5</v>
      </c>
      <c r="Q16" cm="1">
        <f t="array" ref="Q16">[1]!PropsSI("D","T",J16+273.15,"P",101325,"Water")</f>
        <v>985.72902395032463</v>
      </c>
      <c r="R16" cm="1">
        <f t="array" ref="R16">[1]!PropsSI("D","T",K16+273.15,"P",101325,"Water")</f>
        <v>989.99869657530837</v>
      </c>
      <c r="S16">
        <f t="shared" ref="S16:S52" si="4">(Q16+R16)/2</f>
        <v>987.8638602628165</v>
      </c>
      <c r="T16" cm="1">
        <f t="array" ref="T16">[1]!PropsSI("H","T",J16+273.15,"P",101325,"Water")</f>
        <v>230018.4663049395</v>
      </c>
      <c r="U16" cm="1">
        <f t="array" ref="U16">[1]!PropsSI("H","T",K16+273.15,"P",101325,"Water")</f>
        <v>190645.48661148796</v>
      </c>
      <c r="V16">
        <f t="shared" ref="V16:V52" si="5">S16*P16*(T16-U16)</f>
        <v>580.69023403794267</v>
      </c>
    </row>
    <row r="17" spans="1:22" x14ac:dyDescent="0.2">
      <c r="A17">
        <v>46122.654206018517</v>
      </c>
      <c r="B17">
        <v>20.337292999999999</v>
      </c>
      <c r="C17">
        <v>20.552679000000001</v>
      </c>
      <c r="D17">
        <v>20.103982999999999</v>
      </c>
      <c r="E17">
        <v>20.200590999999999</v>
      </c>
      <c r="F17">
        <v>27.256744999999999</v>
      </c>
      <c r="G17">
        <v>24.719172</v>
      </c>
      <c r="H17">
        <v>23.956208</v>
      </c>
      <c r="I17">
        <v>21.66722</v>
      </c>
      <c r="J17">
        <v>54.924630000000001</v>
      </c>
      <c r="K17">
        <v>45.507767000000001</v>
      </c>
      <c r="L17">
        <v>135.52735100000001</v>
      </c>
      <c r="M17">
        <v>-622.44286</v>
      </c>
      <c r="N17">
        <v>0.89728600000000003</v>
      </c>
      <c r="O17">
        <v>3.665578</v>
      </c>
      <c r="P17">
        <f t="shared" si="3"/>
        <v>1.4954766666666668E-5</v>
      </c>
      <c r="Q17" cm="1">
        <f t="array" ref="Q17">[1]!PropsSI("D","T",J17+273.15,"P",101325,"Water")</f>
        <v>985.72956282446148</v>
      </c>
      <c r="R17" cm="1">
        <f t="array" ref="R17">[1]!PropsSI("D","T",K17+273.15,"P",101325,"Water")</f>
        <v>989.99950013106866</v>
      </c>
      <c r="S17">
        <f t="shared" si="4"/>
        <v>987.86453147776501</v>
      </c>
      <c r="T17" cm="1">
        <f t="array" ref="T17">[1]!PropsSI("H","T",J17+273.15,"P",101325,"Water")</f>
        <v>230013.80652151478</v>
      </c>
      <c r="U17" cm="1">
        <f t="array" ref="U17">[1]!PropsSI("H","T",K17+273.15,"P",101325,"Water")</f>
        <v>190637.52742744956</v>
      </c>
      <c r="V17">
        <f t="shared" si="5"/>
        <v>581.71693685129367</v>
      </c>
    </row>
    <row r="18" spans="1:22" x14ac:dyDescent="0.2">
      <c r="A18">
        <v>46122.654263888886</v>
      </c>
      <c r="B18">
        <v>20.577933999999999</v>
      </c>
      <c r="C18">
        <v>20.686820000000001</v>
      </c>
      <c r="D18">
        <v>20.182192000000001</v>
      </c>
      <c r="E18">
        <v>20.250883000000002</v>
      </c>
      <c r="F18">
        <v>27.412407999999999</v>
      </c>
      <c r="G18">
        <v>24.820741000000002</v>
      </c>
      <c r="H18">
        <v>23.862114999999999</v>
      </c>
      <c r="I18">
        <v>21.901309999999999</v>
      </c>
      <c r="J18">
        <v>54.918424999999999</v>
      </c>
      <c r="K18">
        <v>45.503959999999999</v>
      </c>
      <c r="L18">
        <v>140.72137699999999</v>
      </c>
      <c r="M18">
        <v>-622.49632699999995</v>
      </c>
      <c r="N18">
        <v>0.89522500000000005</v>
      </c>
      <c r="O18">
        <v>3.7946390000000001</v>
      </c>
      <c r="P18">
        <f t="shared" si="3"/>
        <v>1.4920416666666667E-5</v>
      </c>
      <c r="Q18" cm="1">
        <f t="array" ref="Q18">[1]!PropsSI("D","T",J18+273.15,"P",101325,"Water")</f>
        <v>985.73256422201575</v>
      </c>
      <c r="R18" cm="1">
        <f t="array" ref="R18">[1]!PropsSI("D","T",K18+273.15,"P",101325,"Water")</f>
        <v>990.0011067452175</v>
      </c>
      <c r="S18">
        <f t="shared" si="4"/>
        <v>987.86683548361657</v>
      </c>
      <c r="T18" cm="1">
        <f t="array" ref="T18">[1]!PropsSI("H","T",J18+273.15,"P",101325,"Water")</f>
        <v>229987.85145224247</v>
      </c>
      <c r="U18" cm="1">
        <f t="array" ref="U18">[1]!PropsSI("H","T",K18+273.15,"P",101325,"Water")</f>
        <v>190621.61324195264</v>
      </c>
      <c r="V18">
        <f t="shared" si="5"/>
        <v>580.23413297596221</v>
      </c>
    </row>
    <row r="19" spans="1:22" x14ac:dyDescent="0.2">
      <c r="A19">
        <v>46122.654322337963</v>
      </c>
      <c r="B19">
        <v>20.594028999999999</v>
      </c>
      <c r="C19">
        <v>20.592991999999999</v>
      </c>
      <c r="D19">
        <v>20.200009000000001</v>
      </c>
      <c r="E19">
        <v>20.273112000000001</v>
      </c>
      <c r="F19">
        <v>27.411664999999999</v>
      </c>
      <c r="G19">
        <v>24.790254999999998</v>
      </c>
      <c r="H19">
        <v>24.049043999999999</v>
      </c>
      <c r="I19">
        <v>21.877224999999999</v>
      </c>
      <c r="J19">
        <v>54.918266000000003</v>
      </c>
      <c r="K19">
        <v>45.504277000000002</v>
      </c>
      <c r="L19">
        <v>143.34165400000001</v>
      </c>
      <c r="M19">
        <v>-622.48326599999996</v>
      </c>
      <c r="N19">
        <v>0.89445399999999997</v>
      </c>
      <c r="O19">
        <v>3.2935180000000002</v>
      </c>
      <c r="P19">
        <f t="shared" si="3"/>
        <v>1.4907566666666668E-5</v>
      </c>
      <c r="Q19" cm="1">
        <f t="array" ref="Q19">[1]!PropsSI("D","T",J19+273.15,"P",101325,"Water")</f>
        <v>985.73264112816912</v>
      </c>
      <c r="R19" cm="1">
        <f t="array" ref="R19">[1]!PropsSI("D","T",K19+273.15,"P",101325,"Water")</f>
        <v>990.00097297004368</v>
      </c>
      <c r="S19">
        <f t="shared" si="4"/>
        <v>987.86680704910646</v>
      </c>
      <c r="T19" cm="1">
        <f t="array" ref="T19">[1]!PropsSI("H","T",J19+273.15,"P",101325,"Water")</f>
        <v>229987.18636687589</v>
      </c>
      <c r="U19" cm="1">
        <f t="array" ref="U19">[1]!PropsSI("H","T",K19+273.15,"P",101325,"Water")</f>
        <v>190622.93837890509</v>
      </c>
      <c r="V19">
        <f t="shared" si="5"/>
        <v>579.70508837636532</v>
      </c>
    </row>
    <row r="20" spans="1:22" x14ac:dyDescent="0.2">
      <c r="A20">
        <v>46122.654380208332</v>
      </c>
      <c r="B20">
        <v>20.587101000000001</v>
      </c>
      <c r="C20">
        <v>20.611886999999999</v>
      </c>
      <c r="D20">
        <v>20.131160999999999</v>
      </c>
      <c r="E20">
        <v>20.296637</v>
      </c>
      <c r="F20">
        <v>27.514693999999999</v>
      </c>
      <c r="G20">
        <v>24.684346000000001</v>
      </c>
      <c r="H20">
        <v>23.994498</v>
      </c>
      <c r="I20">
        <v>21.841159999999999</v>
      </c>
      <c r="J20">
        <v>54.918903</v>
      </c>
      <c r="K20">
        <v>45.500311000000004</v>
      </c>
      <c r="L20">
        <v>145.08932200000001</v>
      </c>
      <c r="M20">
        <v>-622.53958999999998</v>
      </c>
      <c r="N20">
        <v>0.89427000000000001</v>
      </c>
      <c r="O20">
        <v>3.602751</v>
      </c>
      <c r="P20">
        <f t="shared" si="3"/>
        <v>1.4904500000000001E-5</v>
      </c>
      <c r="Q20" cm="1">
        <f t="array" ref="Q20">[1]!PropsSI("D","T",J20+273.15,"P",101325,"Water")</f>
        <v>985.73233301889491</v>
      </c>
      <c r="R20" cm="1">
        <f t="array" ref="R20">[1]!PropsSI("D","T",K20+273.15,"P",101325,"Water")</f>
        <v>990.00264658669926</v>
      </c>
      <c r="S20">
        <f t="shared" si="4"/>
        <v>987.86748980279708</v>
      </c>
      <c r="T20" cm="1">
        <f t="array" ref="T20">[1]!PropsSI("H","T",J20+273.15,"P",101325,"Water")</f>
        <v>229989.8508914634</v>
      </c>
      <c r="U20" cm="1">
        <f t="array" ref="U20">[1]!PropsSI("H","T",K20+273.15,"P",101325,"Water")</f>
        <v>190606.35953755377</v>
      </c>
      <c r="V20">
        <f t="shared" si="5"/>
        <v>579.86956959585291</v>
      </c>
    </row>
    <row r="21" spans="1:22" x14ac:dyDescent="0.2">
      <c r="A21">
        <v>46122.65443865741</v>
      </c>
      <c r="B21">
        <v>20.550412000000001</v>
      </c>
      <c r="C21">
        <v>20.41301</v>
      </c>
      <c r="D21">
        <v>20.119384</v>
      </c>
      <c r="E21">
        <v>20.218589000000001</v>
      </c>
      <c r="F21">
        <v>27.411819000000001</v>
      </c>
      <c r="G21">
        <v>24.663931999999999</v>
      </c>
      <c r="H21">
        <v>24.069717000000001</v>
      </c>
      <c r="I21">
        <v>21.816243</v>
      </c>
      <c r="J21">
        <v>54.922085000000003</v>
      </c>
      <c r="K21">
        <v>45.497613999999999</v>
      </c>
      <c r="L21">
        <v>143.457975</v>
      </c>
      <c r="M21">
        <v>-622.50204099999996</v>
      </c>
      <c r="N21">
        <v>0.88979900000000001</v>
      </c>
      <c r="O21">
        <v>3.9797410000000002</v>
      </c>
      <c r="P21">
        <f t="shared" si="3"/>
        <v>1.4829983333333334E-5</v>
      </c>
      <c r="Q21" cm="1">
        <f t="array" ref="Q21">[1]!PropsSI("D","T",J21+273.15,"P",101325,"Water")</f>
        <v>985.73079388591452</v>
      </c>
      <c r="R21" cm="1">
        <f t="array" ref="R21">[1]!PropsSI("D","T",K21+273.15,"P",101325,"Water")</f>
        <v>990.00378463443826</v>
      </c>
      <c r="S21">
        <f t="shared" si="4"/>
        <v>987.86728926017645</v>
      </c>
      <c r="T21" cm="1">
        <f t="array" ref="T21">[1]!PropsSI("H","T",J21+273.15,"P",101325,"Water")</f>
        <v>230003.16096766733</v>
      </c>
      <c r="U21" cm="1">
        <f t="array" ref="U21">[1]!PropsSI("H","T",K21+273.15,"P",101325,"Water")</f>
        <v>190595.08542566714</v>
      </c>
      <c r="V21">
        <f t="shared" si="5"/>
        <v>577.33049128775212</v>
      </c>
    </row>
    <row r="22" spans="1:22" x14ac:dyDescent="0.2">
      <c r="A22">
        <v>46122.65449710648</v>
      </c>
      <c r="B22">
        <v>20.688915999999999</v>
      </c>
      <c r="C22">
        <v>20.712613999999999</v>
      </c>
      <c r="D22">
        <v>20.154136000000001</v>
      </c>
      <c r="E22">
        <v>20.192330999999999</v>
      </c>
      <c r="F22">
        <v>27.568788000000001</v>
      </c>
      <c r="G22">
        <v>24.772265999999998</v>
      </c>
      <c r="H22">
        <v>23.667287000000002</v>
      </c>
      <c r="I22">
        <v>21.605127</v>
      </c>
      <c r="J22">
        <v>54.918903</v>
      </c>
      <c r="K22">
        <v>45.488729999999997</v>
      </c>
      <c r="L22">
        <v>144.56812300000001</v>
      </c>
      <c r="M22">
        <v>-622.48367399999995</v>
      </c>
      <c r="N22">
        <v>0.88970899999999997</v>
      </c>
      <c r="O22">
        <v>3.660825</v>
      </c>
      <c r="P22">
        <f t="shared" si="3"/>
        <v>1.4828483333333334E-5</v>
      </c>
      <c r="Q22" cm="1">
        <f t="array" ref="Q22">[1]!PropsSI("D","T",J22+273.15,"P",101325,"Water")</f>
        <v>985.73233301889491</v>
      </c>
      <c r="R22" cm="1">
        <f t="array" ref="R22">[1]!PropsSI("D","T",K22+273.15,"P",101325,"Water")</f>
        <v>990.0075330419603</v>
      </c>
      <c r="S22">
        <f t="shared" si="4"/>
        <v>987.86993303042755</v>
      </c>
      <c r="T22" cm="1">
        <f t="array" ref="T22">[1]!PropsSI("H","T",J22+273.15,"P",101325,"Water")</f>
        <v>229989.8508914634</v>
      </c>
      <c r="U22" cm="1">
        <f t="array" ref="U22">[1]!PropsSI("H","T",K22+273.15,"P",101325,"Water")</f>
        <v>190557.948168826</v>
      </c>
      <c r="V22">
        <f t="shared" si="5"/>
        <v>577.62267642762242</v>
      </c>
    </row>
    <row r="23" spans="1:22" x14ac:dyDescent="0.2">
      <c r="A23">
        <v>46122.654555555557</v>
      </c>
      <c r="B23">
        <v>20.780633999999999</v>
      </c>
      <c r="C23">
        <v>20.823753</v>
      </c>
      <c r="D23">
        <v>20.160140999999999</v>
      </c>
      <c r="E23">
        <v>20.214127000000001</v>
      </c>
      <c r="F23">
        <v>27.552712</v>
      </c>
      <c r="G23">
        <v>24.842248999999999</v>
      </c>
      <c r="H23">
        <v>23.993079000000002</v>
      </c>
      <c r="I23">
        <v>22.018350000000002</v>
      </c>
      <c r="J23">
        <v>54.921289000000002</v>
      </c>
      <c r="K23">
        <v>45.487777999999999</v>
      </c>
      <c r="L23">
        <v>132.12670499999999</v>
      </c>
      <c r="M23">
        <v>-622.46489999999994</v>
      </c>
      <c r="N23">
        <v>0.89559699999999998</v>
      </c>
      <c r="O23">
        <v>3.3219970000000001</v>
      </c>
      <c r="P23">
        <f t="shared" si="3"/>
        <v>1.4926616666666667E-5</v>
      </c>
      <c r="Q23" cm="1">
        <f t="array" ref="Q23">[1]!PropsSI("D","T",J23+273.15,"P",101325,"Water")</f>
        <v>985.73117891691334</v>
      </c>
      <c r="R23" cm="1">
        <f t="array" ref="R23">[1]!PropsSI("D","T",K23+273.15,"P",101325,"Water")</f>
        <v>990.0079346849119</v>
      </c>
      <c r="S23">
        <f t="shared" si="4"/>
        <v>987.86955680091262</v>
      </c>
      <c r="T23" cm="1">
        <f t="array" ref="T23">[1]!PropsSI("H","T",J23+273.15,"P",101325,"Water")</f>
        <v>229999.83135679414</v>
      </c>
      <c r="U23" cm="1">
        <f t="array" ref="U23">[1]!PropsSI("H","T",K23+273.15,"P",101325,"Water")</f>
        <v>190553.96858079909</v>
      </c>
      <c r="V23">
        <f t="shared" si="5"/>
        <v>581.65094939219762</v>
      </c>
    </row>
    <row r="24" spans="1:22" x14ac:dyDescent="0.2">
      <c r="A24">
        <v>46122.654614004627</v>
      </c>
      <c r="B24">
        <v>20.681327</v>
      </c>
      <c r="C24">
        <v>20.536807</v>
      </c>
      <c r="D24">
        <v>20.174233000000001</v>
      </c>
      <c r="E24">
        <v>20.2136</v>
      </c>
      <c r="F24">
        <v>27.504504000000001</v>
      </c>
      <c r="G24">
        <v>24.662386999999999</v>
      </c>
      <c r="H24">
        <v>23.784109000000001</v>
      </c>
      <c r="I24">
        <v>21.845811999999999</v>
      </c>
      <c r="J24">
        <v>54.921767000000003</v>
      </c>
      <c r="K24">
        <v>45.490634</v>
      </c>
      <c r="L24">
        <v>150.46007299999999</v>
      </c>
      <c r="M24">
        <v>-622.52244800000005</v>
      </c>
      <c r="N24">
        <v>0.89541700000000002</v>
      </c>
      <c r="O24">
        <v>4.0516800000000002</v>
      </c>
      <c r="P24">
        <f t="shared" si="3"/>
        <v>1.4923616666666667E-5</v>
      </c>
      <c r="Q24" cm="1">
        <f t="array" ref="Q24">[1]!PropsSI("D","T",J24+273.15,"P",101325,"Water")</f>
        <v>985.73094770530281</v>
      </c>
      <c r="R24" cm="1">
        <f t="array" ref="R24">[1]!PropsSI("D","T",K24+273.15,"P",101325,"Water")</f>
        <v>990.00672973724977</v>
      </c>
      <c r="S24">
        <f t="shared" si="4"/>
        <v>987.86883872127623</v>
      </c>
      <c r="T24" cm="1">
        <f t="array" ref="T24">[1]!PropsSI("H","T",J24+273.15,"P",101325,"Water")</f>
        <v>230001.83079644514</v>
      </c>
      <c r="U24" cm="1">
        <f t="array" ref="U24">[1]!PropsSI("H","T",K24+273.15,"P",101325,"Water")</f>
        <v>190565.90734545822</v>
      </c>
      <c r="V24">
        <f t="shared" si="5"/>
        <v>581.38709332279041</v>
      </c>
    </row>
    <row r="25" spans="1:22" x14ac:dyDescent="0.2">
      <c r="A25">
        <v>46122.654671875003</v>
      </c>
      <c r="B25">
        <v>20.529418</v>
      </c>
      <c r="C25">
        <v>20.681885999999999</v>
      </c>
      <c r="D25">
        <v>20.188631000000001</v>
      </c>
      <c r="E25">
        <v>20.248066999999999</v>
      </c>
      <c r="F25">
        <v>27.299315</v>
      </c>
      <c r="G25">
        <v>24.623282</v>
      </c>
      <c r="H25">
        <v>23.916702000000001</v>
      </c>
      <c r="I25">
        <v>21.690932</v>
      </c>
      <c r="J25">
        <v>54.927812000000003</v>
      </c>
      <c r="K25">
        <v>45.492854999999999</v>
      </c>
      <c r="L25">
        <v>143.52246099999999</v>
      </c>
      <c r="M25">
        <v>-622.50857099999996</v>
      </c>
      <c r="N25">
        <v>0.89184799999999997</v>
      </c>
      <c r="O25">
        <v>3.265066</v>
      </c>
      <c r="P25">
        <f t="shared" si="3"/>
        <v>1.4864133333333334E-5</v>
      </c>
      <c r="Q25" cm="1">
        <f t="array" ref="Q25">[1]!PropsSI("D","T",J25+273.15,"P",101325,"Water")</f>
        <v>985.72802357822695</v>
      </c>
      <c r="R25" cm="1">
        <f t="array" ref="R25">[1]!PropsSI("D","T",K25+273.15,"P",101325,"Water")</f>
        <v>990.00579265734234</v>
      </c>
      <c r="S25">
        <f t="shared" si="4"/>
        <v>987.86690811778465</v>
      </c>
      <c r="T25" cm="1">
        <f t="array" ref="T25">[1]!PropsSI("H","T",J25+273.15,"P",101325,"Water")</f>
        <v>230027.11660433954</v>
      </c>
      <c r="U25" cm="1">
        <f t="array" ref="U25">[1]!PropsSI("H","T",K25+273.15,"P",101325,"Water")</f>
        <v>190575.19165902233</v>
      </c>
      <c r="V25">
        <f t="shared" si="5"/>
        <v>579.30360100721975</v>
      </c>
    </row>
    <row r="26" spans="1:22" x14ac:dyDescent="0.2">
      <c r="A26">
        <v>46122.654729745373</v>
      </c>
      <c r="B26">
        <v>20.547276</v>
      </c>
      <c r="C26">
        <v>20.708181</v>
      </c>
      <c r="D26">
        <v>20.112559999999998</v>
      </c>
      <c r="E26">
        <v>20.137397</v>
      </c>
      <c r="F26">
        <v>27.306488999999999</v>
      </c>
      <c r="G26">
        <v>24.796037999999999</v>
      </c>
      <c r="H26">
        <v>23.792484000000002</v>
      </c>
      <c r="I26">
        <v>21.705514999999998</v>
      </c>
      <c r="J26">
        <v>54.924312</v>
      </c>
      <c r="K26">
        <v>45.489046999999999</v>
      </c>
      <c r="L26">
        <v>138.215788</v>
      </c>
      <c r="M26">
        <v>-622.50734699999998</v>
      </c>
      <c r="N26">
        <v>0.89512999999999998</v>
      </c>
      <c r="O26">
        <v>3.4259719999999998</v>
      </c>
      <c r="P26">
        <f t="shared" si="3"/>
        <v>1.4918833333333332E-5</v>
      </c>
      <c r="Q26" cm="1">
        <f t="array" ref="Q26">[1]!PropsSI("D","T",J26+273.15,"P",101325,"Water")</f>
        <v>985.72971664888018</v>
      </c>
      <c r="R26" cm="1">
        <f t="array" ref="R26">[1]!PropsSI("D","T",K26+273.15,"P",101325,"Water")</f>
        <v>990.00739930023099</v>
      </c>
      <c r="S26">
        <f t="shared" si="4"/>
        <v>987.86855797455564</v>
      </c>
      <c r="T26" cm="1">
        <f t="array" ref="T26">[1]!PropsSI("H","T",J26+273.15,"P",101325,"Water")</f>
        <v>230012.4763500134</v>
      </c>
      <c r="U26" cm="1">
        <f t="array" ref="U26">[1]!PropsSI("H","T",K26+273.15,"P",101325,"Water")</f>
        <v>190559.27330480149</v>
      </c>
      <c r="V26">
        <f t="shared" si="5"/>
        <v>581.4552453503494</v>
      </c>
    </row>
    <row r="27" spans="1:22" x14ac:dyDescent="0.2">
      <c r="A27">
        <v>46122.654788194443</v>
      </c>
      <c r="B27">
        <v>20.629987</v>
      </c>
      <c r="C27">
        <v>20.761641000000001</v>
      </c>
      <c r="D27">
        <v>20.198526999999999</v>
      </c>
      <c r="E27">
        <v>20.283131000000001</v>
      </c>
      <c r="F27">
        <v>27.445278999999999</v>
      </c>
      <c r="G27">
        <v>24.703220000000002</v>
      </c>
      <c r="H27">
        <v>23.904395999999998</v>
      </c>
      <c r="I27">
        <v>21.663243000000001</v>
      </c>
      <c r="J27">
        <v>54.925744000000002</v>
      </c>
      <c r="K27">
        <v>45.484763999999998</v>
      </c>
      <c r="L27">
        <v>138.75535300000001</v>
      </c>
      <c r="M27">
        <v>-622.51306099999999</v>
      </c>
      <c r="N27">
        <v>0.89451199999999997</v>
      </c>
      <c r="O27">
        <v>3.4354779999999998</v>
      </c>
      <c r="P27">
        <f t="shared" si="3"/>
        <v>1.4908533333333333E-5</v>
      </c>
      <c r="Q27" cm="1">
        <f t="array" ref="Q27">[1]!PropsSI("D","T",J27+273.15,"P",101325,"Water")</f>
        <v>985.72902395032463</v>
      </c>
      <c r="R27" cm="1">
        <f t="array" ref="R27">[1]!PropsSI("D","T",K27+273.15,"P",101325,"Water")</f>
        <v>990.00920623153968</v>
      </c>
      <c r="S27">
        <f t="shared" si="4"/>
        <v>987.86911509093215</v>
      </c>
      <c r="T27" cm="1">
        <f t="array" ref="T27">[1]!PropsSI("H","T",J27+273.15,"P",101325,"Water")</f>
        <v>230018.4663049395</v>
      </c>
      <c r="U27" cm="1">
        <f t="array" ref="U27">[1]!PropsSI("H","T",K27+273.15,"P",101325,"Water")</f>
        <v>190541.36934012457</v>
      </c>
      <c r="V27">
        <f t="shared" si="5"/>
        <v>581.4060368717046</v>
      </c>
    </row>
    <row r="28" spans="1:22" x14ac:dyDescent="0.2">
      <c r="A28">
        <v>46122.65484664352</v>
      </c>
      <c r="B28">
        <v>20.520873999999999</v>
      </c>
      <c r="C28">
        <v>20.900853999999999</v>
      </c>
      <c r="D28">
        <v>20.098217000000002</v>
      </c>
      <c r="E28">
        <v>20.255305</v>
      </c>
      <c r="F28">
        <v>27.454649</v>
      </c>
      <c r="G28">
        <v>24.738657</v>
      </c>
      <c r="H28">
        <v>23.762785999999998</v>
      </c>
      <c r="I28">
        <v>21.653694999999999</v>
      </c>
      <c r="J28">
        <v>54.928289999999997</v>
      </c>
      <c r="K28">
        <v>45.489998999999997</v>
      </c>
      <c r="L28">
        <v>150.647819</v>
      </c>
      <c r="M28">
        <v>-622.45877800000005</v>
      </c>
      <c r="N28">
        <v>0.88907400000000003</v>
      </c>
      <c r="O28">
        <v>3.536251</v>
      </c>
      <c r="P28">
        <f t="shared" si="3"/>
        <v>1.4817900000000001E-5</v>
      </c>
      <c r="Q28" cm="1">
        <f t="array" ref="Q28">[1]!PropsSI("D","T",J28+273.15,"P",101325,"Water")</f>
        <v>985.72779234724737</v>
      </c>
      <c r="R28" cm="1">
        <f t="array" ref="R28">[1]!PropsSI("D","T",K28+273.15,"P",101325,"Water")</f>
        <v>990.00699764891738</v>
      </c>
      <c r="S28">
        <f t="shared" si="4"/>
        <v>987.86739499808232</v>
      </c>
      <c r="T28" cm="1">
        <f t="array" ref="T28">[1]!PropsSI("H","T",J28+273.15,"P",101325,"Water")</f>
        <v>230029.11604511234</v>
      </c>
      <c r="U28" cm="1">
        <f t="array" ref="U28">[1]!PropsSI("H","T",K28+273.15,"P",101325,"Water")</f>
        <v>190563.25289309959</v>
      </c>
      <c r="V28">
        <f t="shared" si="5"/>
        <v>577.70605147095637</v>
      </c>
    </row>
    <row r="29" spans="1:22" x14ac:dyDescent="0.2">
      <c r="A29">
        <v>46122.654904513889</v>
      </c>
      <c r="B29">
        <v>20.592402</v>
      </c>
      <c r="C29">
        <v>20.665886</v>
      </c>
      <c r="D29">
        <v>20.083722000000002</v>
      </c>
      <c r="E29">
        <v>20.334918999999999</v>
      </c>
      <c r="F29">
        <v>27.372699999999998</v>
      </c>
      <c r="G29">
        <v>24.644694000000001</v>
      </c>
      <c r="H29">
        <v>23.997644000000001</v>
      </c>
      <c r="I29">
        <v>21.829656</v>
      </c>
      <c r="J29">
        <v>54.928289999999997</v>
      </c>
      <c r="K29">
        <v>45.499518000000002</v>
      </c>
      <c r="L29">
        <v>137.55092400000001</v>
      </c>
      <c r="M29">
        <v>-622.48040900000001</v>
      </c>
      <c r="N29">
        <v>0.88970899999999997</v>
      </c>
      <c r="O29">
        <v>3.4845809999999999</v>
      </c>
      <c r="P29">
        <f t="shared" si="3"/>
        <v>1.4828483333333334E-5</v>
      </c>
      <c r="Q29" cm="1">
        <f t="array" ref="Q29">[1]!PropsSI("D","T",J29+273.15,"P",101325,"Water")</f>
        <v>985.72779234724737</v>
      </c>
      <c r="R29" cm="1">
        <f t="array" ref="R29">[1]!PropsSI("D","T",K29+273.15,"P",101325,"Water")</f>
        <v>990.00298121255651</v>
      </c>
      <c r="S29">
        <f t="shared" si="4"/>
        <v>987.86538677990188</v>
      </c>
      <c r="T29" cm="1">
        <f t="array" ref="T29">[1]!PropsSI("H","T",J29+273.15,"P",101325,"Water")</f>
        <v>230029.11604511234</v>
      </c>
      <c r="U29" cm="1">
        <f t="array" ref="U29">[1]!PropsSI("H","T",K29+273.15,"P",101325,"Water")</f>
        <v>190603.04460569669</v>
      </c>
      <c r="V29">
        <f t="shared" si="5"/>
        <v>577.53459834817556</v>
      </c>
    </row>
    <row r="30" spans="1:22" x14ac:dyDescent="0.2">
      <c r="A30">
        <v>46122.654962962966</v>
      </c>
      <c r="B30">
        <v>20.418845999999998</v>
      </c>
      <c r="C30">
        <v>20.657209000000002</v>
      </c>
      <c r="D30">
        <v>20.147701999999999</v>
      </c>
      <c r="E30">
        <v>20.323574000000001</v>
      </c>
      <c r="F30">
        <v>27.394393000000001</v>
      </c>
      <c r="G30">
        <v>24.773247000000001</v>
      </c>
      <c r="H30">
        <v>23.977495999999999</v>
      </c>
      <c r="I30">
        <v>21.814337999999999</v>
      </c>
      <c r="J30">
        <v>54.927812000000003</v>
      </c>
      <c r="K30">
        <v>45.502372999999999</v>
      </c>
      <c r="L30">
        <v>151.564099</v>
      </c>
      <c r="M30">
        <v>-622.48816399999998</v>
      </c>
      <c r="N30">
        <v>0.89435600000000004</v>
      </c>
      <c r="O30">
        <v>3.4878969999999998</v>
      </c>
      <c r="P30">
        <f t="shared" si="3"/>
        <v>1.4905933333333334E-5</v>
      </c>
      <c r="Q30" cm="1">
        <f t="array" ref="Q30">[1]!PropsSI("D","T",J30+273.15,"P",101325,"Water")</f>
        <v>985.72802357822695</v>
      </c>
      <c r="R30" cm="1">
        <f t="array" ref="R30">[1]!PropsSI("D","T",K30+273.15,"P",101325,"Water")</f>
        <v>990.00177645464578</v>
      </c>
      <c r="S30">
        <f t="shared" si="4"/>
        <v>987.86490001643642</v>
      </c>
      <c r="T30" cm="1">
        <f t="array" ref="T30">[1]!PropsSI("H","T",J30+273.15,"P",101325,"Water")</f>
        <v>230027.11660433954</v>
      </c>
      <c r="U30" cm="1">
        <f t="array" ref="U30">[1]!PropsSI("H","T",K30+273.15,"P",101325,"Water")</f>
        <v>190614.9791969707</v>
      </c>
      <c r="V30">
        <f t="shared" si="5"/>
        <v>580.34562858446145</v>
      </c>
    </row>
    <row r="31" spans="1:22" x14ac:dyDescent="0.2">
      <c r="A31">
        <v>46122.655020833336</v>
      </c>
      <c r="B31">
        <v>20.589676000000001</v>
      </c>
      <c r="C31">
        <v>20.795940000000002</v>
      </c>
      <c r="D31">
        <v>20.268808</v>
      </c>
      <c r="E31">
        <v>20.395184</v>
      </c>
      <c r="F31">
        <v>27.392040000000001</v>
      </c>
      <c r="G31">
        <v>24.735892</v>
      </c>
      <c r="H31">
        <v>23.877369999999999</v>
      </c>
      <c r="I31">
        <v>21.656292000000001</v>
      </c>
      <c r="J31">
        <v>54.924470999999997</v>
      </c>
      <c r="K31">
        <v>45.496504000000002</v>
      </c>
      <c r="L31">
        <v>151.078001</v>
      </c>
      <c r="M31">
        <v>-622.49469399999998</v>
      </c>
      <c r="N31">
        <v>0.896208</v>
      </c>
      <c r="O31">
        <v>3.528842</v>
      </c>
      <c r="P31">
        <f t="shared" si="3"/>
        <v>1.4936800000000001E-5</v>
      </c>
      <c r="Q31" cm="1">
        <f t="array" ref="Q31">[1]!PropsSI("D","T",J31+273.15,"P",101325,"Water")</f>
        <v>985.72963973674212</v>
      </c>
      <c r="R31" cm="1">
        <f t="array" ref="R31">[1]!PropsSI("D","T",K31+273.15,"P",101325,"Water")</f>
        <v>990.00425300430823</v>
      </c>
      <c r="S31">
        <f t="shared" si="4"/>
        <v>987.86694637052517</v>
      </c>
      <c r="T31" cm="1">
        <f t="array" ref="T31">[1]!PropsSI("H","T",J31+273.15,"P",101325,"Water")</f>
        <v>230013.14143574523</v>
      </c>
      <c r="U31" cm="1">
        <f t="array" ref="U31">[1]!PropsSI("H","T",K31+273.15,"P",101325,"Water")</f>
        <v>190590.44535780998</v>
      </c>
      <c r="V31">
        <f t="shared" si="5"/>
        <v>581.70439116866044</v>
      </c>
    </row>
    <row r="32" spans="1:22" x14ac:dyDescent="0.2">
      <c r="A32">
        <v>46122.655079282405</v>
      </c>
      <c r="B32">
        <v>20.633728000000001</v>
      </c>
      <c r="C32">
        <v>20.688064000000001</v>
      </c>
      <c r="D32">
        <v>20.221271000000002</v>
      </c>
      <c r="E32">
        <v>20.389945999999998</v>
      </c>
      <c r="F32">
        <v>27.543852000000001</v>
      </c>
      <c r="G32">
        <v>24.732047000000001</v>
      </c>
      <c r="H32">
        <v>24.070853</v>
      </c>
      <c r="I32">
        <v>22.156866000000001</v>
      </c>
      <c r="J32">
        <v>54.921447999999998</v>
      </c>
      <c r="K32">
        <v>45.506180999999998</v>
      </c>
      <c r="L32">
        <v>140.50955099999999</v>
      </c>
      <c r="M32">
        <v>-622.48653100000001</v>
      </c>
      <c r="N32">
        <v>0.88816799999999996</v>
      </c>
      <c r="O32">
        <v>2.781126</v>
      </c>
      <c r="P32">
        <f t="shared" si="3"/>
        <v>1.4802799999999998E-5</v>
      </c>
      <c r="Q32" cm="1">
        <f t="array" ref="Q32">[1]!PropsSI("D","T",J32+273.15,"P",101325,"Water")</f>
        <v>985.73110200776887</v>
      </c>
      <c r="R32" cm="1">
        <f t="array" ref="R32">[1]!PropsSI("D","T",K32+273.15,"P",101325,"Water")</f>
        <v>990.0001694603169</v>
      </c>
      <c r="S32">
        <f t="shared" si="4"/>
        <v>987.86563573404283</v>
      </c>
      <c r="T32" cm="1">
        <f t="array" ref="T32">[1]!PropsSI("H","T",J32+273.15,"P",101325,"Water")</f>
        <v>230000.49644238144</v>
      </c>
      <c r="U32" cm="1">
        <f t="array" ref="U32">[1]!PropsSI("H","T",K32+273.15,"P",101325,"Water")</f>
        <v>190630.89756156859</v>
      </c>
      <c r="V32">
        <f t="shared" si="5"/>
        <v>575.70862988614442</v>
      </c>
    </row>
    <row r="33" spans="1:22" x14ac:dyDescent="0.2">
      <c r="A33">
        <v>46122.655137731483</v>
      </c>
      <c r="B33">
        <v>20.479824000000001</v>
      </c>
      <c r="C33">
        <v>20.554490000000001</v>
      </c>
      <c r="D33">
        <v>20.204218000000001</v>
      </c>
      <c r="E33">
        <v>20.311046999999999</v>
      </c>
      <c r="F33">
        <v>27.466259000000001</v>
      </c>
      <c r="G33">
        <v>24.709973999999999</v>
      </c>
      <c r="H33">
        <v>24.049997000000001</v>
      </c>
      <c r="I33">
        <v>21.809929</v>
      </c>
      <c r="J33">
        <v>54.924470999999997</v>
      </c>
      <c r="K33">
        <v>45.505388000000004</v>
      </c>
      <c r="L33">
        <v>137.78805500000001</v>
      </c>
      <c r="M33">
        <v>-622.52979400000004</v>
      </c>
      <c r="N33">
        <v>0.89489700000000005</v>
      </c>
      <c r="O33">
        <v>3.8977879999999998</v>
      </c>
      <c r="P33">
        <f t="shared" si="3"/>
        <v>1.4914950000000002E-5</v>
      </c>
      <c r="Q33" cm="1">
        <f t="array" ref="Q33">[1]!PropsSI("D","T",J33+273.15,"P",101325,"Water")</f>
        <v>985.72963973674212</v>
      </c>
      <c r="R33" cm="1">
        <f t="array" ref="R33">[1]!PropsSI("D","T",K33+273.15,"P",101325,"Water")</f>
        <v>990.0005041183947</v>
      </c>
      <c r="S33">
        <f t="shared" si="4"/>
        <v>987.86507192756835</v>
      </c>
      <c r="T33" cm="1">
        <f t="array" ref="T33">[1]!PropsSI("H","T",J33+273.15,"P",101325,"Water")</f>
        <v>230013.14143574523</v>
      </c>
      <c r="U33" cm="1">
        <f t="array" ref="U33">[1]!PropsSI("H","T",K33+273.15,"P",101325,"Water")</f>
        <v>190627.58262876217</v>
      </c>
      <c r="V33">
        <f t="shared" si="5"/>
        <v>580.30517535550246</v>
      </c>
    </row>
    <row r="34" spans="1:22" x14ac:dyDescent="0.2">
      <c r="A34">
        <v>46122.655196180553</v>
      </c>
      <c r="B34">
        <v>20.512297</v>
      </c>
      <c r="C34">
        <v>20.644022</v>
      </c>
      <c r="D34">
        <v>20.215294</v>
      </c>
      <c r="E34">
        <v>20.373234</v>
      </c>
      <c r="F34">
        <v>27.525798999999999</v>
      </c>
      <c r="G34">
        <v>24.880593000000001</v>
      </c>
      <c r="H34">
        <v>24.109639999999999</v>
      </c>
      <c r="I34">
        <v>22.003506999999999</v>
      </c>
      <c r="J34">
        <v>54.917470999999999</v>
      </c>
      <c r="K34">
        <v>45.499518000000002</v>
      </c>
      <c r="L34">
        <v>147.89652799999999</v>
      </c>
      <c r="M34">
        <v>-622.50816299999997</v>
      </c>
      <c r="N34">
        <v>0.89489700000000005</v>
      </c>
      <c r="O34">
        <v>3.525881</v>
      </c>
      <c r="P34">
        <f t="shared" si="3"/>
        <v>1.4914950000000002E-5</v>
      </c>
      <c r="Q34" cm="1">
        <f t="array" ref="Q34">[1]!PropsSI("D","T",J34+273.15,"P",101325,"Water")</f>
        <v>985.73302565660185</v>
      </c>
      <c r="R34" cm="1">
        <f t="array" ref="R34">[1]!PropsSI("D","T",K34+273.15,"P",101325,"Water")</f>
        <v>990.00298121255651</v>
      </c>
      <c r="S34">
        <f t="shared" si="4"/>
        <v>987.86800343457912</v>
      </c>
      <c r="T34" cm="1">
        <f t="array" ref="T34">[1]!PropsSI("H","T",J34+273.15,"P",101325,"Water")</f>
        <v>229983.86093999812</v>
      </c>
      <c r="U34" cm="1">
        <f t="array" ref="U34">[1]!PropsSI("H","T",K34+273.15,"P",101325,"Water")</f>
        <v>190603.04460569669</v>
      </c>
      <c r="V34">
        <f t="shared" si="5"/>
        <v>580.23702181994088</v>
      </c>
    </row>
    <row r="35" spans="1:22" x14ac:dyDescent="0.2">
      <c r="A35">
        <v>46122.65525462963</v>
      </c>
      <c r="B35">
        <v>20.625518</v>
      </c>
      <c r="C35">
        <v>20.751176000000001</v>
      </c>
      <c r="D35">
        <v>20.302492000000001</v>
      </c>
      <c r="E35">
        <v>20.395441999999999</v>
      </c>
      <c r="F35">
        <v>27.622461000000001</v>
      </c>
      <c r="G35">
        <v>24.782824999999999</v>
      </c>
      <c r="H35">
        <v>24.226208</v>
      </c>
      <c r="I35">
        <v>22.039348</v>
      </c>
      <c r="J35">
        <v>54.920493999999998</v>
      </c>
      <c r="K35">
        <v>45.503959999999999</v>
      </c>
      <c r="L35">
        <v>139.179822</v>
      </c>
      <c r="M35">
        <v>-622.47959300000002</v>
      </c>
      <c r="N35">
        <v>0.892073</v>
      </c>
      <c r="O35">
        <v>3.58867</v>
      </c>
      <c r="P35">
        <f t="shared" si="3"/>
        <v>1.4867883333333334E-5</v>
      </c>
      <c r="Q35" cm="1">
        <f t="array" ref="Q35">[1]!PropsSI("D","T",J35+273.15,"P",101325,"Water")</f>
        <v>985.73156346028088</v>
      </c>
      <c r="R35" cm="1">
        <f t="array" ref="R35">[1]!PropsSI("D","T",K35+273.15,"P",101325,"Water")</f>
        <v>990.0011067452175</v>
      </c>
      <c r="S35">
        <f t="shared" si="4"/>
        <v>987.86633510274919</v>
      </c>
      <c r="T35" cm="1">
        <f t="array" ref="T35">[1]!PropsSI("H","T",J35+273.15,"P",101325,"Water")</f>
        <v>229996.50592906057</v>
      </c>
      <c r="U35" cm="1">
        <f t="array" ref="U35">[1]!PropsSI("H","T",K35+273.15,"P",101325,"Water")</f>
        <v>190621.61324195264</v>
      </c>
      <c r="V35">
        <f t="shared" si="5"/>
        <v>578.31800472627947</v>
      </c>
    </row>
    <row r="36" spans="1:22" x14ac:dyDescent="0.2">
      <c r="A36">
        <v>46122.655313078707</v>
      </c>
      <c r="B36">
        <v>20.759188000000002</v>
      </c>
      <c r="C36">
        <v>20.744002999999999</v>
      </c>
      <c r="D36">
        <v>20.296478</v>
      </c>
      <c r="E36">
        <v>20.346534999999999</v>
      </c>
      <c r="F36">
        <v>27.627753999999999</v>
      </c>
      <c r="G36">
        <v>24.840274000000001</v>
      </c>
      <c r="H36">
        <v>24.168600999999999</v>
      </c>
      <c r="I36">
        <v>22.079331</v>
      </c>
      <c r="J36">
        <v>54.920175999999998</v>
      </c>
      <c r="K36">
        <v>45.517919999999997</v>
      </c>
      <c r="L36">
        <v>145.48971</v>
      </c>
      <c r="M36">
        <v>-622.47143000000005</v>
      </c>
      <c r="N36">
        <v>0.89476599999999995</v>
      </c>
      <c r="O36">
        <v>3.865917</v>
      </c>
      <c r="P36">
        <f t="shared" si="3"/>
        <v>1.4912766666666666E-5</v>
      </c>
      <c r="Q36" cm="1">
        <f t="array" ref="Q36">[1]!PropsSI("D","T",J36+273.15,"P",101325,"Water")</f>
        <v>985.73171727653005</v>
      </c>
      <c r="R36" cm="1">
        <f t="array" ref="R36">[1]!PropsSI("D","T",K36+273.15,"P",101325,"Water")</f>
        <v>989.99521491379278</v>
      </c>
      <c r="S36">
        <f t="shared" si="4"/>
        <v>987.86346609516136</v>
      </c>
      <c r="T36" cm="1">
        <f t="array" ref="T36">[1]!PropsSI("H","T",J36+273.15,"P",101325,"Water")</f>
        <v>229995.17575806315</v>
      </c>
      <c r="U36" cm="1">
        <f t="array" ref="U36">[1]!PropsSI("H","T",K36+273.15,"P",101325,"Water")</f>
        <v>190679.96945040653</v>
      </c>
      <c r="V36">
        <f t="shared" si="5"/>
        <v>579.1828665171804</v>
      </c>
    </row>
    <row r="37" spans="1:22" x14ac:dyDescent="0.2">
      <c r="A37">
        <v>46122.655371527777</v>
      </c>
      <c r="B37">
        <v>20.642226999999998</v>
      </c>
      <c r="C37">
        <v>20.679780000000001</v>
      </c>
      <c r="D37">
        <v>20.242000000000001</v>
      </c>
      <c r="E37">
        <v>20.388867999999999</v>
      </c>
      <c r="F37">
        <v>27.552862999999999</v>
      </c>
      <c r="G37">
        <v>24.712440000000001</v>
      </c>
      <c r="H37">
        <v>23.962105000000001</v>
      </c>
      <c r="I37">
        <v>22.071788999999999</v>
      </c>
      <c r="J37">
        <v>54.920015999999997</v>
      </c>
      <c r="K37">
        <v>45.534578000000003</v>
      </c>
      <c r="L37">
        <v>136.834633</v>
      </c>
      <c r="M37">
        <v>-622.49714300000005</v>
      </c>
      <c r="N37">
        <v>0.89733499999999999</v>
      </c>
      <c r="O37">
        <v>3.400671</v>
      </c>
      <c r="P37">
        <f t="shared" si="3"/>
        <v>1.4955583333333333E-5</v>
      </c>
      <c r="Q37" cm="1">
        <f t="array" ref="Q37">[1]!PropsSI("D","T",J37+273.15,"P",101325,"Water")</f>
        <v>985.73179466811428</v>
      </c>
      <c r="R37" cm="1">
        <f t="array" ref="R37">[1]!PropsSI("D","T",K37+273.15,"P",101325,"Water")</f>
        <v>989.98818262305258</v>
      </c>
      <c r="S37">
        <f t="shared" si="4"/>
        <v>987.85998864558337</v>
      </c>
      <c r="T37" cm="1">
        <f t="array" ref="T37">[1]!PropsSI("H","T",J37+273.15,"P",101325,"Water")</f>
        <v>229994.50648962168</v>
      </c>
      <c r="U37" cm="1">
        <f t="array" ref="U37">[1]!PropsSI("H","T",K37+273.15,"P",101325,"Water")</f>
        <v>190749.60400996177</v>
      </c>
      <c r="V37">
        <f t="shared" si="5"/>
        <v>579.80506760820219</v>
      </c>
    </row>
    <row r="38" spans="1:22" x14ac:dyDescent="0.2">
      <c r="A38">
        <v>44660.655429977</v>
      </c>
      <c r="B38">
        <v>20.487572</v>
      </c>
      <c r="C38">
        <v>20.56287</v>
      </c>
      <c r="D38">
        <v>20.201222999999999</v>
      </c>
      <c r="E38">
        <v>20.379065000000001</v>
      </c>
      <c r="F38">
        <v>27.336286000000001</v>
      </c>
      <c r="G38">
        <v>24.767657</v>
      </c>
      <c r="H38">
        <v>24.267399000000001</v>
      </c>
      <c r="I38">
        <v>22.130852999999998</v>
      </c>
      <c r="J38">
        <v>54.924630000000001</v>
      </c>
      <c r="K38">
        <v>45.538702999999998</v>
      </c>
      <c r="L38">
        <v>141.20420999999999</v>
      </c>
      <c r="M38">
        <v>-622.45183899999995</v>
      </c>
      <c r="N38">
        <v>0.89486399999999999</v>
      </c>
      <c r="O38">
        <v>3.8384049999999998</v>
      </c>
      <c r="P38">
        <f t="shared" si="3"/>
        <v>1.4914399999999999E-5</v>
      </c>
      <c r="Q38" cm="1">
        <f t="array" ref="Q38">[1]!PropsSI("D","T",J38+273.15,"P",101325,"Water")</f>
        <v>985.72956282446148</v>
      </c>
      <c r="R38" cm="1">
        <f t="array" ref="R38">[1]!PropsSI("D","T",K38+273.15,"P",101325,"Water")</f>
        <v>989.98644092884183</v>
      </c>
      <c r="S38">
        <f t="shared" si="4"/>
        <v>987.85800187665166</v>
      </c>
      <c r="T38" cm="1">
        <f t="array" ref="T38">[1]!PropsSI("H","T",J38+273.15,"P",101325,"Water")</f>
        <v>230013.80652151478</v>
      </c>
      <c r="U38" cm="1">
        <f t="array" ref="U38">[1]!PropsSI("H","T",K38+273.15,"P",101325,"Water")</f>
        <v>190766.84753883324</v>
      </c>
      <c r="V38">
        <f t="shared" si="5"/>
        <v>578.23758904118085</v>
      </c>
    </row>
    <row r="39" spans="1:22" x14ac:dyDescent="0.2">
      <c r="A39">
        <v>44660.655488426099</v>
      </c>
      <c r="B39">
        <v>20.577159999999999</v>
      </c>
      <c r="C39">
        <v>20.677233000000001</v>
      </c>
      <c r="D39">
        <v>20.268004000000001</v>
      </c>
      <c r="E39">
        <v>20.447219</v>
      </c>
      <c r="F39">
        <v>27.308705</v>
      </c>
      <c r="G39">
        <v>24.840118</v>
      </c>
      <c r="H39">
        <v>24.042113000000001</v>
      </c>
      <c r="I39">
        <v>21.851040999999999</v>
      </c>
      <c r="J39">
        <v>54.921607000000002</v>
      </c>
      <c r="K39">
        <v>45.541558000000002</v>
      </c>
      <c r="L39">
        <v>141.26298299999999</v>
      </c>
      <c r="M39">
        <v>-622.50408100000004</v>
      </c>
      <c r="N39">
        <v>0.89557299999999995</v>
      </c>
      <c r="O39">
        <v>3.4591780000000001</v>
      </c>
      <c r="P39">
        <f t="shared" si="3"/>
        <v>1.4926216666666666E-5</v>
      </c>
      <c r="Q39" cm="1">
        <f t="array" ref="Q39">[1]!PropsSI("D","T",J39+273.15,"P",101325,"Water")</f>
        <v>985.73102509849036</v>
      </c>
      <c r="R39" cm="1">
        <f t="array" ref="R39">[1]!PropsSI("D","T",K39+273.15,"P",101325,"Water")</f>
        <v>989.98523539631526</v>
      </c>
      <c r="S39">
        <f t="shared" si="4"/>
        <v>987.85813024740287</v>
      </c>
      <c r="T39" cm="1">
        <f t="array" ref="T39">[1]!PropsSI("H","T",J39+273.15,"P",101325,"Water")</f>
        <v>230001.16152792535</v>
      </c>
      <c r="U39" cm="1">
        <f t="array" ref="U39">[1]!PropsSI("H","T",K39+273.15,"P",101325,"Water")</f>
        <v>190778.78215305298</v>
      </c>
      <c r="V39">
        <f t="shared" si="5"/>
        <v>578.33337546498171</v>
      </c>
    </row>
    <row r="40" spans="1:22" x14ac:dyDescent="0.2">
      <c r="A40">
        <v>44660.655546296497</v>
      </c>
      <c r="B40">
        <v>20.587928000000002</v>
      </c>
      <c r="C40">
        <v>20.761019000000001</v>
      </c>
      <c r="D40">
        <v>20.258023000000001</v>
      </c>
      <c r="E40">
        <v>20.467202</v>
      </c>
      <c r="F40">
        <v>27.547367999999999</v>
      </c>
      <c r="G40">
        <v>24.893882000000001</v>
      </c>
      <c r="H40">
        <v>24.010528999999998</v>
      </c>
      <c r="I40">
        <v>22.026600999999999</v>
      </c>
      <c r="J40">
        <v>54.916356999999998</v>
      </c>
      <c r="K40">
        <v>45.541082000000003</v>
      </c>
      <c r="L40">
        <v>146.75617700000001</v>
      </c>
      <c r="M40">
        <v>-622.48979599999996</v>
      </c>
      <c r="N40">
        <v>0.89556500000000006</v>
      </c>
      <c r="O40">
        <v>3.0868760000000002</v>
      </c>
      <c r="P40">
        <f t="shared" si="3"/>
        <v>1.4926083333333334E-5</v>
      </c>
      <c r="Q40" cm="1">
        <f t="array" ref="Q40">[1]!PropsSI("D","T",J40+273.15,"P",101325,"Water")</f>
        <v>985.73356447347658</v>
      </c>
      <c r="R40" cm="1">
        <f t="array" ref="R40">[1]!PropsSI("D","T",K40+273.15,"P",101325,"Water")</f>
        <v>989.98543639270883</v>
      </c>
      <c r="S40">
        <f t="shared" si="4"/>
        <v>987.85950043309276</v>
      </c>
      <c r="T40" cm="1">
        <f t="array" ref="T40">[1]!PropsSI("H","T",J40+273.15,"P",101325,"Water")</f>
        <v>229979.20115993469</v>
      </c>
      <c r="U40" cm="1">
        <f t="array" ref="U40">[1]!PropsSI("H","T",K40+273.15,"P",101325,"Water")</f>
        <v>190776.79235380664</v>
      </c>
      <c r="V40">
        <f t="shared" si="5"/>
        <v>578.03454796448557</v>
      </c>
    </row>
    <row r="41" spans="1:22" x14ac:dyDescent="0.2">
      <c r="A41">
        <v>44660.655604745501</v>
      </c>
      <c r="B41">
        <v>20.945878</v>
      </c>
      <c r="C41">
        <v>21.030996999999999</v>
      </c>
      <c r="D41">
        <v>20.338191999999999</v>
      </c>
      <c r="E41">
        <v>20.477171999999999</v>
      </c>
      <c r="F41">
        <v>27.799133999999999</v>
      </c>
      <c r="G41">
        <v>24.968325</v>
      </c>
      <c r="H41">
        <v>23.885425999999999</v>
      </c>
      <c r="I41">
        <v>21.874452000000002</v>
      </c>
      <c r="J41">
        <v>54.912857000000002</v>
      </c>
      <c r="K41">
        <v>45.539655000000003</v>
      </c>
      <c r="L41">
        <v>138.660664</v>
      </c>
      <c r="M41">
        <v>-622.48204199999998</v>
      </c>
      <c r="N41">
        <v>0.89703599999999994</v>
      </c>
      <c r="O41">
        <v>3.7045020000000002</v>
      </c>
      <c r="P41">
        <f t="shared" si="3"/>
        <v>1.4950599999999999E-5</v>
      </c>
      <c r="Q41" cm="1">
        <f t="array" ref="Q41">[1]!PropsSI("D","T",J41+273.15,"P",101325,"Water")</f>
        <v>985.73525729500909</v>
      </c>
      <c r="R41" cm="1">
        <f t="array" ref="R41">[1]!PropsSI("D","T",K41+273.15,"P",101325,"Water")</f>
        <v>989.98603895018255</v>
      </c>
      <c r="S41">
        <f t="shared" si="4"/>
        <v>987.86064812259588</v>
      </c>
      <c r="T41" cm="1">
        <f t="array" ref="T41">[1]!PropsSI("H","T",J41+273.15,"P",101325,"Water")</f>
        <v>229964.56092005075</v>
      </c>
      <c r="U41" cm="1">
        <f t="array" ref="U41">[1]!PropsSI("H","T",K41+273.15,"P",101325,"Water")</f>
        <v>190770.8271367577</v>
      </c>
      <c r="V41">
        <f t="shared" si="5"/>
        <v>578.85654226810436</v>
      </c>
    </row>
    <row r="42" spans="1:22" x14ac:dyDescent="0.2">
      <c r="A42">
        <v>46122.655663194448</v>
      </c>
      <c r="B42">
        <v>20.738129000000001</v>
      </c>
      <c r="C42">
        <v>20.757238000000001</v>
      </c>
      <c r="D42">
        <v>20.381895</v>
      </c>
      <c r="E42">
        <v>20.579906999999999</v>
      </c>
      <c r="F42">
        <v>27.531254000000001</v>
      </c>
      <c r="G42">
        <v>24.941399000000001</v>
      </c>
      <c r="H42">
        <v>24.269798999999999</v>
      </c>
      <c r="I42">
        <v>22.133330000000001</v>
      </c>
      <c r="J42">
        <v>54.914448</v>
      </c>
      <c r="K42">
        <v>45.555360999999998</v>
      </c>
      <c r="L42">
        <v>132.02956699999999</v>
      </c>
      <c r="M42">
        <v>-622.50653</v>
      </c>
      <c r="N42">
        <v>0.893266</v>
      </c>
      <c r="O42">
        <v>3.332722</v>
      </c>
      <c r="P42">
        <f t="shared" si="3"/>
        <v>1.4887766666666667E-5</v>
      </c>
      <c r="Q42" cm="1">
        <f t="array" ref="Q42">[1]!PropsSI("D","T",J42+273.15,"P",101325,"Water")</f>
        <v>985.734487796145</v>
      </c>
      <c r="R42" cm="1">
        <f t="array" ref="R42">[1]!PropsSI("D","T",K42+273.15,"P",101325,"Water")</f>
        <v>989.97940624145872</v>
      </c>
      <c r="S42">
        <f t="shared" si="4"/>
        <v>987.85694701880186</v>
      </c>
      <c r="T42" cm="1">
        <f t="array" ref="T42">[1]!PropsSI("H","T",J42+273.15,"P",101325,"Water")</f>
        <v>229971.21595420258</v>
      </c>
      <c r="U42" cm="1">
        <f t="array" ref="U42">[1]!PropsSI("H","T",K42+273.15,"P",101325,"Water")</f>
        <v>190836.48216943402</v>
      </c>
      <c r="V42">
        <f t="shared" si="5"/>
        <v>575.55389294330655</v>
      </c>
    </row>
    <row r="43" spans="1:22" x14ac:dyDescent="0.2">
      <c r="A43">
        <v>46122.655721643518</v>
      </c>
      <c r="B43">
        <v>20.681211999999999</v>
      </c>
      <c r="C43">
        <v>20.821482</v>
      </c>
      <c r="D43">
        <v>20.334275000000002</v>
      </c>
      <c r="E43">
        <v>20.579865999999999</v>
      </c>
      <c r="F43">
        <v>27.474359</v>
      </c>
      <c r="G43">
        <v>24.822621999999999</v>
      </c>
      <c r="H43">
        <v>23.888681999999999</v>
      </c>
      <c r="I43">
        <v>21.869008999999998</v>
      </c>
      <c r="J43">
        <v>54.916038999999998</v>
      </c>
      <c r="K43">
        <v>45.558850999999997</v>
      </c>
      <c r="L43">
        <v>141.738877</v>
      </c>
      <c r="M43">
        <v>-622.51183600000002</v>
      </c>
      <c r="N43">
        <v>0.89503200000000005</v>
      </c>
      <c r="O43">
        <v>3.9116149999999998</v>
      </c>
      <c r="P43">
        <f t="shared" si="3"/>
        <v>1.49172E-5</v>
      </c>
      <c r="Q43" cm="1">
        <f t="array" ref="Q43">[1]!PropsSI("D","T",J43+273.15,"P",101325,"Water")</f>
        <v>985.73371828154461</v>
      </c>
      <c r="R43" cm="1">
        <f t="array" ref="R43">[1]!PropsSI("D","T",K43+273.15,"P",101325,"Water")</f>
        <v>989.97793216820583</v>
      </c>
      <c r="S43">
        <f t="shared" si="4"/>
        <v>987.85582522487516</v>
      </c>
      <c r="T43" cm="1">
        <f t="array" ref="T43">[1]!PropsSI("H","T",J43+273.15,"P",101325,"Water")</f>
        <v>229977.87098933983</v>
      </c>
      <c r="U43" cm="1">
        <f t="array" ref="U43">[1]!PropsSI("H","T",K43+273.15,"P",101325,"Water")</f>
        <v>190851.07125460968</v>
      </c>
      <c r="V43">
        <f t="shared" si="5"/>
        <v>576.57420005846245</v>
      </c>
    </row>
    <row r="44" spans="1:22" x14ac:dyDescent="0.2">
      <c r="A44">
        <v>46122.655780092595</v>
      </c>
      <c r="B44">
        <v>20.620063999999999</v>
      </c>
      <c r="C44">
        <v>20.612076999999999</v>
      </c>
      <c r="D44">
        <v>20.282924999999999</v>
      </c>
      <c r="E44">
        <v>20.540077</v>
      </c>
      <c r="F44">
        <v>27.509837999999998</v>
      </c>
      <c r="G44">
        <v>24.909503999999998</v>
      </c>
      <c r="H44">
        <v>23.986847000000001</v>
      </c>
      <c r="I44">
        <v>22.144407999999999</v>
      </c>
      <c r="J44">
        <v>54.919857</v>
      </c>
      <c r="K44">
        <v>45.561706000000001</v>
      </c>
      <c r="L44">
        <v>141.18053800000001</v>
      </c>
      <c r="M44">
        <v>-622.51591800000006</v>
      </c>
      <c r="N44">
        <v>0.896671</v>
      </c>
      <c r="O44">
        <v>3.4882659999999999</v>
      </c>
      <c r="P44">
        <f t="shared" si="3"/>
        <v>1.4944516666666667E-5</v>
      </c>
      <c r="Q44" cm="1">
        <f t="array" ref="Q44">[1]!PropsSI("D","T",J44+273.15,"P",101325,"Water")</f>
        <v>985.73187157583482</v>
      </c>
      <c r="R44" cm="1">
        <f t="array" ref="R44">[1]!PropsSI("D","T",K44+273.15,"P",101325,"Water")</f>
        <v>989.97672623754522</v>
      </c>
      <c r="S44">
        <f t="shared" si="4"/>
        <v>987.85429890669002</v>
      </c>
      <c r="T44" cm="1">
        <f t="array" ref="T44">[1]!PropsSI("H","T",J44+273.15,"P",101325,"Water")</f>
        <v>229993.84140416488</v>
      </c>
      <c r="U44" cm="1">
        <f t="array" ref="U44">[1]!PropsSI("H","T",K44+273.15,"P",101325,"Water")</f>
        <v>190863.00588062507</v>
      </c>
      <c r="V44">
        <f t="shared" si="5"/>
        <v>577.6887218284013</v>
      </c>
    </row>
    <row r="45" spans="1:22" x14ac:dyDescent="0.2">
      <c r="A45">
        <v>46122.655837962964</v>
      </c>
      <c r="B45">
        <v>20.442027</v>
      </c>
      <c r="C45">
        <v>20.788112999999999</v>
      </c>
      <c r="D45">
        <v>20.220361</v>
      </c>
      <c r="E45">
        <v>20.521118999999999</v>
      </c>
      <c r="F45">
        <v>27.406548000000001</v>
      </c>
      <c r="G45">
        <v>24.924935999999999</v>
      </c>
      <c r="H45">
        <v>24.314523000000001</v>
      </c>
      <c r="I45">
        <v>22.157122999999999</v>
      </c>
      <c r="J45">
        <v>54.921289000000002</v>
      </c>
      <c r="K45">
        <v>45.563769000000001</v>
      </c>
      <c r="L45">
        <v>155.974491</v>
      </c>
      <c r="M45">
        <v>-622.49755100000004</v>
      </c>
      <c r="N45">
        <v>0.89291299999999996</v>
      </c>
      <c r="O45">
        <v>3.0956190000000001</v>
      </c>
      <c r="P45">
        <f t="shared" si="3"/>
        <v>1.4881883333333332E-5</v>
      </c>
      <c r="Q45" cm="1">
        <f t="array" ref="Q45">[1]!PropsSI("D","T",J45+273.15,"P",101325,"Water")</f>
        <v>985.73117891691334</v>
      </c>
      <c r="R45" cm="1">
        <f t="array" ref="R45">[1]!PropsSI("D","T",K45+273.15,"P",101325,"Water")</f>
        <v>989.97585480668295</v>
      </c>
      <c r="S45">
        <f t="shared" si="4"/>
        <v>987.8535168617982</v>
      </c>
      <c r="T45" cm="1">
        <f t="array" ref="T45">[1]!PropsSI("H","T",J45+273.15,"P",101325,"Water")</f>
        <v>229999.83135679414</v>
      </c>
      <c r="U45" cm="1">
        <f t="array" ref="U45">[1]!PropsSI("H","T",K45+273.15,"P",101325,"Water")</f>
        <v>190871.62974630945</v>
      </c>
      <c r="V45">
        <f t="shared" si="5"/>
        <v>575.22841810704983</v>
      </c>
    </row>
    <row r="46" spans="1:22" x14ac:dyDescent="0.2">
      <c r="A46">
        <v>46122.655896412034</v>
      </c>
      <c r="B46">
        <v>20.403295</v>
      </c>
      <c r="C46">
        <v>20.699816999999999</v>
      </c>
      <c r="D46">
        <v>20.19519</v>
      </c>
      <c r="E46">
        <v>20.422252</v>
      </c>
      <c r="F46">
        <v>27.404841999999999</v>
      </c>
      <c r="G46">
        <v>24.828976999999998</v>
      </c>
      <c r="H46">
        <v>24.287223999999998</v>
      </c>
      <c r="I46">
        <v>21.991468000000001</v>
      </c>
      <c r="J46">
        <v>54.916834000000001</v>
      </c>
      <c r="K46">
        <v>45.563133999999998</v>
      </c>
      <c r="L46">
        <v>136.002838</v>
      </c>
      <c r="M46">
        <v>-622.51755000000003</v>
      </c>
      <c r="N46">
        <v>0.89738399999999996</v>
      </c>
      <c r="O46">
        <v>3.3989549999999999</v>
      </c>
      <c r="P46">
        <f t="shared" si="3"/>
        <v>1.49564E-5</v>
      </c>
      <c r="Q46" cm="1">
        <f t="array" ref="Q46">[1]!PropsSI("D","T",J46+273.15,"P",101325,"Water")</f>
        <v>985.73333376020059</v>
      </c>
      <c r="R46" cm="1">
        <f t="array" ref="R46">[1]!PropsSI("D","T",K46+273.15,"P",101325,"Water")</f>
        <v>989.97612303988035</v>
      </c>
      <c r="S46">
        <f t="shared" si="4"/>
        <v>987.85472840004047</v>
      </c>
      <c r="T46" cm="1">
        <f t="array" ref="T46">[1]!PropsSI("H","T",J46+273.15,"P",101325,"Water")</f>
        <v>229981.19641578238</v>
      </c>
      <c r="U46" cm="1">
        <f t="array" ref="U46">[1]!PropsSI("H","T",K46+273.15,"P",101325,"Water")</f>
        <v>190868.97528436506</v>
      </c>
      <c r="V46">
        <f t="shared" si="5"/>
        <v>577.87330714686425</v>
      </c>
    </row>
    <row r="47" spans="1:22" x14ac:dyDescent="0.2">
      <c r="A47">
        <v>46122.655954282411</v>
      </c>
      <c r="B47">
        <v>20.375381000000001</v>
      </c>
      <c r="C47">
        <v>20.703244999999999</v>
      </c>
      <c r="D47">
        <v>20.145925999999999</v>
      </c>
      <c r="E47">
        <v>20.374649999999999</v>
      </c>
      <c r="F47">
        <v>27.375900999999999</v>
      </c>
      <c r="G47">
        <v>24.691846999999999</v>
      </c>
      <c r="H47">
        <v>23.797495999999999</v>
      </c>
      <c r="I47">
        <v>21.904347999999999</v>
      </c>
      <c r="J47">
        <v>54.916516000000001</v>
      </c>
      <c r="K47">
        <v>45.560912999999999</v>
      </c>
      <c r="L47">
        <v>147.002287</v>
      </c>
      <c r="M47">
        <v>-622.47632799999997</v>
      </c>
      <c r="N47">
        <v>0.89367600000000003</v>
      </c>
      <c r="O47">
        <v>3.3325309999999999</v>
      </c>
      <c r="P47">
        <f t="shared" si="3"/>
        <v>1.4894600000000001E-5</v>
      </c>
      <c r="Q47" cm="1">
        <f t="array" ref="Q47">[1]!PropsSI("D","T",J47+273.15,"P",101325,"Water")</f>
        <v>985.73348756922132</v>
      </c>
      <c r="R47" cm="1">
        <f t="array" ref="R47">[1]!PropsSI("D","T",K47+273.15,"P",101325,"Water")</f>
        <v>989.97706120049008</v>
      </c>
      <c r="S47">
        <f t="shared" si="4"/>
        <v>987.85527438485565</v>
      </c>
      <c r="T47" cm="1">
        <f t="array" ref="T47">[1]!PropsSI("H","T",J47+273.15,"P",101325,"Water")</f>
        <v>229979.86624521675</v>
      </c>
      <c r="U47" cm="1">
        <f t="array" ref="U47">[1]!PropsSI("H","T",K47+273.15,"P",101325,"Water")</f>
        <v>190859.69093883014</v>
      </c>
      <c r="V47">
        <f t="shared" si="5"/>
        <v>575.60288213182469</v>
      </c>
    </row>
    <row r="48" spans="1:22" x14ac:dyDescent="0.2">
      <c r="A48">
        <v>46122.656012731481</v>
      </c>
      <c r="B48">
        <v>20.320689999999999</v>
      </c>
      <c r="C48">
        <v>20.626745</v>
      </c>
      <c r="D48">
        <v>20.246296000000001</v>
      </c>
      <c r="E48">
        <v>20.347636999999999</v>
      </c>
      <c r="F48">
        <v>27.311336000000001</v>
      </c>
      <c r="G48">
        <v>24.763123</v>
      </c>
      <c r="H48">
        <v>24.032540999999998</v>
      </c>
      <c r="I48">
        <v>22.05621</v>
      </c>
      <c r="J48">
        <v>54.920653000000001</v>
      </c>
      <c r="K48">
        <v>45.553297999999998</v>
      </c>
      <c r="L48">
        <v>144.26813799999999</v>
      </c>
      <c r="M48">
        <v>-622.49265300000002</v>
      </c>
      <c r="N48">
        <v>0.89342600000000005</v>
      </c>
      <c r="O48">
        <v>3.7294860000000001</v>
      </c>
      <c r="P48">
        <f t="shared" si="3"/>
        <v>1.4890433333333336E-5</v>
      </c>
      <c r="Q48" cm="1">
        <f t="array" ref="Q48">[1]!PropsSI("D","T",J48+273.15,"P",101325,"Water")</f>
        <v>985.73148655189868</v>
      </c>
      <c r="R48" cm="1">
        <f t="array" ref="R48">[1]!PropsSI("D","T",K48+273.15,"P",101325,"Water")</f>
        <v>989.98027755231249</v>
      </c>
      <c r="S48">
        <f t="shared" si="4"/>
        <v>987.85588205210558</v>
      </c>
      <c r="T48" cm="1">
        <f t="array" ref="T48">[1]!PropsSI("H","T",J48+273.15,"P",101325,"Water")</f>
        <v>229997.17101464246</v>
      </c>
      <c r="U48" cm="1">
        <f t="array" ref="U48">[1]!PropsSI("H","T",K48+273.15,"P",101325,"Water")</f>
        <v>190827.85830736996</v>
      </c>
      <c r="V48">
        <f t="shared" si="5"/>
        <v>576.16500659458825</v>
      </c>
    </row>
    <row r="49" spans="1:22" x14ac:dyDescent="0.2">
      <c r="A49">
        <v>44660.656071180703</v>
      </c>
      <c r="B49">
        <v>20.541861999999998</v>
      </c>
      <c r="C49">
        <v>20.645947</v>
      </c>
      <c r="D49">
        <v>20.226039</v>
      </c>
      <c r="E49">
        <v>20.364114000000001</v>
      </c>
      <c r="F49">
        <v>27.425912</v>
      </c>
      <c r="G49">
        <v>24.688887000000001</v>
      </c>
      <c r="H49">
        <v>23.750024</v>
      </c>
      <c r="I49">
        <v>22.097058000000001</v>
      </c>
      <c r="J49">
        <v>54.932586000000001</v>
      </c>
      <c r="K49">
        <v>45.553615000000001</v>
      </c>
      <c r="L49">
        <v>126.81064499999999</v>
      </c>
      <c r="M49">
        <v>-622.47183800000005</v>
      </c>
      <c r="N49">
        <v>0.89536400000000005</v>
      </c>
      <c r="O49">
        <v>3.4413870000000002</v>
      </c>
      <c r="P49">
        <f t="shared" si="3"/>
        <v>1.4922733333333334E-5</v>
      </c>
      <c r="Q49" cm="1">
        <f t="array" ref="Q49">[1]!PropsSI("D","T",J49+273.15,"P",101325,"Water")</f>
        <v>985.72571410720252</v>
      </c>
      <c r="R49" cm="1">
        <f t="array" ref="R49">[1]!PropsSI("D","T",K49+273.15,"P",101325,"Water")</f>
        <v>989.98014366881614</v>
      </c>
      <c r="S49">
        <f t="shared" si="4"/>
        <v>987.85292888800927</v>
      </c>
      <c r="T49" cm="1">
        <f t="array" ref="T49">[1]!PropsSI("H","T",J49+273.15,"P",101325,"Water")</f>
        <v>230047.08591830797</v>
      </c>
      <c r="U49" cm="1">
        <f t="array" ref="U49">[1]!PropsSI("H","T",K49+273.15,"P",101325,"Water")</f>
        <v>190829.18344753591</v>
      </c>
      <c r="V49">
        <f t="shared" si="5"/>
        <v>578.12936921080916</v>
      </c>
    </row>
    <row r="50" spans="1:22" x14ac:dyDescent="0.2">
      <c r="A50" t="s">
        <v>24</v>
      </c>
      <c r="B50">
        <v>20.612020000000001</v>
      </c>
      <c r="C50">
        <v>20.611065</v>
      </c>
      <c r="D50">
        <v>20.238043999999999</v>
      </c>
      <c r="E50">
        <v>20.326834999999999</v>
      </c>
      <c r="F50">
        <v>27.509526000000001</v>
      </c>
      <c r="G50">
        <v>24.905303</v>
      </c>
      <c r="H50">
        <v>23.980308000000001</v>
      </c>
      <c r="I50">
        <v>22.058933</v>
      </c>
      <c r="J50">
        <v>54.931631000000003</v>
      </c>
      <c r="K50">
        <v>45.564878999999998</v>
      </c>
      <c r="L50">
        <v>144.76607200000001</v>
      </c>
      <c r="M50">
        <v>-622.50163299999997</v>
      </c>
      <c r="N50">
        <v>0.89627000000000001</v>
      </c>
      <c r="O50">
        <v>3.601086</v>
      </c>
      <c r="P50">
        <f t="shared" si="3"/>
        <v>1.4937833333333333E-5</v>
      </c>
      <c r="Q50" cm="1">
        <f t="array" ref="Q50">[1]!PropsSI("D","T",J50+273.15,"P",101325,"Water")</f>
        <v>985.72617610949999</v>
      </c>
      <c r="R50" cm="1">
        <f t="array" ref="R50">[1]!PropsSI("D","T",K50+273.15,"P",101325,"Water")</f>
        <v>989.97538591990906</v>
      </c>
      <c r="S50">
        <f t="shared" si="4"/>
        <v>987.85078101470458</v>
      </c>
      <c r="T50" cm="1">
        <f t="array" ref="T50">[1]!PropsSI("H","T",J50+273.15,"P",101325,"Water")</f>
        <v>230043.09121826748</v>
      </c>
      <c r="U50" cm="1">
        <f t="array" ref="U50">[1]!PropsSI("H","T",K50+273.15,"P",101325,"Water")</f>
        <v>190876.26982944077</v>
      </c>
      <c r="V50">
        <f t="shared" si="5"/>
        <v>577.95933753026202</v>
      </c>
    </row>
    <row r="51" spans="1:22" x14ac:dyDescent="0.2">
      <c r="A51">
        <v>46122.656187499997</v>
      </c>
      <c r="B51">
        <v>20.547374999999999</v>
      </c>
      <c r="C51">
        <v>20.730791</v>
      </c>
      <c r="D51">
        <v>20.488893000000001</v>
      </c>
      <c r="E51">
        <v>20.491264000000001</v>
      </c>
      <c r="F51">
        <v>27.418013999999999</v>
      </c>
      <c r="G51">
        <v>24.801167</v>
      </c>
      <c r="H51">
        <v>23.988109000000001</v>
      </c>
      <c r="I51">
        <v>22.255351000000001</v>
      </c>
      <c r="J51">
        <v>54.937517999999997</v>
      </c>
      <c r="K51">
        <v>45.569163000000003</v>
      </c>
      <c r="L51">
        <v>139.17941300000001</v>
      </c>
      <c r="M51">
        <v>-622.47591999999997</v>
      </c>
      <c r="N51">
        <v>0.89602400000000004</v>
      </c>
      <c r="O51">
        <v>3.66967</v>
      </c>
      <c r="P51">
        <f t="shared" si="3"/>
        <v>1.4933733333333334E-5</v>
      </c>
      <c r="Q51" cm="1">
        <f t="array" ref="Q51">[1]!PropsSI("D","T",J51+273.15,"P",101325,"Water")</f>
        <v>985.72332805336259</v>
      </c>
      <c r="R51" cm="1">
        <f t="array" ref="R51">[1]!PropsSI("D","T",K51+273.15,"P",101325,"Water")</f>
        <v>989.97357619048341</v>
      </c>
      <c r="S51">
        <f t="shared" si="4"/>
        <v>987.84845212192295</v>
      </c>
      <c r="T51" cm="1">
        <f t="array" ref="T51">[1]!PropsSI("H","T",J51+273.15,"P",101325,"Water")</f>
        <v>230067.71614406348</v>
      </c>
      <c r="U51" cm="1">
        <f t="array" ref="U51">[1]!PropsSI("H","T",K51+273.15,"P",101325,"Water")</f>
        <v>190894.17804475923</v>
      </c>
      <c r="V51">
        <f t="shared" si="5"/>
        <v>577.8984290422743</v>
      </c>
    </row>
    <row r="52" spans="1:22" x14ac:dyDescent="0.2">
      <c r="A52">
        <v>46122.656245370374</v>
      </c>
      <c r="B52">
        <v>20.470559000000002</v>
      </c>
      <c r="C52">
        <v>20.575711999999999</v>
      </c>
      <c r="D52">
        <v>20.272324999999999</v>
      </c>
      <c r="E52">
        <v>20.428296</v>
      </c>
      <c r="F52">
        <v>27.408353000000002</v>
      </c>
      <c r="G52">
        <v>24.765671999999999</v>
      </c>
      <c r="H52">
        <v>24.015052000000001</v>
      </c>
      <c r="I52">
        <v>22.120702999999999</v>
      </c>
      <c r="J52">
        <v>54.939903999999999</v>
      </c>
      <c r="K52">
        <v>45.573922000000003</v>
      </c>
      <c r="L52">
        <v>149.84581800000001</v>
      </c>
      <c r="M52">
        <v>-622.49632699999995</v>
      </c>
      <c r="N52">
        <v>0.89657299999999995</v>
      </c>
      <c r="O52">
        <v>3.5794950000000001</v>
      </c>
      <c r="P52">
        <f t="shared" si="3"/>
        <v>1.4942883333333334E-5</v>
      </c>
      <c r="Q52" cm="1">
        <f t="array" ref="Q52">[1]!PropsSI("D","T",J52+273.15,"P",101325,"Water")</f>
        <v>985.72217367543237</v>
      </c>
      <c r="R52" cm="1">
        <f t="array" ref="R52">[1]!PropsSI("D","T",K52+273.15,"P",101325,"Water")</f>
        <v>989.97156565351361</v>
      </c>
      <c r="S52">
        <f t="shared" si="4"/>
        <v>987.84686966447293</v>
      </c>
      <c r="T52" cm="1">
        <f t="array" ref="T52">[1]!PropsSI("H","T",J52+273.15,"P",101325,"Water")</f>
        <v>230077.69662543116</v>
      </c>
      <c r="U52" cm="1">
        <f t="array" ref="U52">[1]!PropsSI("H","T",K52+273.15,"P",101325,"Water")</f>
        <v>190914.07188594263</v>
      </c>
      <c r="V52">
        <f t="shared" si="5"/>
        <v>578.10525113954952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CA0A4-8062-8B45-B251-549935F237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  <vt:lpstr>8mps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2026-04-12T17:41:59Z</dcterms:created>
  <dcterms:modified xsi:type="dcterms:W3CDTF">2026-04-12T18:00:47Z</dcterms:modified>
</cp:coreProperties>
</file>